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defaultThemeVersion="166925"/>
  <mc:AlternateContent xmlns:mc="http://schemas.openxmlformats.org/markup-compatibility/2006">
    <mc:Choice Requires="x15">
      <x15ac:absPath xmlns:x15ac="http://schemas.microsoft.com/office/spreadsheetml/2010/11/ac" url="Y:\1-Marchés-contrat IMT\Marchés 2021\21 IMT 066 à 070 M - Matinfo 5 (AMUE)\Matinfo 5\21 IMT 067 MS - Lot 2 Postes de travail portables et leurs extensions\BPU\"/>
    </mc:Choice>
  </mc:AlternateContent>
  <xr:revisionPtr revIDLastSave="0" documentId="8_{44C6EBB8-B662-434D-9967-C2A500D420AF}" xr6:coauthVersionLast="47" xr6:coauthVersionMax="47" xr10:uidLastSave="{00000000-0000-0000-0000-000000000000}"/>
  <bookViews>
    <workbookView xWindow="-108" yWindow="-108" windowWidth="30936" windowHeight="17040" tabRatio="617" xr2:uid="{00000000-000D-0000-FFFF-FFFF00000000}"/>
  </bookViews>
  <sheets>
    <sheet name="Résumé" sheetId="1" r:id="rId1"/>
    <sheet name="Récapitulatif" sheetId="2" r:id="rId2"/>
    <sheet name="LOT 2" sheetId="3" r:id="rId3"/>
    <sheet name="Extensions Communes" sheetId="5" r:id="rId4"/>
    <sheet name="LOT 2 LOCATION" sheetId="34" r:id="rId5"/>
    <sheet name="Extensions Communes LOCATION" sheetId="27" r:id="rId6"/>
    <sheet name="LOT 2 DROM COM" sheetId="36" r:id="rId7"/>
    <sheet name="Extensions Communes DROM COM" sheetId="30" r:id="rId8"/>
    <sheet name="Prestations Services DROM COM" sheetId="13" r:id="rId9"/>
  </sheets>
  <definedNames>
    <definedName name="_xlnm._FilterDatabase" localSheetId="3" hidden="1">'Extensions Communes'!$A$44:$C$65</definedName>
    <definedName name="_xlnm._FilterDatabase" localSheetId="7" hidden="1">'Extensions Communes DROM COM'!$A$44:$C$65</definedName>
    <definedName name="_xlnm._FilterDatabase" localSheetId="5" hidden="1">'Extensions Communes LOCATION'!$A$44:$C$65</definedName>
    <definedName name="_xlnm._FilterDatabase" localSheetId="2" hidden="1">'LOT 2'!$A$11:$V$11</definedName>
    <definedName name="_xlnm._FilterDatabase" localSheetId="6" hidden="1">'LOT 2 DROM COM'!$A$11:$V$11</definedName>
    <definedName name="_xlnm._FilterDatabase" localSheetId="4" hidden="1">'LOT 2 LOCATION'!$A$11:$V$11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68" i="30" l="1"/>
  <c r="G68" i="30"/>
  <c r="H68" i="30"/>
  <c r="I68" i="30"/>
  <c r="J68" i="30"/>
  <c r="K68" i="30"/>
  <c r="L68" i="30"/>
  <c r="W14" i="36"/>
  <c r="X14" i="36"/>
  <c r="Y14" i="36"/>
  <c r="Z14" i="36"/>
  <c r="AA14" i="36"/>
  <c r="AB14" i="36"/>
  <c r="AC14" i="36"/>
  <c r="W16" i="36"/>
  <c r="X16" i="36"/>
  <c r="Y16" i="36"/>
  <c r="Z16" i="36"/>
  <c r="AA16" i="36"/>
  <c r="AB16" i="36"/>
  <c r="AC16" i="36"/>
  <c r="W18" i="36"/>
  <c r="X18" i="36"/>
  <c r="Y18" i="36"/>
  <c r="Z18" i="36"/>
  <c r="AA18" i="36"/>
  <c r="AB18" i="36"/>
  <c r="AC18" i="36"/>
  <c r="W20" i="36"/>
  <c r="X20" i="36"/>
  <c r="Y20" i="36"/>
  <c r="Z20" i="36"/>
  <c r="AA20" i="36"/>
  <c r="AB20" i="36"/>
  <c r="AC20" i="36"/>
  <c r="W24" i="36"/>
  <c r="X24" i="36"/>
  <c r="Y24" i="36"/>
  <c r="Z24" i="36"/>
  <c r="AA24" i="36"/>
  <c r="AB24" i="36"/>
  <c r="AC24" i="36"/>
  <c r="W25" i="36"/>
  <c r="X25" i="36"/>
  <c r="Y25" i="36"/>
  <c r="Z25" i="36"/>
  <c r="AA25" i="36"/>
  <c r="AB25" i="36"/>
  <c r="AC25" i="36"/>
  <c r="W26" i="36"/>
  <c r="X26" i="36"/>
  <c r="Y26" i="36"/>
  <c r="Z26" i="36"/>
  <c r="AA26" i="36"/>
  <c r="AB26" i="36"/>
  <c r="AC26" i="36"/>
  <c r="W27" i="36"/>
  <c r="X27" i="36"/>
  <c r="Y27" i="36"/>
  <c r="Z27" i="36"/>
  <c r="AA27" i="36"/>
  <c r="AB27" i="36"/>
  <c r="AC27" i="36"/>
  <c r="W28" i="36"/>
  <c r="X28" i="36"/>
  <c r="Y28" i="36"/>
  <c r="Z28" i="36"/>
  <c r="AA28" i="36"/>
  <c r="AB28" i="36"/>
  <c r="AC28" i="36"/>
  <c r="W31" i="36"/>
  <c r="X31" i="36"/>
  <c r="Y31" i="36"/>
  <c r="Z31" i="36"/>
  <c r="AA31" i="36"/>
  <c r="AB31" i="36"/>
  <c r="AC31" i="36"/>
  <c r="W32" i="36"/>
  <c r="X32" i="36"/>
  <c r="Y32" i="36"/>
  <c r="Z32" i="36"/>
  <c r="AA32" i="36"/>
  <c r="AB32" i="36"/>
  <c r="AC32" i="36"/>
  <c r="W35" i="36"/>
  <c r="X35" i="36"/>
  <c r="Y35" i="36"/>
  <c r="Z35" i="36"/>
  <c r="AA35" i="36"/>
  <c r="AB35" i="36"/>
  <c r="AC35" i="36"/>
  <c r="W38" i="36"/>
  <c r="X38" i="36"/>
  <c r="Y38" i="36"/>
  <c r="Z38" i="36"/>
  <c r="AA38" i="36"/>
  <c r="AB38" i="36"/>
  <c r="AC38" i="36"/>
  <c r="W39" i="36"/>
  <c r="X39" i="36"/>
  <c r="Y39" i="36"/>
  <c r="Z39" i="36"/>
  <c r="AA39" i="36"/>
  <c r="AB39" i="36"/>
  <c r="AC39" i="36"/>
  <c r="W40" i="36"/>
  <c r="X40" i="36"/>
  <c r="Y40" i="36"/>
  <c r="Z40" i="36"/>
  <c r="AA40" i="36"/>
  <c r="AB40" i="36"/>
  <c r="AC40" i="36"/>
  <c r="W41" i="36"/>
  <c r="X41" i="36"/>
  <c r="Y41" i="36"/>
  <c r="Z41" i="36"/>
  <c r="AA41" i="36"/>
  <c r="AB41" i="36"/>
  <c r="AC41" i="36"/>
  <c r="W42" i="36"/>
  <c r="X42" i="36"/>
  <c r="Y42" i="36"/>
  <c r="Z42" i="36"/>
  <c r="AA42" i="36"/>
  <c r="AB42" i="36"/>
  <c r="AC42" i="36"/>
  <c r="W45" i="36"/>
  <c r="X45" i="36"/>
  <c r="Y45" i="36"/>
  <c r="Z45" i="36"/>
  <c r="AA45" i="36"/>
  <c r="AB45" i="36"/>
  <c r="AC45" i="36"/>
  <c r="W46" i="36"/>
  <c r="X46" i="36"/>
  <c r="Y46" i="36"/>
  <c r="Z46" i="36"/>
  <c r="AA46" i="36"/>
  <c r="AB46" i="36"/>
  <c r="AC46" i="36"/>
  <c r="W47" i="36"/>
  <c r="X47" i="36"/>
  <c r="Y47" i="36"/>
  <c r="Z47" i="36"/>
  <c r="AA47" i="36"/>
  <c r="AB47" i="36"/>
  <c r="AC47" i="36"/>
  <c r="W50" i="36"/>
  <c r="X50" i="36"/>
  <c r="Y50" i="36"/>
  <c r="Z50" i="36"/>
  <c r="AA50" i="36"/>
  <c r="AB50" i="36"/>
  <c r="AC50" i="36"/>
  <c r="W51" i="36"/>
  <c r="X51" i="36"/>
  <c r="Y51" i="36"/>
  <c r="Z51" i="36"/>
  <c r="AA51" i="36"/>
  <c r="AB51" i="36"/>
  <c r="AC51" i="36"/>
  <c r="W52" i="36"/>
  <c r="X52" i="36"/>
  <c r="Y52" i="36"/>
  <c r="Z52" i="36"/>
  <c r="AA52" i="36"/>
  <c r="AB52" i="36"/>
  <c r="AC52" i="36"/>
  <c r="W55" i="36"/>
  <c r="X55" i="36"/>
  <c r="Y55" i="36"/>
  <c r="Z55" i="36"/>
  <c r="AA55" i="36"/>
  <c r="AB55" i="36"/>
  <c r="AC55" i="36"/>
  <c r="W58" i="36"/>
  <c r="X58" i="36"/>
  <c r="Y58" i="36"/>
  <c r="Z58" i="36"/>
  <c r="AA58" i="36"/>
  <c r="AB58" i="36"/>
  <c r="AC58" i="36"/>
  <c r="W59" i="36"/>
  <c r="X59" i="36"/>
  <c r="Y59" i="36"/>
  <c r="Z59" i="36"/>
  <c r="AA59" i="36"/>
  <c r="AB59" i="36"/>
  <c r="AC59" i="36"/>
  <c r="W62" i="36"/>
  <c r="X62" i="36"/>
  <c r="Y62" i="36"/>
  <c r="Z62" i="36"/>
  <c r="AA62" i="36"/>
  <c r="AB62" i="36"/>
  <c r="AC62" i="36"/>
  <c r="W65" i="36"/>
  <c r="X65" i="36"/>
  <c r="Y65" i="36"/>
  <c r="Z65" i="36"/>
  <c r="AA65" i="36"/>
  <c r="AB65" i="36"/>
  <c r="AC65" i="36"/>
  <c r="W66" i="36"/>
  <c r="X66" i="36"/>
  <c r="Y66" i="36"/>
  <c r="Z66" i="36"/>
  <c r="AA66" i="36"/>
  <c r="AB66" i="36"/>
  <c r="AC66" i="36"/>
  <c r="W68" i="36"/>
  <c r="X68" i="36"/>
  <c r="Y68" i="36"/>
  <c r="Z68" i="36"/>
  <c r="AA68" i="36"/>
  <c r="AB68" i="36"/>
  <c r="AC68" i="36"/>
  <c r="W69" i="36"/>
  <c r="X69" i="36"/>
  <c r="Y69" i="36"/>
  <c r="Z69" i="36"/>
  <c r="AA69" i="36"/>
  <c r="AB69" i="36"/>
  <c r="AC69" i="36"/>
  <c r="W71" i="36"/>
  <c r="X71" i="36"/>
  <c r="Y71" i="36"/>
  <c r="Z71" i="36"/>
  <c r="AA71" i="36"/>
  <c r="AB71" i="36"/>
  <c r="AC71" i="36"/>
  <c r="W72" i="36"/>
  <c r="X72" i="36"/>
  <c r="Y72" i="36"/>
  <c r="Z72" i="36"/>
  <c r="AA72" i="36"/>
  <c r="AB72" i="36"/>
  <c r="AC72" i="36"/>
  <c r="W74" i="36"/>
  <c r="X74" i="36"/>
  <c r="Y74" i="36"/>
  <c r="Z74" i="36"/>
  <c r="AA74" i="36"/>
  <c r="AB74" i="36"/>
  <c r="AC74" i="36"/>
  <c r="W75" i="36"/>
  <c r="X75" i="36"/>
  <c r="Y75" i="36"/>
  <c r="Z75" i="36"/>
  <c r="AA75" i="36"/>
  <c r="AB75" i="36"/>
  <c r="AC75" i="36"/>
  <c r="W76" i="36"/>
  <c r="X76" i="36"/>
  <c r="Y76" i="36"/>
  <c r="Z76" i="36"/>
  <c r="AA76" i="36"/>
  <c r="AB76" i="36"/>
  <c r="AC76" i="36"/>
  <c r="W77" i="36"/>
  <c r="X77" i="36"/>
  <c r="Y77" i="36"/>
  <c r="Z77" i="36"/>
  <c r="AA77" i="36"/>
  <c r="AB77" i="36"/>
  <c r="AC77" i="36"/>
  <c r="W78" i="36"/>
  <c r="X78" i="36"/>
  <c r="Y78" i="36"/>
  <c r="Z78" i="36"/>
  <c r="AA78" i="36"/>
  <c r="AB78" i="36"/>
  <c r="AC78" i="36"/>
  <c r="W79" i="36"/>
  <c r="X79" i="36"/>
  <c r="Y79" i="36"/>
  <c r="Z79" i="36"/>
  <c r="AA79" i="36"/>
  <c r="AB79" i="36"/>
  <c r="AC79" i="36"/>
  <c r="W83" i="36"/>
  <c r="X83" i="36"/>
  <c r="Y83" i="36"/>
  <c r="Z83" i="36"/>
  <c r="AA83" i="36"/>
  <c r="AB83" i="36"/>
  <c r="AC83" i="36"/>
  <c r="W85" i="36"/>
  <c r="X85" i="36"/>
  <c r="Y85" i="36"/>
  <c r="Z85" i="36"/>
  <c r="AA85" i="36"/>
  <c r="AB85" i="36"/>
  <c r="AC85" i="36"/>
  <c r="W87" i="36"/>
  <c r="X87" i="36"/>
  <c r="Y87" i="36"/>
  <c r="Z87" i="36"/>
  <c r="AA87" i="36"/>
  <c r="AB87" i="36"/>
  <c r="AC87" i="36"/>
  <c r="W89" i="36"/>
  <c r="X89" i="36"/>
  <c r="Y89" i="36"/>
  <c r="Z89" i="36"/>
  <c r="AA89" i="36"/>
  <c r="AB89" i="36"/>
  <c r="AC89" i="36"/>
  <c r="W91" i="36"/>
  <c r="X91" i="36"/>
  <c r="Y91" i="36"/>
  <c r="Z91" i="36"/>
  <c r="AA91" i="36"/>
  <c r="AB91" i="36"/>
  <c r="AC91" i="36"/>
  <c r="W95" i="36"/>
  <c r="X95" i="36"/>
  <c r="Y95" i="36"/>
  <c r="Z95" i="36"/>
  <c r="AA95" i="36"/>
  <c r="AB95" i="36"/>
  <c r="AC95" i="36"/>
  <c r="W96" i="36"/>
  <c r="X96" i="36"/>
  <c r="Y96" i="36"/>
  <c r="Z96" i="36"/>
  <c r="AA96" i="36"/>
  <c r="AB96" i="36"/>
  <c r="AC96" i="36"/>
  <c r="W97" i="36"/>
  <c r="X97" i="36"/>
  <c r="Y97" i="36"/>
  <c r="Z97" i="36"/>
  <c r="AA97" i="36"/>
  <c r="AB97" i="36"/>
  <c r="AC97" i="36"/>
  <c r="W98" i="36"/>
  <c r="X98" i="36"/>
  <c r="Y98" i="36"/>
  <c r="Z98" i="36"/>
  <c r="AA98" i="36"/>
  <c r="AB98" i="36"/>
  <c r="AC98" i="36"/>
  <c r="W99" i="36"/>
  <c r="X99" i="36"/>
  <c r="Y99" i="36"/>
  <c r="Z99" i="36"/>
  <c r="AA99" i="36"/>
  <c r="AB99" i="36"/>
  <c r="AC99" i="36"/>
  <c r="W100" i="36"/>
  <c r="X100" i="36"/>
  <c r="Y100" i="36"/>
  <c r="Z100" i="36"/>
  <c r="AA100" i="36"/>
  <c r="AB100" i="36"/>
  <c r="AC100" i="36"/>
  <c r="W101" i="36"/>
  <c r="X101" i="36"/>
  <c r="Y101" i="36"/>
  <c r="Z101" i="36"/>
  <c r="AA101" i="36"/>
  <c r="AB101" i="36"/>
  <c r="AC101" i="36"/>
  <c r="W102" i="36"/>
  <c r="X102" i="36"/>
  <c r="Y102" i="36"/>
  <c r="Z102" i="36"/>
  <c r="AA102" i="36"/>
  <c r="AB102" i="36"/>
  <c r="AC102" i="36"/>
  <c r="W103" i="36"/>
  <c r="X103" i="36"/>
  <c r="Y103" i="36"/>
  <c r="Z103" i="36"/>
  <c r="AA103" i="36"/>
  <c r="AB103" i="36"/>
  <c r="AC103" i="36"/>
  <c r="W104" i="36"/>
  <c r="X104" i="36"/>
  <c r="Y104" i="36"/>
  <c r="Z104" i="36"/>
  <c r="AA104" i="36"/>
  <c r="AB104" i="36"/>
  <c r="AC104" i="36"/>
  <c r="W105" i="36"/>
  <c r="X105" i="36"/>
  <c r="Y105" i="36"/>
  <c r="Z105" i="36"/>
  <c r="AA105" i="36"/>
  <c r="AB105" i="36"/>
  <c r="AC105" i="36"/>
  <c r="W106" i="36"/>
  <c r="X106" i="36"/>
  <c r="Y106" i="36"/>
  <c r="Z106" i="36"/>
  <c r="AA106" i="36"/>
  <c r="AB106" i="36"/>
  <c r="AC106" i="36"/>
  <c r="W107" i="36"/>
  <c r="X107" i="36"/>
  <c r="Y107" i="36"/>
  <c r="Z107" i="36"/>
  <c r="AA107" i="36"/>
  <c r="AB107" i="36"/>
  <c r="AC107" i="36"/>
  <c r="W108" i="36"/>
  <c r="X108" i="36"/>
  <c r="Y108" i="36"/>
  <c r="Z108" i="36"/>
  <c r="AA108" i="36"/>
  <c r="AB108" i="36"/>
  <c r="AC108" i="36"/>
  <c r="W111" i="36"/>
  <c r="X111" i="36"/>
  <c r="Y111" i="36"/>
  <c r="Z111" i="36"/>
  <c r="AA111" i="36"/>
  <c r="AB111" i="36"/>
  <c r="AC111" i="36"/>
  <c r="W112" i="36"/>
  <c r="X112" i="36"/>
  <c r="Y112" i="36"/>
  <c r="Z112" i="36"/>
  <c r="AA112" i="36"/>
  <c r="AB112" i="36"/>
  <c r="AC112" i="36"/>
  <c r="W113" i="36"/>
  <c r="X113" i="36"/>
  <c r="Y113" i="36"/>
  <c r="Z113" i="36"/>
  <c r="AA113" i="36"/>
  <c r="AB113" i="36"/>
  <c r="AC113" i="36"/>
  <c r="W116" i="36"/>
  <c r="X116" i="36"/>
  <c r="Y116" i="36"/>
  <c r="Z116" i="36"/>
  <c r="AA116" i="36"/>
  <c r="AB116" i="36"/>
  <c r="AC116" i="36"/>
  <c r="W117" i="36"/>
  <c r="X117" i="36"/>
  <c r="Y117" i="36"/>
  <c r="Z117" i="36"/>
  <c r="AA117" i="36"/>
  <c r="AB117" i="36"/>
  <c r="AC117" i="36"/>
  <c r="W118" i="36"/>
  <c r="X118" i="36"/>
  <c r="Y118" i="36"/>
  <c r="Z118" i="36"/>
  <c r="AA118" i="36"/>
  <c r="AB118" i="36"/>
  <c r="AC118" i="36"/>
  <c r="W119" i="36"/>
  <c r="X119" i="36"/>
  <c r="Y119" i="36"/>
  <c r="Z119" i="36"/>
  <c r="AA119" i="36"/>
  <c r="AB119" i="36"/>
  <c r="AC119" i="36"/>
  <c r="W120" i="36"/>
  <c r="X120" i="36"/>
  <c r="Y120" i="36"/>
  <c r="Z120" i="36"/>
  <c r="AA120" i="36"/>
  <c r="AB120" i="36"/>
  <c r="AC120" i="36"/>
  <c r="W121" i="36"/>
  <c r="X121" i="36"/>
  <c r="Y121" i="36"/>
  <c r="Z121" i="36"/>
  <c r="AA121" i="36"/>
  <c r="AB121" i="36"/>
  <c r="AC121" i="36"/>
  <c r="W122" i="36"/>
  <c r="X122" i="36"/>
  <c r="Y122" i="36"/>
  <c r="Z122" i="36"/>
  <c r="AA122" i="36"/>
  <c r="AB122" i="36"/>
  <c r="AC122" i="36"/>
  <c r="W123" i="36"/>
  <c r="X123" i="36"/>
  <c r="Y123" i="36"/>
  <c r="Z123" i="36"/>
  <c r="AA123" i="36"/>
  <c r="AB123" i="36"/>
  <c r="AC123" i="36"/>
  <c r="W124" i="36"/>
  <c r="X124" i="36"/>
  <c r="Y124" i="36"/>
  <c r="Z124" i="36"/>
  <c r="AA124" i="36"/>
  <c r="AB124" i="36"/>
  <c r="AC124" i="36"/>
  <c r="W125" i="36"/>
  <c r="X125" i="36"/>
  <c r="Y125" i="36"/>
  <c r="Z125" i="36"/>
  <c r="AA125" i="36"/>
  <c r="AB125" i="36"/>
  <c r="AC125" i="36"/>
  <c r="W126" i="36"/>
  <c r="X126" i="36"/>
  <c r="Y126" i="36"/>
  <c r="Z126" i="36"/>
  <c r="AA126" i="36"/>
  <c r="AB126" i="36"/>
  <c r="AC126" i="36"/>
  <c r="W127" i="36"/>
  <c r="X127" i="36"/>
  <c r="Y127" i="36"/>
  <c r="Z127" i="36"/>
  <c r="AA127" i="36"/>
  <c r="AB127" i="36"/>
  <c r="AC127" i="36"/>
  <c r="W130" i="36"/>
  <c r="X130" i="36"/>
  <c r="Y130" i="36"/>
  <c r="Z130" i="36"/>
  <c r="AA130" i="36"/>
  <c r="AB130" i="36"/>
  <c r="AC130" i="36"/>
  <c r="W131" i="36"/>
  <c r="X131" i="36"/>
  <c r="Y131" i="36"/>
  <c r="Z131" i="36"/>
  <c r="AA131" i="36"/>
  <c r="AB131" i="36"/>
  <c r="AC131" i="36"/>
  <c r="W132" i="36"/>
  <c r="X132" i="36"/>
  <c r="Y132" i="36"/>
  <c r="Z132" i="36"/>
  <c r="AA132" i="36"/>
  <c r="AB132" i="36"/>
  <c r="AC132" i="36"/>
  <c r="W133" i="36"/>
  <c r="X133" i="36"/>
  <c r="Y133" i="36"/>
  <c r="Z133" i="36"/>
  <c r="AA133" i="36"/>
  <c r="AB133" i="36"/>
  <c r="AC133" i="36"/>
  <c r="W134" i="36"/>
  <c r="X134" i="36"/>
  <c r="Y134" i="36"/>
  <c r="Z134" i="36"/>
  <c r="AA134" i="36"/>
  <c r="AB134" i="36"/>
  <c r="AC134" i="36"/>
  <c r="W135" i="36"/>
  <c r="X135" i="36"/>
  <c r="Y135" i="36"/>
  <c r="Z135" i="36"/>
  <c r="AA135" i="36"/>
  <c r="AB135" i="36"/>
  <c r="AC135" i="36"/>
  <c r="W136" i="36"/>
  <c r="X136" i="36"/>
  <c r="Y136" i="36"/>
  <c r="Z136" i="36"/>
  <c r="AA136" i="36"/>
  <c r="AB136" i="36"/>
  <c r="AC136" i="36"/>
  <c r="W137" i="36"/>
  <c r="X137" i="36"/>
  <c r="Y137" i="36"/>
  <c r="Z137" i="36"/>
  <c r="AA137" i="36"/>
  <c r="AB137" i="36"/>
  <c r="AC137" i="36"/>
  <c r="W138" i="36"/>
  <c r="X138" i="36"/>
  <c r="Y138" i="36"/>
  <c r="Z138" i="36"/>
  <c r="AA138" i="36"/>
  <c r="AB138" i="36"/>
  <c r="AC138" i="36"/>
  <c r="W139" i="36"/>
  <c r="X139" i="36"/>
  <c r="Y139" i="36"/>
  <c r="Z139" i="36"/>
  <c r="AA139" i="36"/>
  <c r="AB139" i="36"/>
  <c r="AC139" i="36"/>
  <c r="W140" i="36"/>
  <c r="X140" i="36"/>
  <c r="Y140" i="36"/>
  <c r="Z140" i="36"/>
  <c r="AA140" i="36"/>
  <c r="AB140" i="36"/>
  <c r="AC140" i="36"/>
  <c r="W141" i="36"/>
  <c r="X141" i="36"/>
  <c r="Y141" i="36"/>
  <c r="Z141" i="36"/>
  <c r="AA141" i="36"/>
  <c r="AB141" i="36"/>
  <c r="AC141" i="36"/>
  <c r="W144" i="36"/>
  <c r="X144" i="36"/>
  <c r="Y144" i="36"/>
  <c r="Z144" i="36"/>
  <c r="AA144" i="36"/>
  <c r="AB144" i="36"/>
  <c r="AC144" i="36"/>
  <c r="W145" i="36"/>
  <c r="X145" i="36"/>
  <c r="Y145" i="36"/>
  <c r="Z145" i="36"/>
  <c r="AA145" i="36"/>
  <c r="AB145" i="36"/>
  <c r="AC145" i="36"/>
  <c r="W146" i="36"/>
  <c r="X146" i="36"/>
  <c r="Y146" i="36"/>
  <c r="Z146" i="36"/>
  <c r="AA146" i="36"/>
  <c r="AB146" i="36"/>
  <c r="AC146" i="36"/>
  <c r="W147" i="36"/>
  <c r="X147" i="36"/>
  <c r="Y147" i="36"/>
  <c r="Z147" i="36"/>
  <c r="AA147" i="36"/>
  <c r="AB147" i="36"/>
  <c r="AC147" i="36"/>
  <c r="W148" i="36"/>
  <c r="X148" i="36"/>
  <c r="Y148" i="36"/>
  <c r="Z148" i="36"/>
  <c r="AA148" i="36"/>
  <c r="AB148" i="36"/>
  <c r="AC148" i="36"/>
  <c r="W149" i="36"/>
  <c r="X149" i="36"/>
  <c r="Y149" i="36"/>
  <c r="Z149" i="36"/>
  <c r="AA149" i="36"/>
  <c r="AB149" i="36"/>
  <c r="AC149" i="36"/>
  <c r="W150" i="36"/>
  <c r="X150" i="36"/>
  <c r="Y150" i="36"/>
  <c r="Z150" i="36"/>
  <c r="AA150" i="36"/>
  <c r="AB150" i="36"/>
  <c r="AC150" i="36"/>
  <c r="W151" i="36"/>
  <c r="X151" i="36"/>
  <c r="Y151" i="36"/>
  <c r="Z151" i="36"/>
  <c r="AA151" i="36"/>
  <c r="AB151" i="36"/>
  <c r="AC151" i="36"/>
  <c r="W152" i="36"/>
  <c r="X152" i="36"/>
  <c r="Y152" i="36"/>
  <c r="Z152" i="36"/>
  <c r="AA152" i="36"/>
  <c r="AB152" i="36"/>
  <c r="AC152" i="36"/>
  <c r="W153" i="36"/>
  <c r="X153" i="36"/>
  <c r="Y153" i="36"/>
  <c r="Z153" i="36"/>
  <c r="AA153" i="36"/>
  <c r="AB153" i="36"/>
  <c r="AC153" i="36"/>
  <c r="W154" i="36"/>
  <c r="X154" i="36"/>
  <c r="Y154" i="36"/>
  <c r="Z154" i="36"/>
  <c r="AA154" i="36"/>
  <c r="AB154" i="36"/>
  <c r="AC154" i="36"/>
  <c r="W157" i="36"/>
  <c r="X157" i="36"/>
  <c r="Y157" i="36"/>
  <c r="Z157" i="36"/>
  <c r="AA157" i="36"/>
  <c r="AB157" i="36"/>
  <c r="AC157" i="36"/>
  <c r="W158" i="36"/>
  <c r="X158" i="36"/>
  <c r="Y158" i="36"/>
  <c r="Z158" i="36"/>
  <c r="AA158" i="36"/>
  <c r="AB158" i="36"/>
  <c r="AC158" i="36"/>
  <c r="W161" i="36"/>
  <c r="X161" i="36"/>
  <c r="Y161" i="36"/>
  <c r="Z161" i="36"/>
  <c r="AA161" i="36"/>
  <c r="AB161" i="36"/>
  <c r="AC161" i="36"/>
  <c r="W162" i="36"/>
  <c r="X162" i="36"/>
  <c r="Y162" i="36"/>
  <c r="Z162" i="36"/>
  <c r="AA162" i="36"/>
  <c r="AB162" i="36"/>
  <c r="AC162" i="36"/>
  <c r="W164" i="36"/>
  <c r="X164" i="36"/>
  <c r="Y164" i="36"/>
  <c r="Z164" i="36"/>
  <c r="AA164" i="36"/>
  <c r="AB164" i="36"/>
  <c r="AC164" i="36"/>
  <c r="W165" i="36"/>
  <c r="X165" i="36"/>
  <c r="Y165" i="36"/>
  <c r="Z165" i="36"/>
  <c r="AA165" i="36"/>
  <c r="AB165" i="36"/>
  <c r="AC165" i="36"/>
  <c r="W166" i="36"/>
  <c r="X166" i="36"/>
  <c r="Y166" i="36"/>
  <c r="Z166" i="36"/>
  <c r="AA166" i="36"/>
  <c r="AB166" i="36"/>
  <c r="AC166" i="36"/>
  <c r="W167" i="36"/>
  <c r="X167" i="36"/>
  <c r="Y167" i="36"/>
  <c r="Z167" i="36"/>
  <c r="AA167" i="36"/>
  <c r="AB167" i="36"/>
  <c r="AC167" i="36"/>
  <c r="W168" i="36"/>
  <c r="X168" i="36"/>
  <c r="Y168" i="36"/>
  <c r="Z168" i="36"/>
  <c r="AA168" i="36"/>
  <c r="AB168" i="36"/>
  <c r="AC168" i="36"/>
  <c r="W169" i="36"/>
  <c r="X169" i="36"/>
  <c r="Y169" i="36"/>
  <c r="Z169" i="36"/>
  <c r="AA169" i="36"/>
  <c r="AB169" i="36"/>
  <c r="AC169" i="36"/>
  <c r="W172" i="36"/>
  <c r="X172" i="36"/>
  <c r="Y172" i="36"/>
  <c r="Z172" i="36"/>
  <c r="AA172" i="36"/>
  <c r="AB172" i="36"/>
  <c r="AC172" i="36"/>
  <c r="W173" i="36"/>
  <c r="X173" i="36"/>
  <c r="Y173" i="36"/>
  <c r="Z173" i="36"/>
  <c r="AA173" i="36"/>
  <c r="AB173" i="36"/>
  <c r="AC173" i="36"/>
  <c r="W174" i="36"/>
  <c r="X174" i="36"/>
  <c r="Y174" i="36"/>
  <c r="Z174" i="36"/>
  <c r="AA174" i="36"/>
  <c r="AB174" i="36"/>
  <c r="AC174" i="36"/>
  <c r="W176" i="36"/>
  <c r="X176" i="36"/>
  <c r="Y176" i="36"/>
  <c r="Z176" i="36"/>
  <c r="AA176" i="36"/>
  <c r="AB176" i="36"/>
  <c r="AC176" i="36"/>
  <c r="W177" i="36"/>
  <c r="X177" i="36"/>
  <c r="Y177" i="36"/>
  <c r="Z177" i="36"/>
  <c r="AA177" i="36"/>
  <c r="AB177" i="36"/>
  <c r="AC177" i="36"/>
  <c r="W178" i="36"/>
  <c r="X178" i="36"/>
  <c r="Y178" i="36"/>
  <c r="Z178" i="36"/>
  <c r="AA178" i="36"/>
  <c r="AB178" i="36"/>
  <c r="AC178" i="36"/>
  <c r="W179" i="36"/>
  <c r="X179" i="36"/>
  <c r="Y179" i="36"/>
  <c r="Z179" i="36"/>
  <c r="AA179" i="36"/>
  <c r="AB179" i="36"/>
  <c r="AC179" i="36"/>
  <c r="W180" i="36"/>
  <c r="X180" i="36"/>
  <c r="Y180" i="36"/>
  <c r="Z180" i="36"/>
  <c r="AA180" i="36"/>
  <c r="AB180" i="36"/>
  <c r="AC180" i="36"/>
  <c r="W181" i="36"/>
  <c r="X181" i="36"/>
  <c r="Y181" i="36"/>
  <c r="Z181" i="36"/>
  <c r="AA181" i="36"/>
  <c r="AB181" i="36"/>
  <c r="AC181" i="36"/>
  <c r="W185" i="36"/>
  <c r="X185" i="36"/>
  <c r="Y185" i="36"/>
  <c r="Z185" i="36"/>
  <c r="AA185" i="36"/>
  <c r="AB185" i="36"/>
  <c r="AC185" i="36"/>
  <c r="W186" i="36"/>
  <c r="X186" i="36"/>
  <c r="Y186" i="36"/>
  <c r="Z186" i="36"/>
  <c r="AA186" i="36"/>
  <c r="AB186" i="36"/>
  <c r="AC186" i="36"/>
  <c r="W187" i="36"/>
  <c r="X187" i="36"/>
  <c r="Y187" i="36"/>
  <c r="Z187" i="36"/>
  <c r="AA187" i="36"/>
  <c r="AB187" i="36"/>
  <c r="AC187" i="36"/>
  <c r="W188" i="36"/>
  <c r="X188" i="36"/>
  <c r="Y188" i="36"/>
  <c r="Z188" i="36"/>
  <c r="AA188" i="36"/>
  <c r="AB188" i="36"/>
  <c r="AC188" i="36"/>
  <c r="W189" i="36"/>
  <c r="X189" i="36"/>
  <c r="Y189" i="36"/>
  <c r="Z189" i="36"/>
  <c r="AA189" i="36"/>
  <c r="AB189" i="36"/>
  <c r="AC189" i="36"/>
  <c r="W190" i="36"/>
  <c r="X190" i="36"/>
  <c r="Y190" i="36"/>
  <c r="Z190" i="36"/>
  <c r="AA190" i="36"/>
  <c r="AB190" i="36"/>
  <c r="AC190" i="36"/>
  <c r="W191" i="36"/>
  <c r="X191" i="36"/>
  <c r="Y191" i="36"/>
  <c r="Z191" i="36"/>
  <c r="AA191" i="36"/>
  <c r="AB191" i="36"/>
  <c r="AC191" i="36"/>
  <c r="W192" i="36"/>
  <c r="X192" i="36"/>
  <c r="Y192" i="36"/>
  <c r="Z192" i="36"/>
  <c r="AA192" i="36"/>
  <c r="AB192" i="36"/>
  <c r="AC192" i="36"/>
  <c r="W197" i="36"/>
  <c r="X197" i="36"/>
  <c r="Y197" i="36"/>
  <c r="Z197" i="36"/>
  <c r="AA197" i="36"/>
  <c r="AB197" i="36"/>
  <c r="AC197" i="36"/>
  <c r="W199" i="36"/>
  <c r="X199" i="36"/>
  <c r="Y199" i="36"/>
  <c r="Z199" i="36"/>
  <c r="AA199" i="36"/>
  <c r="AB199" i="36"/>
  <c r="AC199" i="36"/>
  <c r="W201" i="36"/>
  <c r="X201" i="36"/>
  <c r="Y201" i="36"/>
  <c r="Z201" i="36"/>
  <c r="AA201" i="36"/>
  <c r="AB201" i="36"/>
  <c r="AC201" i="36"/>
  <c r="W203" i="36"/>
  <c r="X203" i="36"/>
  <c r="Y203" i="36"/>
  <c r="Z203" i="36"/>
  <c r="AA203" i="36"/>
  <c r="AB203" i="36"/>
  <c r="AC203" i="36"/>
  <c r="W205" i="36"/>
  <c r="X205" i="36"/>
  <c r="Y205" i="36"/>
  <c r="Z205" i="36"/>
  <c r="AA205" i="36"/>
  <c r="AB205" i="36"/>
  <c r="AC205" i="36"/>
  <c r="W207" i="36"/>
  <c r="X207" i="36"/>
  <c r="Y207" i="36"/>
  <c r="Z207" i="36"/>
  <c r="AA207" i="36"/>
  <c r="AB207" i="36"/>
  <c r="AC207" i="36"/>
  <c r="W209" i="36"/>
  <c r="X209" i="36"/>
  <c r="Y209" i="36"/>
  <c r="Z209" i="36"/>
  <c r="AA209" i="36"/>
  <c r="AB209" i="36"/>
  <c r="AC209" i="36"/>
  <c r="W211" i="36"/>
  <c r="X211" i="36"/>
  <c r="Y211" i="36"/>
  <c r="Z211" i="36"/>
  <c r="AA211" i="36"/>
  <c r="AB211" i="36"/>
  <c r="AC211" i="36"/>
  <c r="W213" i="36"/>
  <c r="X213" i="36"/>
  <c r="Y213" i="36"/>
  <c r="Z213" i="36"/>
  <c r="AA213" i="36"/>
  <c r="AB213" i="36"/>
  <c r="AC213" i="36"/>
  <c r="W215" i="36"/>
  <c r="X215" i="36"/>
  <c r="Y215" i="36"/>
  <c r="Z215" i="36"/>
  <c r="AA215" i="36"/>
  <c r="AB215" i="36"/>
  <c r="AC215" i="36"/>
  <c r="W217" i="36"/>
  <c r="X217" i="36"/>
  <c r="Y217" i="36"/>
  <c r="Z217" i="36"/>
  <c r="AA217" i="36"/>
  <c r="AB217" i="36"/>
  <c r="AC217" i="36"/>
  <c r="W221" i="36"/>
  <c r="X221" i="36"/>
  <c r="Y221" i="36"/>
  <c r="Z221" i="36"/>
  <c r="AA221" i="36"/>
  <c r="AB221" i="36"/>
  <c r="AC221" i="36"/>
  <c r="W222" i="36"/>
  <c r="X222" i="36"/>
  <c r="Y222" i="36"/>
  <c r="Z222" i="36"/>
  <c r="AA222" i="36"/>
  <c r="AB222" i="36"/>
  <c r="AC222" i="36"/>
  <c r="W223" i="36"/>
  <c r="X223" i="36"/>
  <c r="Y223" i="36"/>
  <c r="Z223" i="36"/>
  <c r="AA223" i="36"/>
  <c r="AB223" i="36"/>
  <c r="AC223" i="36"/>
  <c r="W224" i="36"/>
  <c r="X224" i="36"/>
  <c r="Y224" i="36"/>
  <c r="Z224" i="36"/>
  <c r="AA224" i="36"/>
  <c r="AB224" i="36"/>
  <c r="AC224" i="36"/>
  <c r="W225" i="36"/>
  <c r="X225" i="36"/>
  <c r="Y225" i="36"/>
  <c r="Z225" i="36"/>
  <c r="AA225" i="36"/>
  <c r="AB225" i="36"/>
  <c r="AC225" i="36"/>
  <c r="W226" i="36"/>
  <c r="X226" i="36"/>
  <c r="Y226" i="36"/>
  <c r="Z226" i="36"/>
  <c r="AA226" i="36"/>
  <c r="AB226" i="36"/>
  <c r="AC226" i="36"/>
  <c r="W227" i="36"/>
  <c r="X227" i="36"/>
  <c r="Y227" i="36"/>
  <c r="Z227" i="36"/>
  <c r="AA227" i="36"/>
  <c r="AB227" i="36"/>
  <c r="AC227" i="36"/>
  <c r="W228" i="36"/>
  <c r="X228" i="36"/>
  <c r="Y228" i="36"/>
  <c r="Z228" i="36"/>
  <c r="AA228" i="36"/>
  <c r="AB228" i="36"/>
  <c r="AC228" i="36"/>
  <c r="W229" i="36"/>
  <c r="X229" i="36"/>
  <c r="Y229" i="36"/>
  <c r="Z229" i="36"/>
  <c r="AA229" i="36"/>
  <c r="AB229" i="36"/>
  <c r="AC229" i="36"/>
  <c r="W230" i="36"/>
  <c r="X230" i="36"/>
  <c r="Y230" i="36"/>
  <c r="Z230" i="36"/>
  <c r="AA230" i="36"/>
  <c r="AB230" i="36"/>
  <c r="AC230" i="36"/>
  <c r="W231" i="36"/>
  <c r="X231" i="36"/>
  <c r="Y231" i="36"/>
  <c r="Z231" i="36"/>
  <c r="AA231" i="36"/>
  <c r="AB231" i="36"/>
  <c r="AC231" i="36"/>
  <c r="W232" i="36"/>
  <c r="X232" i="36"/>
  <c r="Y232" i="36"/>
  <c r="Z232" i="36"/>
  <c r="AA232" i="36"/>
  <c r="AB232" i="36"/>
  <c r="AC232" i="36"/>
  <c r="W235" i="36"/>
  <c r="X235" i="36"/>
  <c r="Y235" i="36"/>
  <c r="Z235" i="36"/>
  <c r="AA235" i="36"/>
  <c r="AB235" i="36"/>
  <c r="AC235" i="36"/>
  <c r="W236" i="36"/>
  <c r="X236" i="36"/>
  <c r="Y236" i="36"/>
  <c r="Z236" i="36"/>
  <c r="AA236" i="36"/>
  <c r="AB236" i="36"/>
  <c r="AC236" i="36"/>
  <c r="W237" i="36"/>
  <c r="X237" i="36"/>
  <c r="Y237" i="36"/>
  <c r="Z237" i="36"/>
  <c r="AA237" i="36"/>
  <c r="AB237" i="36"/>
  <c r="AC237" i="36"/>
  <c r="W238" i="36"/>
  <c r="X238" i="36"/>
  <c r="Y238" i="36"/>
  <c r="Z238" i="36"/>
  <c r="AA238" i="36"/>
  <c r="AB238" i="36"/>
  <c r="AC238" i="36"/>
  <c r="W239" i="36"/>
  <c r="X239" i="36"/>
  <c r="Y239" i="36"/>
  <c r="Z239" i="36"/>
  <c r="AA239" i="36"/>
  <c r="AB239" i="36"/>
  <c r="AC239" i="36"/>
  <c r="W240" i="36"/>
  <c r="X240" i="36"/>
  <c r="Y240" i="36"/>
  <c r="Z240" i="36"/>
  <c r="AA240" i="36"/>
  <c r="AB240" i="36"/>
  <c r="AC240" i="36"/>
  <c r="W241" i="36"/>
  <c r="X241" i="36"/>
  <c r="Y241" i="36"/>
  <c r="Z241" i="36"/>
  <c r="AA241" i="36"/>
  <c r="AB241" i="36"/>
  <c r="AC241" i="36"/>
  <c r="W242" i="36"/>
  <c r="X242" i="36"/>
  <c r="Y242" i="36"/>
  <c r="Z242" i="36"/>
  <c r="AA242" i="36"/>
  <c r="AB242" i="36"/>
  <c r="AC242" i="36"/>
  <c r="W243" i="36"/>
  <c r="X243" i="36"/>
  <c r="Y243" i="36"/>
  <c r="Z243" i="36"/>
  <c r="AA243" i="36"/>
  <c r="AB243" i="36"/>
  <c r="AC243" i="36"/>
  <c r="W244" i="36"/>
  <c r="X244" i="36"/>
  <c r="Y244" i="36"/>
  <c r="Z244" i="36"/>
  <c r="AA244" i="36"/>
  <c r="AB244" i="36"/>
  <c r="AC244" i="36"/>
  <c r="W245" i="36"/>
  <c r="X245" i="36"/>
  <c r="Y245" i="36"/>
  <c r="Z245" i="36"/>
  <c r="AA245" i="36"/>
  <c r="AB245" i="36"/>
  <c r="AC245" i="36"/>
  <c r="W248" i="36"/>
  <c r="X248" i="36"/>
  <c r="Y248" i="36"/>
  <c r="Z248" i="36"/>
  <c r="AA248" i="36"/>
  <c r="AB248" i="36"/>
  <c r="AC248" i="36"/>
  <c r="W249" i="36"/>
  <c r="X249" i="36"/>
  <c r="Y249" i="36"/>
  <c r="Z249" i="36"/>
  <c r="AA249" i="36"/>
  <c r="AB249" i="36"/>
  <c r="AC249" i="36"/>
  <c r="W250" i="36"/>
  <c r="X250" i="36"/>
  <c r="Y250" i="36"/>
  <c r="Z250" i="36"/>
  <c r="AA250" i="36"/>
  <c r="AB250" i="36"/>
  <c r="AC250" i="36"/>
  <c r="W251" i="36"/>
  <c r="X251" i="36"/>
  <c r="Y251" i="36"/>
  <c r="Z251" i="36"/>
  <c r="AA251" i="36"/>
  <c r="AB251" i="36"/>
  <c r="AC251" i="36"/>
  <c r="W255" i="36"/>
  <c r="X255" i="36"/>
  <c r="Y255" i="36"/>
  <c r="Z255" i="36"/>
  <c r="AA255" i="36"/>
  <c r="AB255" i="36"/>
  <c r="AC255" i="36"/>
  <c r="W256" i="36"/>
  <c r="X256" i="36"/>
  <c r="Y256" i="36"/>
  <c r="Z256" i="36"/>
  <c r="AA256" i="36"/>
  <c r="AB256" i="36"/>
  <c r="AC256" i="36"/>
  <c r="W257" i="36"/>
  <c r="X257" i="36"/>
  <c r="Y257" i="36"/>
  <c r="Z257" i="36"/>
  <c r="AA257" i="36"/>
  <c r="AB257" i="36"/>
  <c r="AC257" i="36"/>
  <c r="W258" i="36"/>
  <c r="X258" i="36"/>
  <c r="Y258" i="36"/>
  <c r="Z258" i="36"/>
  <c r="AA258" i="36"/>
  <c r="AB258" i="36"/>
  <c r="AC258" i="36"/>
  <c r="W259" i="36"/>
  <c r="X259" i="36"/>
  <c r="Y259" i="36"/>
  <c r="Z259" i="36"/>
  <c r="AA259" i="36"/>
  <c r="AB259" i="36"/>
  <c r="AC259" i="36"/>
  <c r="W260" i="36"/>
  <c r="X260" i="36"/>
  <c r="Y260" i="36"/>
  <c r="Z260" i="36"/>
  <c r="AA260" i="36"/>
  <c r="AB260" i="36"/>
  <c r="AC260" i="36"/>
  <c r="W261" i="36"/>
  <c r="X261" i="36"/>
  <c r="Y261" i="36"/>
  <c r="Z261" i="36"/>
  <c r="AA261" i="36"/>
  <c r="AB261" i="36"/>
  <c r="AC261" i="36"/>
  <c r="W262" i="36"/>
  <c r="X262" i="36"/>
  <c r="Y262" i="36"/>
  <c r="Z262" i="36"/>
  <c r="AA262" i="36"/>
  <c r="AB262" i="36"/>
  <c r="AC262" i="36"/>
  <c r="W263" i="36"/>
  <c r="X263" i="36"/>
  <c r="Y263" i="36"/>
  <c r="Z263" i="36"/>
  <c r="AA263" i="36"/>
  <c r="AB263" i="36"/>
  <c r="AC263" i="36"/>
  <c r="W264" i="36"/>
  <c r="X264" i="36"/>
  <c r="Y264" i="36"/>
  <c r="Z264" i="36"/>
  <c r="AA264" i="36"/>
  <c r="AB264" i="36"/>
  <c r="AC264" i="36"/>
  <c r="W265" i="36"/>
  <c r="X265" i="36"/>
  <c r="Y265" i="36"/>
  <c r="Z265" i="36"/>
  <c r="AA265" i="36"/>
  <c r="AB265" i="36"/>
  <c r="AC265" i="36"/>
  <c r="W268" i="36"/>
  <c r="X268" i="36"/>
  <c r="Y268" i="36"/>
  <c r="Z268" i="36"/>
  <c r="AA268" i="36"/>
  <c r="AB268" i="36"/>
  <c r="AC268" i="36"/>
  <c r="W269" i="36"/>
  <c r="X269" i="36"/>
  <c r="Y269" i="36"/>
  <c r="Z269" i="36"/>
  <c r="AA269" i="36"/>
  <c r="AB269" i="36"/>
  <c r="AC269" i="36"/>
  <c r="W270" i="36"/>
  <c r="X270" i="36"/>
  <c r="Y270" i="36"/>
  <c r="Z270" i="36"/>
  <c r="AA270" i="36"/>
  <c r="AB270" i="36"/>
  <c r="AC270" i="36"/>
  <c r="W271" i="36"/>
  <c r="X271" i="36"/>
  <c r="Y271" i="36"/>
  <c r="Z271" i="36"/>
  <c r="AA271" i="36"/>
  <c r="AB271" i="36"/>
  <c r="AC271" i="36"/>
  <c r="W272" i="36"/>
  <c r="X272" i="36"/>
  <c r="Y272" i="36"/>
  <c r="Z272" i="36"/>
  <c r="AA272" i="36"/>
  <c r="AB272" i="36"/>
  <c r="AC272" i="36"/>
  <c r="W273" i="36"/>
  <c r="X273" i="36"/>
  <c r="Y273" i="36"/>
  <c r="Z273" i="36"/>
  <c r="AA273" i="36"/>
  <c r="AB273" i="36"/>
  <c r="AC273" i="36"/>
  <c r="W274" i="36"/>
  <c r="X274" i="36"/>
  <c r="Y274" i="36"/>
  <c r="Z274" i="36"/>
  <c r="AA274" i="36"/>
  <c r="AB274" i="36"/>
  <c r="AC274" i="36"/>
  <c r="W275" i="36"/>
  <c r="X275" i="36"/>
  <c r="Y275" i="36"/>
  <c r="Z275" i="36"/>
  <c r="AA275" i="36"/>
  <c r="AB275" i="36"/>
  <c r="AC275" i="36"/>
  <c r="W276" i="36"/>
  <c r="X276" i="36"/>
  <c r="Y276" i="36"/>
  <c r="Z276" i="36"/>
  <c r="AA276" i="36"/>
  <c r="AB276" i="36"/>
  <c r="AC276" i="36"/>
  <c r="W277" i="36"/>
  <c r="X277" i="36"/>
  <c r="Y277" i="36"/>
  <c r="Z277" i="36"/>
  <c r="AA277" i="36"/>
  <c r="AB277" i="36"/>
  <c r="AC277" i="36"/>
  <c r="W278" i="36"/>
  <c r="X278" i="36"/>
  <c r="Y278" i="36"/>
  <c r="Z278" i="36"/>
  <c r="AA278" i="36"/>
  <c r="AB278" i="36"/>
  <c r="AC278" i="36"/>
  <c r="W279" i="36"/>
  <c r="X279" i="36"/>
  <c r="Y279" i="36"/>
  <c r="Z279" i="36"/>
  <c r="AA279" i="36"/>
  <c r="AB279" i="36"/>
  <c r="AC279" i="36"/>
  <c r="W280" i="36"/>
  <c r="X280" i="36"/>
  <c r="Y280" i="36"/>
  <c r="Z280" i="36"/>
  <c r="AA280" i="36"/>
  <c r="AB280" i="36"/>
  <c r="AC280" i="36"/>
  <c r="W281" i="36"/>
  <c r="X281" i="36"/>
  <c r="Y281" i="36"/>
  <c r="Z281" i="36"/>
  <c r="AA281" i="36"/>
  <c r="AB281" i="36"/>
  <c r="AC281" i="36"/>
  <c r="W282" i="36"/>
  <c r="X282" i="36"/>
  <c r="Y282" i="36"/>
  <c r="Z282" i="36"/>
  <c r="AA282" i="36"/>
  <c r="AB282" i="36"/>
  <c r="AC282" i="36"/>
  <c r="W283" i="36"/>
  <c r="X283" i="36"/>
  <c r="Y283" i="36"/>
  <c r="Z283" i="36"/>
  <c r="AA283" i="36"/>
  <c r="AB283" i="36"/>
  <c r="AC283" i="36"/>
  <c r="W287" i="36"/>
  <c r="X287" i="36"/>
  <c r="Y287" i="36"/>
  <c r="Z287" i="36"/>
  <c r="AA287" i="36"/>
  <c r="AB287" i="36"/>
  <c r="AC287" i="36"/>
  <c r="W288" i="36"/>
  <c r="X288" i="36"/>
  <c r="Y288" i="36"/>
  <c r="Z288" i="36"/>
  <c r="AA288" i="36"/>
  <c r="AB288" i="36"/>
  <c r="AC288" i="36"/>
  <c r="W289" i="36"/>
  <c r="X289" i="36"/>
  <c r="Y289" i="36"/>
  <c r="Z289" i="36"/>
  <c r="AA289" i="36"/>
  <c r="AB289" i="36"/>
  <c r="AC289" i="36"/>
  <c r="W290" i="36"/>
  <c r="X290" i="36"/>
  <c r="Y290" i="36"/>
  <c r="Z290" i="36"/>
  <c r="AA290" i="36"/>
  <c r="AB290" i="36"/>
  <c r="AC290" i="36"/>
  <c r="W291" i="36"/>
  <c r="X291" i="36"/>
  <c r="Y291" i="36"/>
  <c r="Z291" i="36"/>
  <c r="AA291" i="36"/>
  <c r="AB291" i="36"/>
  <c r="AC291" i="36"/>
  <c r="W292" i="36"/>
  <c r="X292" i="36"/>
  <c r="Y292" i="36"/>
  <c r="Z292" i="36"/>
  <c r="AA292" i="36"/>
  <c r="AB292" i="36"/>
  <c r="AC292" i="36"/>
  <c r="W293" i="36"/>
  <c r="X293" i="36"/>
  <c r="Y293" i="36"/>
  <c r="Z293" i="36"/>
  <c r="AA293" i="36"/>
  <c r="AB293" i="36"/>
  <c r="AC293" i="36"/>
  <c r="W294" i="36"/>
  <c r="X294" i="36"/>
  <c r="Y294" i="36"/>
  <c r="Z294" i="36"/>
  <c r="AA294" i="36"/>
  <c r="AB294" i="36"/>
  <c r="AC294" i="36"/>
  <c r="W295" i="36"/>
  <c r="X295" i="36"/>
  <c r="Y295" i="36"/>
  <c r="Z295" i="36"/>
  <c r="AA295" i="36"/>
  <c r="AB295" i="36"/>
  <c r="AC295" i="36"/>
  <c r="W296" i="36"/>
  <c r="X296" i="36"/>
  <c r="Y296" i="36"/>
  <c r="Z296" i="36"/>
  <c r="AA296" i="36"/>
  <c r="AB296" i="36"/>
  <c r="AC296" i="36"/>
  <c r="W297" i="36"/>
  <c r="X297" i="36"/>
  <c r="Y297" i="36"/>
  <c r="Z297" i="36"/>
  <c r="AA297" i="36"/>
  <c r="AB297" i="36"/>
  <c r="AC297" i="36"/>
  <c r="W298" i="36"/>
  <c r="X298" i="36"/>
  <c r="Y298" i="36"/>
  <c r="Z298" i="36"/>
  <c r="AA298" i="36"/>
  <c r="AB298" i="36"/>
  <c r="AC298" i="36"/>
  <c r="W301" i="36"/>
  <c r="X301" i="36"/>
  <c r="Y301" i="36"/>
  <c r="Z301" i="36"/>
  <c r="AA301" i="36"/>
  <c r="AB301" i="36"/>
  <c r="AC301" i="36"/>
  <c r="W302" i="36"/>
  <c r="X302" i="36"/>
  <c r="Y302" i="36"/>
  <c r="Z302" i="36"/>
  <c r="AA302" i="36"/>
  <c r="AB302" i="36"/>
  <c r="AC302" i="36"/>
  <c r="W304" i="36"/>
  <c r="X304" i="36"/>
  <c r="Y304" i="36"/>
  <c r="Z304" i="36"/>
  <c r="AA304" i="36"/>
  <c r="AB304" i="36"/>
  <c r="AC304" i="36"/>
  <c r="W305" i="36"/>
  <c r="X305" i="36"/>
  <c r="Y305" i="36"/>
  <c r="Z305" i="36"/>
  <c r="AA305" i="36"/>
  <c r="AB305" i="36"/>
  <c r="AC305" i="36"/>
  <c r="W307" i="36"/>
  <c r="X307" i="36"/>
  <c r="Y307" i="36"/>
  <c r="Z307" i="36"/>
  <c r="AA307" i="36"/>
  <c r="AB307" i="36"/>
  <c r="AC307" i="36"/>
  <c r="W308" i="36"/>
  <c r="X308" i="36"/>
  <c r="Y308" i="36"/>
  <c r="Z308" i="36"/>
  <c r="AA308" i="36"/>
  <c r="AB308" i="36"/>
  <c r="AC308" i="36"/>
  <c r="W309" i="36"/>
  <c r="X309" i="36"/>
  <c r="Y309" i="36"/>
  <c r="Z309" i="36"/>
  <c r="AA309" i="36"/>
  <c r="AB309" i="36"/>
  <c r="AC309" i="36"/>
  <c r="W311" i="36"/>
  <c r="X311" i="36"/>
  <c r="Y311" i="36"/>
  <c r="Z311" i="36"/>
  <c r="AA311" i="36"/>
  <c r="AB311" i="36"/>
  <c r="AC311" i="36"/>
  <c r="W312" i="36"/>
  <c r="X312" i="36"/>
  <c r="Y312" i="36"/>
  <c r="Z312" i="36"/>
  <c r="AA312" i="36"/>
  <c r="AB312" i="36"/>
  <c r="AC312" i="36"/>
  <c r="W313" i="36"/>
  <c r="X313" i="36"/>
  <c r="Y313" i="36"/>
  <c r="Z313" i="36"/>
  <c r="AA313" i="36"/>
  <c r="AB313" i="36"/>
  <c r="AC313" i="36"/>
  <c r="W315" i="36"/>
  <c r="X315" i="36"/>
  <c r="Y315" i="36"/>
  <c r="Z315" i="36"/>
  <c r="AA315" i="36"/>
  <c r="AB315" i="36"/>
  <c r="AC315" i="36"/>
  <c r="W316" i="36"/>
  <c r="X316" i="36"/>
  <c r="Y316" i="36"/>
  <c r="Z316" i="36"/>
  <c r="AA316" i="36"/>
  <c r="AB316" i="36"/>
  <c r="AC316" i="36"/>
  <c r="W317" i="36"/>
  <c r="X317" i="36"/>
  <c r="Y317" i="36"/>
  <c r="Z317" i="36"/>
  <c r="AA317" i="36"/>
  <c r="AB317" i="36"/>
  <c r="AC317" i="36"/>
  <c r="W318" i="36"/>
  <c r="X318" i="36"/>
  <c r="Y318" i="36"/>
  <c r="Z318" i="36"/>
  <c r="AA318" i="36"/>
  <c r="AB318" i="36"/>
  <c r="AC318" i="36"/>
  <c r="W319" i="36"/>
  <c r="X319" i="36"/>
  <c r="Y319" i="36"/>
  <c r="Z319" i="36"/>
  <c r="AA319" i="36"/>
  <c r="AB319" i="36"/>
  <c r="AC319" i="36"/>
  <c r="W320" i="36"/>
  <c r="X320" i="36"/>
  <c r="Y320" i="36"/>
  <c r="Z320" i="36"/>
  <c r="AA320" i="36"/>
  <c r="AB320" i="36"/>
  <c r="AC320" i="36"/>
  <c r="W321" i="36"/>
  <c r="X321" i="36"/>
  <c r="Y321" i="36"/>
  <c r="Z321" i="36"/>
  <c r="AA321" i="36"/>
  <c r="AB321" i="36"/>
  <c r="AC321" i="36"/>
  <c r="W323" i="36"/>
  <c r="X323" i="36"/>
  <c r="Y323" i="36"/>
  <c r="Z323" i="36"/>
  <c r="AA323" i="36"/>
  <c r="AB323" i="36"/>
  <c r="AC323" i="36"/>
  <c r="W324" i="36"/>
  <c r="X324" i="36"/>
  <c r="Y324" i="36"/>
  <c r="Z324" i="36"/>
  <c r="AA324" i="36"/>
  <c r="AB324" i="36"/>
  <c r="AC324" i="36"/>
  <c r="W325" i="36"/>
  <c r="X325" i="36"/>
  <c r="Y325" i="36"/>
  <c r="Z325" i="36"/>
  <c r="AA325" i="36"/>
  <c r="AB325" i="36"/>
  <c r="AC325" i="36"/>
  <c r="W328" i="36"/>
  <c r="X328" i="36"/>
  <c r="Y328" i="36"/>
  <c r="Z328" i="36"/>
  <c r="AA328" i="36"/>
  <c r="AB328" i="36"/>
  <c r="AC328" i="36"/>
  <c r="W329" i="36"/>
  <c r="X329" i="36"/>
  <c r="Y329" i="36"/>
  <c r="Z329" i="36"/>
  <c r="AA329" i="36"/>
  <c r="AB329" i="36"/>
  <c r="AC329" i="36"/>
  <c r="W330" i="36"/>
  <c r="X330" i="36"/>
  <c r="Y330" i="36"/>
  <c r="Z330" i="36"/>
  <c r="AA330" i="36"/>
  <c r="AB330" i="36"/>
  <c r="AC330" i="36"/>
  <c r="W331" i="36"/>
  <c r="X331" i="36"/>
  <c r="Y331" i="36"/>
  <c r="Z331" i="36"/>
  <c r="AA331" i="36"/>
  <c r="AB331" i="36"/>
  <c r="AC331" i="36"/>
  <c r="W332" i="36"/>
  <c r="X332" i="36"/>
  <c r="Y332" i="36"/>
  <c r="Z332" i="36"/>
  <c r="AA332" i="36"/>
  <c r="AB332" i="36"/>
  <c r="AC332" i="36"/>
  <c r="W333" i="36"/>
  <c r="X333" i="36"/>
  <c r="Y333" i="36"/>
  <c r="Z333" i="36"/>
  <c r="AA333" i="36"/>
  <c r="AB333" i="36"/>
  <c r="AC333" i="36"/>
  <c r="W334" i="36"/>
  <c r="X334" i="36"/>
  <c r="Y334" i="36"/>
  <c r="Z334" i="36"/>
  <c r="AA334" i="36"/>
  <c r="AB334" i="36"/>
  <c r="AC334" i="36"/>
  <c r="W335" i="36"/>
  <c r="X335" i="36"/>
  <c r="Y335" i="36"/>
  <c r="Z335" i="36"/>
  <c r="AA335" i="36"/>
  <c r="AB335" i="36"/>
  <c r="AC335" i="36"/>
  <c r="W340" i="36"/>
  <c r="X340" i="36"/>
  <c r="Y340" i="36"/>
  <c r="Z340" i="36"/>
  <c r="AA340" i="36"/>
  <c r="AB340" i="36"/>
  <c r="AC340" i="36"/>
  <c r="W342" i="36"/>
  <c r="X342" i="36"/>
  <c r="Y342" i="36"/>
  <c r="Z342" i="36"/>
  <c r="AA342" i="36"/>
  <c r="AB342" i="36"/>
  <c r="AC342" i="36"/>
  <c r="W344" i="36"/>
  <c r="X344" i="36"/>
  <c r="Y344" i="36"/>
  <c r="Z344" i="36"/>
  <c r="AA344" i="36"/>
  <c r="AB344" i="36"/>
  <c r="AC344" i="36"/>
  <c r="W346" i="36"/>
  <c r="X346" i="36"/>
  <c r="Y346" i="36"/>
  <c r="Z346" i="36"/>
  <c r="AA346" i="36"/>
  <c r="AB346" i="36"/>
  <c r="AC346" i="36"/>
  <c r="W350" i="36"/>
  <c r="X350" i="36"/>
  <c r="Y350" i="36"/>
  <c r="Z350" i="36"/>
  <c r="AA350" i="36"/>
  <c r="AB350" i="36"/>
  <c r="AC350" i="36"/>
  <c r="W351" i="36"/>
  <c r="X351" i="36"/>
  <c r="Y351" i="36"/>
  <c r="Z351" i="36"/>
  <c r="AA351" i="36"/>
  <c r="AB351" i="36"/>
  <c r="AC351" i="36"/>
  <c r="W352" i="36"/>
  <c r="X352" i="36"/>
  <c r="Y352" i="36"/>
  <c r="Z352" i="36"/>
  <c r="AA352" i="36"/>
  <c r="AB352" i="36"/>
  <c r="AC352" i="36"/>
  <c r="W353" i="36"/>
  <c r="X353" i="36"/>
  <c r="Y353" i="36"/>
  <c r="Z353" i="36"/>
  <c r="AA353" i="36"/>
  <c r="AB353" i="36"/>
  <c r="AC353" i="36"/>
  <c r="W354" i="36"/>
  <c r="X354" i="36"/>
  <c r="Y354" i="36"/>
  <c r="Z354" i="36"/>
  <c r="AA354" i="36"/>
  <c r="AB354" i="36"/>
  <c r="AC354" i="36"/>
  <c r="W355" i="36"/>
  <c r="X355" i="36"/>
  <c r="Y355" i="36"/>
  <c r="Z355" i="36"/>
  <c r="AA355" i="36"/>
  <c r="AB355" i="36"/>
  <c r="AC355" i="36"/>
  <c r="W356" i="36"/>
  <c r="X356" i="36"/>
  <c r="Y356" i="36"/>
  <c r="Z356" i="36"/>
  <c r="AA356" i="36"/>
  <c r="AB356" i="36"/>
  <c r="AC356" i="36"/>
  <c r="W357" i="36"/>
  <c r="X357" i="36"/>
  <c r="Y357" i="36"/>
  <c r="Z357" i="36"/>
  <c r="AA357" i="36"/>
  <c r="AB357" i="36"/>
  <c r="AC357" i="36"/>
  <c r="W360" i="36"/>
  <c r="X360" i="36"/>
  <c r="Y360" i="36"/>
  <c r="Z360" i="36"/>
  <c r="AA360" i="36"/>
  <c r="AB360" i="36"/>
  <c r="AC360" i="36"/>
  <c r="W361" i="36"/>
  <c r="X361" i="36"/>
  <c r="Y361" i="36"/>
  <c r="Z361" i="36"/>
  <c r="AA361" i="36"/>
  <c r="AB361" i="36"/>
  <c r="AC361" i="36"/>
  <c r="W362" i="36"/>
  <c r="X362" i="36"/>
  <c r="Y362" i="36"/>
  <c r="Z362" i="36"/>
  <c r="AA362" i="36"/>
  <c r="AB362" i="36"/>
  <c r="AC362" i="36"/>
  <c r="W363" i="36"/>
  <c r="X363" i="36"/>
  <c r="Y363" i="36"/>
  <c r="Z363" i="36"/>
  <c r="AA363" i="36"/>
  <c r="AB363" i="36"/>
  <c r="AC363" i="36"/>
  <c r="W364" i="36"/>
  <c r="X364" i="36"/>
  <c r="Y364" i="36"/>
  <c r="Z364" i="36"/>
  <c r="AA364" i="36"/>
  <c r="AB364" i="36"/>
  <c r="AC364" i="36"/>
  <c r="W365" i="36"/>
  <c r="X365" i="36"/>
  <c r="Y365" i="36"/>
  <c r="Z365" i="36"/>
  <c r="AA365" i="36"/>
  <c r="AB365" i="36"/>
  <c r="AC365" i="36"/>
  <c r="W366" i="36"/>
  <c r="X366" i="36"/>
  <c r="Y366" i="36"/>
  <c r="Z366" i="36"/>
  <c r="AA366" i="36"/>
  <c r="AB366" i="36"/>
  <c r="AC366" i="36"/>
  <c r="W367" i="36"/>
  <c r="X367" i="36"/>
  <c r="Y367" i="36"/>
  <c r="Z367" i="36"/>
  <c r="AA367" i="36"/>
  <c r="AB367" i="36"/>
  <c r="AC367" i="36"/>
  <c r="W368" i="36"/>
  <c r="X368" i="36"/>
  <c r="Y368" i="36"/>
  <c r="Z368" i="36"/>
  <c r="AA368" i="36"/>
  <c r="AB368" i="36"/>
  <c r="AC368" i="36"/>
  <c r="W369" i="36"/>
  <c r="X369" i="36"/>
  <c r="Y369" i="36"/>
  <c r="Z369" i="36"/>
  <c r="AA369" i="36"/>
  <c r="AB369" i="36"/>
  <c r="AC369" i="36"/>
  <c r="W372" i="36"/>
  <c r="X372" i="36"/>
  <c r="Y372" i="36"/>
  <c r="Z372" i="36"/>
  <c r="AA372" i="36"/>
  <c r="AB372" i="36"/>
  <c r="AC372" i="36"/>
  <c r="W373" i="36"/>
  <c r="X373" i="36"/>
  <c r="Y373" i="36"/>
  <c r="Z373" i="36"/>
  <c r="AA373" i="36"/>
  <c r="AB373" i="36"/>
  <c r="AC373" i="36"/>
  <c r="W374" i="36"/>
  <c r="X374" i="36"/>
  <c r="Y374" i="36"/>
  <c r="Z374" i="36"/>
  <c r="AA374" i="36"/>
  <c r="AB374" i="36"/>
  <c r="AC374" i="36"/>
  <c r="W375" i="36"/>
  <c r="X375" i="36"/>
  <c r="Y375" i="36"/>
  <c r="Z375" i="36"/>
  <c r="AA375" i="36"/>
  <c r="AB375" i="36"/>
  <c r="AC375" i="36"/>
  <c r="W376" i="36"/>
  <c r="X376" i="36"/>
  <c r="Y376" i="36"/>
  <c r="Z376" i="36"/>
  <c r="AA376" i="36"/>
  <c r="AB376" i="36"/>
  <c r="AC376" i="36"/>
  <c r="W377" i="36"/>
  <c r="X377" i="36"/>
  <c r="Y377" i="36"/>
  <c r="Z377" i="36"/>
  <c r="AA377" i="36"/>
  <c r="AB377" i="36"/>
  <c r="AC377" i="36"/>
  <c r="W378" i="36"/>
  <c r="X378" i="36"/>
  <c r="Y378" i="36"/>
  <c r="Z378" i="36"/>
  <c r="AA378" i="36"/>
  <c r="AB378" i="36"/>
  <c r="AC378" i="36"/>
  <c r="W379" i="36"/>
  <c r="X379" i="36"/>
  <c r="Y379" i="36"/>
  <c r="Z379" i="36"/>
  <c r="AA379" i="36"/>
  <c r="AB379" i="36"/>
  <c r="AC379" i="36"/>
  <c r="W380" i="36"/>
  <c r="X380" i="36"/>
  <c r="Y380" i="36"/>
  <c r="Z380" i="36"/>
  <c r="AA380" i="36"/>
  <c r="AB380" i="36"/>
  <c r="AC380" i="36"/>
  <c r="W381" i="36"/>
  <c r="X381" i="36"/>
  <c r="Y381" i="36"/>
  <c r="Z381" i="36"/>
  <c r="AA381" i="36"/>
  <c r="AB381" i="36"/>
  <c r="AC381" i="36"/>
  <c r="W382" i="36"/>
  <c r="X382" i="36"/>
  <c r="Y382" i="36"/>
  <c r="Z382" i="36"/>
  <c r="AA382" i="36"/>
  <c r="AB382" i="36"/>
  <c r="AC382" i="36"/>
  <c r="W383" i="36"/>
  <c r="X383" i="36"/>
  <c r="Y383" i="36"/>
  <c r="Z383" i="36"/>
  <c r="AA383" i="36"/>
  <c r="AB383" i="36"/>
  <c r="AC383" i="36"/>
  <c r="W384" i="36"/>
  <c r="X384" i="36"/>
  <c r="Y384" i="36"/>
  <c r="Z384" i="36"/>
  <c r="AA384" i="36"/>
  <c r="AB384" i="36"/>
  <c r="AC384" i="36"/>
  <c r="W385" i="36"/>
  <c r="X385" i="36"/>
  <c r="Y385" i="36"/>
  <c r="Z385" i="36"/>
  <c r="AA385" i="36"/>
  <c r="AB385" i="36"/>
  <c r="AC385" i="36"/>
  <c r="W388" i="36"/>
  <c r="X388" i="36"/>
  <c r="Y388" i="36"/>
  <c r="Z388" i="36"/>
  <c r="AA388" i="36"/>
  <c r="AB388" i="36"/>
  <c r="AC388" i="36"/>
  <c r="W391" i="36"/>
  <c r="X391" i="36"/>
  <c r="Y391" i="36"/>
  <c r="Z391" i="36"/>
  <c r="AA391" i="36"/>
  <c r="AB391" i="36"/>
  <c r="AC391" i="36"/>
  <c r="W392" i="36"/>
  <c r="X392" i="36"/>
  <c r="Y392" i="36"/>
  <c r="Z392" i="36"/>
  <c r="AA392" i="36"/>
  <c r="AB392" i="36"/>
  <c r="AC392" i="36"/>
  <c r="W394" i="36"/>
  <c r="X394" i="36"/>
  <c r="Y394" i="36"/>
  <c r="Z394" i="36"/>
  <c r="AA394" i="36"/>
  <c r="AB394" i="36"/>
  <c r="AC394" i="36"/>
  <c r="W395" i="36"/>
  <c r="X395" i="36"/>
  <c r="Y395" i="36"/>
  <c r="Z395" i="36"/>
  <c r="AA395" i="36"/>
  <c r="AB395" i="36"/>
  <c r="AC395" i="36"/>
  <c r="W396" i="36"/>
  <c r="X396" i="36"/>
  <c r="Y396" i="36"/>
  <c r="Z396" i="36"/>
  <c r="AA396" i="36"/>
  <c r="AB396" i="36"/>
  <c r="AC396" i="36"/>
  <c r="W398" i="36"/>
  <c r="X398" i="36"/>
  <c r="Y398" i="36"/>
  <c r="Z398" i="36"/>
  <c r="AA398" i="36"/>
  <c r="AB398" i="36"/>
  <c r="AC398" i="36"/>
  <c r="W401" i="36"/>
  <c r="X401" i="36"/>
  <c r="Y401" i="36"/>
  <c r="Z401" i="36"/>
  <c r="AA401" i="36"/>
  <c r="AB401" i="36"/>
  <c r="AC401" i="36"/>
  <c r="W402" i="36"/>
  <c r="X402" i="36"/>
  <c r="Y402" i="36"/>
  <c r="Z402" i="36"/>
  <c r="AA402" i="36"/>
  <c r="AB402" i="36"/>
  <c r="AC402" i="36"/>
  <c r="W403" i="36"/>
  <c r="X403" i="36"/>
  <c r="Y403" i="36"/>
  <c r="Z403" i="36"/>
  <c r="AA403" i="36"/>
  <c r="AB403" i="36"/>
  <c r="AC403" i="36"/>
  <c r="W404" i="36"/>
  <c r="X404" i="36"/>
  <c r="Y404" i="36"/>
  <c r="Z404" i="36"/>
  <c r="AA404" i="36"/>
  <c r="AB404" i="36"/>
  <c r="AC404" i="36"/>
  <c r="W405" i="36"/>
  <c r="X405" i="36"/>
  <c r="Y405" i="36"/>
  <c r="Z405" i="36"/>
  <c r="AA405" i="36"/>
  <c r="AB405" i="36"/>
  <c r="AC405" i="36"/>
  <c r="W407" i="36"/>
  <c r="X407" i="36"/>
  <c r="Y407" i="36"/>
  <c r="Z407" i="36"/>
  <c r="AA407" i="36"/>
  <c r="AB407" i="36"/>
  <c r="AC407" i="36"/>
  <c r="W408" i="36"/>
  <c r="X408" i="36"/>
  <c r="Y408" i="36"/>
  <c r="Z408" i="36"/>
  <c r="AA408" i="36"/>
  <c r="AB408" i="36"/>
  <c r="AC408" i="36"/>
  <c r="W409" i="36"/>
  <c r="X409" i="36"/>
  <c r="Y409" i="36"/>
  <c r="Z409" i="36"/>
  <c r="AA409" i="36"/>
  <c r="AB409" i="36"/>
  <c r="AC409" i="36"/>
  <c r="W412" i="36"/>
  <c r="X412" i="36"/>
  <c r="Y412" i="36"/>
  <c r="Z412" i="36"/>
  <c r="AA412" i="36"/>
  <c r="AB412" i="36"/>
  <c r="AC412" i="36"/>
  <c r="W415" i="36"/>
  <c r="X415" i="36"/>
  <c r="Y415" i="36"/>
  <c r="Z415" i="36"/>
  <c r="AA415" i="36"/>
  <c r="AB415" i="36"/>
  <c r="AC415" i="36"/>
  <c r="W416" i="36"/>
  <c r="X416" i="36"/>
  <c r="Y416" i="36"/>
  <c r="Z416" i="36"/>
  <c r="AA416" i="36"/>
  <c r="AB416" i="36"/>
  <c r="AC416" i="36"/>
  <c r="W417" i="36"/>
  <c r="X417" i="36"/>
  <c r="Y417" i="36"/>
  <c r="Z417" i="36"/>
  <c r="AA417" i="36"/>
  <c r="AB417" i="36"/>
  <c r="AC417" i="36"/>
  <c r="W418" i="36"/>
  <c r="X418" i="36"/>
  <c r="Y418" i="36"/>
  <c r="Z418" i="36"/>
  <c r="AA418" i="36"/>
  <c r="AB418" i="36"/>
  <c r="AC418" i="36"/>
  <c r="W419" i="36"/>
  <c r="X419" i="36"/>
  <c r="Y419" i="36"/>
  <c r="Z419" i="36"/>
  <c r="AA419" i="36"/>
  <c r="AB419" i="36"/>
  <c r="AC419" i="36"/>
  <c r="W420" i="36"/>
  <c r="X420" i="36"/>
  <c r="Y420" i="36"/>
  <c r="Z420" i="36"/>
  <c r="AA420" i="36"/>
  <c r="AB420" i="36"/>
  <c r="AC420" i="36"/>
  <c r="W421" i="36"/>
  <c r="X421" i="36"/>
  <c r="Y421" i="36"/>
  <c r="Z421" i="36"/>
  <c r="AA421" i="36"/>
  <c r="AB421" i="36"/>
  <c r="AC421" i="36"/>
  <c r="W422" i="36"/>
  <c r="X422" i="36"/>
  <c r="Y422" i="36"/>
  <c r="Z422" i="36"/>
  <c r="AA422" i="36"/>
  <c r="AB422" i="36"/>
  <c r="AC422" i="36"/>
  <c r="AC12" i="36"/>
  <c r="AB12" i="36"/>
  <c r="AA12" i="36"/>
  <c r="Z12" i="36"/>
  <c r="Y12" i="36"/>
  <c r="X12" i="36"/>
  <c r="W12" i="36"/>
  <c r="W68" i="34"/>
  <c r="X68" i="34"/>
  <c r="Y68" i="34"/>
  <c r="Z68" i="34"/>
  <c r="W13" i="34"/>
  <c r="X13" i="34"/>
  <c r="Y13" i="34"/>
  <c r="Z13" i="34"/>
  <c r="W14" i="34"/>
  <c r="X14" i="34"/>
  <c r="Y14" i="34"/>
  <c r="Z14" i="34"/>
  <c r="W15" i="34"/>
  <c r="X15" i="34"/>
  <c r="Y15" i="34"/>
  <c r="Z15" i="34"/>
  <c r="W16" i="34"/>
  <c r="X16" i="34"/>
  <c r="Y16" i="34"/>
  <c r="Z16" i="34"/>
  <c r="W17" i="34"/>
  <c r="X17" i="34"/>
  <c r="Y17" i="34"/>
  <c r="Z17" i="34"/>
  <c r="W18" i="34"/>
  <c r="X18" i="34"/>
  <c r="Y18" i="34"/>
  <c r="Z18" i="34"/>
  <c r="W19" i="34"/>
  <c r="X19" i="34"/>
  <c r="Y19" i="34"/>
  <c r="Z19" i="34"/>
  <c r="W20" i="34"/>
  <c r="X20" i="34"/>
  <c r="Y20" i="34"/>
  <c r="Z20" i="34"/>
  <c r="W24" i="34"/>
  <c r="X24" i="34"/>
  <c r="Y24" i="34"/>
  <c r="Z24" i="34"/>
  <c r="W25" i="34"/>
  <c r="X25" i="34"/>
  <c r="Y25" i="34"/>
  <c r="Z25" i="34"/>
  <c r="W26" i="34"/>
  <c r="X26" i="34"/>
  <c r="Y26" i="34"/>
  <c r="Z26" i="34"/>
  <c r="W27" i="34"/>
  <c r="X27" i="34"/>
  <c r="Y27" i="34"/>
  <c r="Z27" i="34"/>
  <c r="W28" i="34"/>
  <c r="X28" i="34"/>
  <c r="Y28" i="34"/>
  <c r="Z28" i="34"/>
  <c r="W31" i="34"/>
  <c r="X31" i="34"/>
  <c r="Y31" i="34"/>
  <c r="Z31" i="34"/>
  <c r="W32" i="34"/>
  <c r="X32" i="34"/>
  <c r="Y32" i="34"/>
  <c r="Z32" i="34"/>
  <c r="W35" i="34"/>
  <c r="X35" i="34"/>
  <c r="Y35" i="34"/>
  <c r="Z35" i="34"/>
  <c r="W38" i="34"/>
  <c r="X38" i="34"/>
  <c r="Y38" i="34"/>
  <c r="Z38" i="34"/>
  <c r="W39" i="34"/>
  <c r="X39" i="34"/>
  <c r="Y39" i="34"/>
  <c r="Z39" i="34"/>
  <c r="W40" i="34"/>
  <c r="X40" i="34"/>
  <c r="Y40" i="34"/>
  <c r="Z40" i="34"/>
  <c r="W41" i="34"/>
  <c r="X41" i="34"/>
  <c r="Y41" i="34"/>
  <c r="Z41" i="34"/>
  <c r="W42" i="34"/>
  <c r="X42" i="34"/>
  <c r="Y42" i="34"/>
  <c r="Z42" i="34"/>
  <c r="W44" i="34"/>
  <c r="X44" i="34"/>
  <c r="Y44" i="34"/>
  <c r="Z44" i="34"/>
  <c r="W45" i="34"/>
  <c r="X45" i="34"/>
  <c r="Y45" i="34"/>
  <c r="Z45" i="34"/>
  <c r="W46" i="34"/>
  <c r="X46" i="34"/>
  <c r="Y46" i="34"/>
  <c r="Z46" i="34"/>
  <c r="W47" i="34"/>
  <c r="X47" i="34"/>
  <c r="Y47" i="34"/>
  <c r="Z47" i="34"/>
  <c r="W50" i="34"/>
  <c r="X50" i="34"/>
  <c r="Y50" i="34"/>
  <c r="Z50" i="34"/>
  <c r="W51" i="34"/>
  <c r="X51" i="34"/>
  <c r="Y51" i="34"/>
  <c r="Z51" i="34"/>
  <c r="W52" i="34"/>
  <c r="X52" i="34"/>
  <c r="Y52" i="34"/>
  <c r="Z52" i="34"/>
  <c r="W55" i="34"/>
  <c r="X55" i="34"/>
  <c r="Y55" i="34"/>
  <c r="Z55" i="34"/>
  <c r="W58" i="34"/>
  <c r="X58" i="34"/>
  <c r="Y58" i="34"/>
  <c r="Z58" i="34"/>
  <c r="W62" i="34"/>
  <c r="X62" i="34"/>
  <c r="Y62" i="34"/>
  <c r="Z62" i="34"/>
  <c r="W65" i="34"/>
  <c r="X65" i="34"/>
  <c r="Y65" i="34"/>
  <c r="Z65" i="34"/>
  <c r="W70" i="34"/>
  <c r="X70" i="34"/>
  <c r="Y70" i="34"/>
  <c r="Z70" i="34"/>
  <c r="W71" i="34"/>
  <c r="X71" i="34"/>
  <c r="Y71" i="34"/>
  <c r="Z71" i="34"/>
  <c r="W74" i="34"/>
  <c r="X74" i="34"/>
  <c r="Y74" i="34"/>
  <c r="Z74" i="34"/>
  <c r="W75" i="34"/>
  <c r="X75" i="34"/>
  <c r="Y75" i="34"/>
  <c r="Z75" i="34"/>
  <c r="W76" i="34"/>
  <c r="X76" i="34"/>
  <c r="Y76" i="34"/>
  <c r="Z76" i="34"/>
  <c r="W77" i="34"/>
  <c r="X77" i="34"/>
  <c r="Y77" i="34"/>
  <c r="Z77" i="34"/>
  <c r="W78" i="34"/>
  <c r="X78" i="34"/>
  <c r="Y78" i="34"/>
  <c r="Z78" i="34"/>
  <c r="W83" i="34"/>
  <c r="X83" i="34"/>
  <c r="Y83" i="34"/>
  <c r="Z83" i="34"/>
  <c r="W85" i="34"/>
  <c r="X85" i="34"/>
  <c r="Y85" i="34"/>
  <c r="Z85" i="34"/>
  <c r="W87" i="34"/>
  <c r="X87" i="34"/>
  <c r="Y87" i="34"/>
  <c r="Z87" i="34"/>
  <c r="W89" i="34"/>
  <c r="X89" i="34"/>
  <c r="Y89" i="34"/>
  <c r="Z89" i="34"/>
  <c r="W91" i="34"/>
  <c r="X91" i="34"/>
  <c r="Y91" i="34"/>
  <c r="Z91" i="34"/>
  <c r="W95" i="34"/>
  <c r="X95" i="34"/>
  <c r="Y95" i="34"/>
  <c r="Z95" i="34"/>
  <c r="W96" i="34"/>
  <c r="X96" i="34"/>
  <c r="Y96" i="34"/>
  <c r="Z96" i="34"/>
  <c r="W97" i="34"/>
  <c r="X97" i="34"/>
  <c r="Y97" i="34"/>
  <c r="Z97" i="34"/>
  <c r="W98" i="34"/>
  <c r="X98" i="34"/>
  <c r="Y98" i="34"/>
  <c r="Z98" i="34"/>
  <c r="W99" i="34"/>
  <c r="X99" i="34"/>
  <c r="Y99" i="34"/>
  <c r="Z99" i="34"/>
  <c r="W100" i="34"/>
  <c r="X100" i="34"/>
  <c r="Y100" i="34"/>
  <c r="Z100" i="34"/>
  <c r="W101" i="34"/>
  <c r="X101" i="34"/>
  <c r="Y101" i="34"/>
  <c r="Z101" i="34"/>
  <c r="W102" i="34"/>
  <c r="X102" i="34"/>
  <c r="Y102" i="34"/>
  <c r="Z102" i="34"/>
  <c r="W103" i="34"/>
  <c r="X103" i="34"/>
  <c r="Y103" i="34"/>
  <c r="Z103" i="34"/>
  <c r="W104" i="34"/>
  <c r="X104" i="34"/>
  <c r="Y104" i="34"/>
  <c r="Z104" i="34"/>
  <c r="W105" i="34"/>
  <c r="X105" i="34"/>
  <c r="Y105" i="34"/>
  <c r="Z105" i="34"/>
  <c r="W106" i="34"/>
  <c r="X106" i="34"/>
  <c r="Y106" i="34"/>
  <c r="Z106" i="34"/>
  <c r="W107" i="34"/>
  <c r="X107" i="34"/>
  <c r="Y107" i="34"/>
  <c r="Z107" i="34"/>
  <c r="W108" i="34"/>
  <c r="X108" i="34"/>
  <c r="Y108" i="34"/>
  <c r="Z108" i="34"/>
  <c r="W111" i="34"/>
  <c r="X111" i="34"/>
  <c r="Y111" i="34"/>
  <c r="Z111" i="34"/>
  <c r="W112" i="34"/>
  <c r="X112" i="34"/>
  <c r="Y112" i="34"/>
  <c r="Z112" i="34"/>
  <c r="W113" i="34"/>
  <c r="X113" i="34"/>
  <c r="Y113" i="34"/>
  <c r="Z113" i="34"/>
  <c r="W116" i="34"/>
  <c r="X116" i="34"/>
  <c r="Y116" i="34"/>
  <c r="Z116" i="34"/>
  <c r="W117" i="34"/>
  <c r="X117" i="34"/>
  <c r="Y117" i="34"/>
  <c r="Z117" i="34"/>
  <c r="W118" i="34"/>
  <c r="X118" i="34"/>
  <c r="Y118" i="34"/>
  <c r="Z118" i="34"/>
  <c r="W119" i="34"/>
  <c r="X119" i="34"/>
  <c r="Y119" i="34"/>
  <c r="Z119" i="34"/>
  <c r="W120" i="34"/>
  <c r="X120" i="34"/>
  <c r="Y120" i="34"/>
  <c r="Z120" i="34"/>
  <c r="W121" i="34"/>
  <c r="X121" i="34"/>
  <c r="Y121" i="34"/>
  <c r="Z121" i="34"/>
  <c r="W122" i="34"/>
  <c r="X122" i="34"/>
  <c r="Y122" i="34"/>
  <c r="Z122" i="34"/>
  <c r="W123" i="34"/>
  <c r="X123" i="34"/>
  <c r="Y123" i="34"/>
  <c r="Z123" i="34"/>
  <c r="W124" i="34"/>
  <c r="X124" i="34"/>
  <c r="Y124" i="34"/>
  <c r="Z124" i="34"/>
  <c r="W125" i="34"/>
  <c r="X125" i="34"/>
  <c r="Y125" i="34"/>
  <c r="Z125" i="34"/>
  <c r="W126" i="34"/>
  <c r="X126" i="34"/>
  <c r="Y126" i="34"/>
  <c r="Z126" i="34"/>
  <c r="W127" i="34"/>
  <c r="X127" i="34"/>
  <c r="Y127" i="34"/>
  <c r="Z127" i="34"/>
  <c r="W130" i="34"/>
  <c r="X130" i="34"/>
  <c r="Y130" i="34"/>
  <c r="Z130" i="34"/>
  <c r="W131" i="34"/>
  <c r="X131" i="34"/>
  <c r="Y131" i="34"/>
  <c r="Z131" i="34"/>
  <c r="W132" i="34"/>
  <c r="X132" i="34"/>
  <c r="Y132" i="34"/>
  <c r="Z132" i="34"/>
  <c r="W133" i="34"/>
  <c r="X133" i="34"/>
  <c r="Y133" i="34"/>
  <c r="Z133" i="34"/>
  <c r="W134" i="34"/>
  <c r="X134" i="34"/>
  <c r="Y134" i="34"/>
  <c r="Z134" i="34"/>
  <c r="W135" i="34"/>
  <c r="X135" i="34"/>
  <c r="Y135" i="34"/>
  <c r="Z135" i="34"/>
  <c r="W136" i="34"/>
  <c r="X136" i="34"/>
  <c r="Y136" i="34"/>
  <c r="Z136" i="34"/>
  <c r="W137" i="34"/>
  <c r="X137" i="34"/>
  <c r="Y137" i="34"/>
  <c r="Z137" i="34"/>
  <c r="W138" i="34"/>
  <c r="X138" i="34"/>
  <c r="Y138" i="34"/>
  <c r="Z138" i="34"/>
  <c r="W139" i="34"/>
  <c r="X139" i="34"/>
  <c r="Y139" i="34"/>
  <c r="Z139" i="34"/>
  <c r="W140" i="34"/>
  <c r="X140" i="34"/>
  <c r="Y140" i="34"/>
  <c r="Z140" i="34"/>
  <c r="W141" i="34"/>
  <c r="X141" i="34"/>
  <c r="Y141" i="34"/>
  <c r="Z141" i="34"/>
  <c r="W144" i="34"/>
  <c r="X144" i="34"/>
  <c r="Y144" i="34"/>
  <c r="Z144" i="34"/>
  <c r="W145" i="34"/>
  <c r="X145" i="34"/>
  <c r="Y145" i="34"/>
  <c r="Z145" i="34"/>
  <c r="W146" i="34"/>
  <c r="X146" i="34"/>
  <c r="Y146" i="34"/>
  <c r="Z146" i="34"/>
  <c r="W147" i="34"/>
  <c r="X147" i="34"/>
  <c r="Y147" i="34"/>
  <c r="Z147" i="34"/>
  <c r="W148" i="34"/>
  <c r="X148" i="34"/>
  <c r="Y148" i="34"/>
  <c r="Z148" i="34"/>
  <c r="W149" i="34"/>
  <c r="X149" i="34"/>
  <c r="Y149" i="34"/>
  <c r="Z149" i="34"/>
  <c r="W150" i="34"/>
  <c r="X150" i="34"/>
  <c r="Y150" i="34"/>
  <c r="Z150" i="34"/>
  <c r="W151" i="34"/>
  <c r="X151" i="34"/>
  <c r="Y151" i="34"/>
  <c r="Z151" i="34"/>
  <c r="W152" i="34"/>
  <c r="X152" i="34"/>
  <c r="Y152" i="34"/>
  <c r="Z152" i="34"/>
  <c r="W153" i="34"/>
  <c r="X153" i="34"/>
  <c r="Y153" i="34"/>
  <c r="Z153" i="34"/>
  <c r="W154" i="34"/>
  <c r="X154" i="34"/>
  <c r="Y154" i="34"/>
  <c r="Z154" i="34"/>
  <c r="W157" i="34"/>
  <c r="X157" i="34"/>
  <c r="Y157" i="34"/>
  <c r="Z157" i="34"/>
  <c r="W158" i="34"/>
  <c r="X158" i="34"/>
  <c r="Y158" i="34"/>
  <c r="Z158" i="34"/>
  <c r="W161" i="34"/>
  <c r="X161" i="34"/>
  <c r="Y161" i="34"/>
  <c r="Z161" i="34"/>
  <c r="W164" i="34"/>
  <c r="X164" i="34"/>
  <c r="Y164" i="34"/>
  <c r="Z164" i="34"/>
  <c r="W165" i="34"/>
  <c r="X165" i="34"/>
  <c r="Y165" i="34"/>
  <c r="Z165" i="34"/>
  <c r="W166" i="34"/>
  <c r="X166" i="34"/>
  <c r="Y166" i="34"/>
  <c r="Z166" i="34"/>
  <c r="W167" i="34"/>
  <c r="X167" i="34"/>
  <c r="Y167" i="34"/>
  <c r="Z167" i="34"/>
  <c r="W168" i="34"/>
  <c r="X168" i="34"/>
  <c r="Y168" i="34"/>
  <c r="Z168" i="34"/>
  <c r="W169" i="34"/>
  <c r="X169" i="34"/>
  <c r="Y169" i="34"/>
  <c r="Z169" i="34"/>
  <c r="W170" i="34"/>
  <c r="X170" i="34"/>
  <c r="Y170" i="34"/>
  <c r="Z170" i="34"/>
  <c r="W172" i="34"/>
  <c r="X172" i="34"/>
  <c r="Y172" i="34"/>
  <c r="Z172" i="34"/>
  <c r="W173" i="34"/>
  <c r="X173" i="34"/>
  <c r="Y173" i="34"/>
  <c r="Z173" i="34"/>
  <c r="W176" i="34"/>
  <c r="X176" i="34"/>
  <c r="Y176" i="34"/>
  <c r="Z176" i="34"/>
  <c r="W177" i="34"/>
  <c r="X177" i="34"/>
  <c r="Y177" i="34"/>
  <c r="Z177" i="34"/>
  <c r="W178" i="34"/>
  <c r="X178" i="34"/>
  <c r="Y178" i="34"/>
  <c r="Z178" i="34"/>
  <c r="W179" i="34"/>
  <c r="X179" i="34"/>
  <c r="Y179" i="34"/>
  <c r="Z179" i="34"/>
  <c r="W180" i="34"/>
  <c r="X180" i="34"/>
  <c r="Y180" i="34"/>
  <c r="Z180" i="34"/>
  <c r="W181" i="34"/>
  <c r="X181" i="34"/>
  <c r="Y181" i="34"/>
  <c r="Z181" i="34"/>
  <c r="W185" i="34"/>
  <c r="X185" i="34"/>
  <c r="Y185" i="34"/>
  <c r="Z185" i="34"/>
  <c r="W186" i="34"/>
  <c r="X186" i="34"/>
  <c r="Y186" i="34"/>
  <c r="Z186" i="34"/>
  <c r="W187" i="34"/>
  <c r="X187" i="34"/>
  <c r="Y187" i="34"/>
  <c r="Z187" i="34"/>
  <c r="W188" i="34"/>
  <c r="X188" i="34"/>
  <c r="Y188" i="34"/>
  <c r="Z188" i="34"/>
  <c r="W189" i="34"/>
  <c r="X189" i="34"/>
  <c r="Y189" i="34"/>
  <c r="Z189" i="34"/>
  <c r="W190" i="34"/>
  <c r="X190" i="34"/>
  <c r="Y190" i="34"/>
  <c r="Z190" i="34"/>
  <c r="W191" i="34"/>
  <c r="X191" i="34"/>
  <c r="Y191" i="34"/>
  <c r="Z191" i="34"/>
  <c r="W192" i="34"/>
  <c r="X192" i="34"/>
  <c r="Y192" i="34"/>
  <c r="Z192" i="34"/>
  <c r="W197" i="34"/>
  <c r="X197" i="34"/>
  <c r="Y197" i="34"/>
  <c r="Z197" i="34"/>
  <c r="W199" i="34"/>
  <c r="X199" i="34"/>
  <c r="Y199" i="34"/>
  <c r="Z199" i="34"/>
  <c r="W201" i="34"/>
  <c r="X201" i="34"/>
  <c r="Y201" i="34"/>
  <c r="Z201" i="34"/>
  <c r="W203" i="34"/>
  <c r="X203" i="34"/>
  <c r="Y203" i="34"/>
  <c r="Z203" i="34"/>
  <c r="W205" i="34"/>
  <c r="X205" i="34"/>
  <c r="Y205" i="34"/>
  <c r="Z205" i="34"/>
  <c r="W207" i="34"/>
  <c r="X207" i="34"/>
  <c r="Y207" i="34"/>
  <c r="Z207" i="34"/>
  <c r="W209" i="34"/>
  <c r="X209" i="34"/>
  <c r="Y209" i="34"/>
  <c r="Z209" i="34"/>
  <c r="W211" i="34"/>
  <c r="X211" i="34"/>
  <c r="Y211" i="34"/>
  <c r="Z211" i="34"/>
  <c r="W213" i="34"/>
  <c r="X213" i="34"/>
  <c r="Y213" i="34"/>
  <c r="Z213" i="34"/>
  <c r="W215" i="34"/>
  <c r="X215" i="34"/>
  <c r="Y215" i="34"/>
  <c r="Z215" i="34"/>
  <c r="W217" i="34"/>
  <c r="X217" i="34"/>
  <c r="Y217" i="34"/>
  <c r="Z217" i="34"/>
  <c r="W221" i="34"/>
  <c r="X221" i="34"/>
  <c r="Y221" i="34"/>
  <c r="Z221" i="34"/>
  <c r="W222" i="34"/>
  <c r="X222" i="34"/>
  <c r="Y222" i="34"/>
  <c r="Z222" i="34"/>
  <c r="W223" i="34"/>
  <c r="X223" i="34"/>
  <c r="Y223" i="34"/>
  <c r="Z223" i="34"/>
  <c r="W224" i="34"/>
  <c r="X224" i="34"/>
  <c r="Y224" i="34"/>
  <c r="Z224" i="34"/>
  <c r="W225" i="34"/>
  <c r="X225" i="34"/>
  <c r="Y225" i="34"/>
  <c r="Z225" i="34"/>
  <c r="W226" i="34"/>
  <c r="X226" i="34"/>
  <c r="Y226" i="34"/>
  <c r="Z226" i="34"/>
  <c r="W227" i="34"/>
  <c r="X227" i="34"/>
  <c r="Y227" i="34"/>
  <c r="Z227" i="34"/>
  <c r="W228" i="34"/>
  <c r="X228" i="34"/>
  <c r="Y228" i="34"/>
  <c r="Z228" i="34"/>
  <c r="W229" i="34"/>
  <c r="X229" i="34"/>
  <c r="Y229" i="34"/>
  <c r="Z229" i="34"/>
  <c r="W230" i="34"/>
  <c r="X230" i="34"/>
  <c r="Y230" i="34"/>
  <c r="Z230" i="34"/>
  <c r="W231" i="34"/>
  <c r="X231" i="34"/>
  <c r="Y231" i="34"/>
  <c r="Z231" i="34"/>
  <c r="W232" i="34"/>
  <c r="X232" i="34"/>
  <c r="Y232" i="34"/>
  <c r="Z232" i="34"/>
  <c r="W235" i="34"/>
  <c r="X235" i="34"/>
  <c r="Y235" i="34"/>
  <c r="Z235" i="34"/>
  <c r="W236" i="34"/>
  <c r="X236" i="34"/>
  <c r="Y236" i="34"/>
  <c r="Z236" i="34"/>
  <c r="W237" i="34"/>
  <c r="X237" i="34"/>
  <c r="Y237" i="34"/>
  <c r="Z237" i="34"/>
  <c r="W238" i="34"/>
  <c r="X238" i="34"/>
  <c r="Y238" i="34"/>
  <c r="Z238" i="34"/>
  <c r="W239" i="34"/>
  <c r="X239" i="34"/>
  <c r="Y239" i="34"/>
  <c r="Z239" i="34"/>
  <c r="W240" i="34"/>
  <c r="X240" i="34"/>
  <c r="Y240" i="34"/>
  <c r="Z240" i="34"/>
  <c r="W241" i="34"/>
  <c r="X241" i="34"/>
  <c r="Y241" i="34"/>
  <c r="Z241" i="34"/>
  <c r="W242" i="34"/>
  <c r="X242" i="34"/>
  <c r="Y242" i="34"/>
  <c r="Z242" i="34"/>
  <c r="W243" i="34"/>
  <c r="X243" i="34"/>
  <c r="Y243" i="34"/>
  <c r="Z243" i="34"/>
  <c r="W244" i="34"/>
  <c r="X244" i="34"/>
  <c r="Y244" i="34"/>
  <c r="Z244" i="34"/>
  <c r="W245" i="34"/>
  <c r="X245" i="34"/>
  <c r="Y245" i="34"/>
  <c r="Z245" i="34"/>
  <c r="W248" i="34"/>
  <c r="X248" i="34"/>
  <c r="Y248" i="34"/>
  <c r="Z248" i="34"/>
  <c r="W249" i="34"/>
  <c r="X249" i="34"/>
  <c r="Y249" i="34"/>
  <c r="Z249" i="34"/>
  <c r="W250" i="34"/>
  <c r="X250" i="34"/>
  <c r="Y250" i="34"/>
  <c r="Z250" i="34"/>
  <c r="W251" i="34"/>
  <c r="X251" i="34"/>
  <c r="Y251" i="34"/>
  <c r="Z251" i="34"/>
  <c r="W255" i="34"/>
  <c r="X255" i="34"/>
  <c r="Y255" i="34"/>
  <c r="Z255" i="34"/>
  <c r="W256" i="34"/>
  <c r="X256" i="34"/>
  <c r="Y256" i="34"/>
  <c r="Z256" i="34"/>
  <c r="W257" i="34"/>
  <c r="X257" i="34"/>
  <c r="Y257" i="34"/>
  <c r="Z257" i="34"/>
  <c r="W258" i="34"/>
  <c r="X258" i="34"/>
  <c r="Y258" i="34"/>
  <c r="Z258" i="34"/>
  <c r="W259" i="34"/>
  <c r="X259" i="34"/>
  <c r="Y259" i="34"/>
  <c r="Z259" i="34"/>
  <c r="W260" i="34"/>
  <c r="X260" i="34"/>
  <c r="Y260" i="34"/>
  <c r="Z260" i="34"/>
  <c r="W261" i="34"/>
  <c r="X261" i="34"/>
  <c r="Y261" i="34"/>
  <c r="Z261" i="34"/>
  <c r="W262" i="34"/>
  <c r="X262" i="34"/>
  <c r="Y262" i="34"/>
  <c r="Z262" i="34"/>
  <c r="W263" i="34"/>
  <c r="X263" i="34"/>
  <c r="Y263" i="34"/>
  <c r="Z263" i="34"/>
  <c r="W264" i="34"/>
  <c r="X264" i="34"/>
  <c r="Y264" i="34"/>
  <c r="Z264" i="34"/>
  <c r="W265" i="34"/>
  <c r="X265" i="34"/>
  <c r="Y265" i="34"/>
  <c r="Z265" i="34"/>
  <c r="W269" i="34"/>
  <c r="X269" i="34"/>
  <c r="Y269" i="34"/>
  <c r="Z269" i="34"/>
  <c r="W270" i="34"/>
  <c r="X270" i="34"/>
  <c r="Y270" i="34"/>
  <c r="Z270" i="34"/>
  <c r="W271" i="34"/>
  <c r="X271" i="34"/>
  <c r="Y271" i="34"/>
  <c r="Z271" i="34"/>
  <c r="W272" i="34"/>
  <c r="X272" i="34"/>
  <c r="Y272" i="34"/>
  <c r="Z272" i="34"/>
  <c r="W273" i="34"/>
  <c r="X273" i="34"/>
  <c r="Y273" i="34"/>
  <c r="Z273" i="34"/>
  <c r="W274" i="34"/>
  <c r="X274" i="34"/>
  <c r="Y274" i="34"/>
  <c r="Z274" i="34"/>
  <c r="W275" i="34"/>
  <c r="X275" i="34"/>
  <c r="Y275" i="34"/>
  <c r="Z275" i="34"/>
  <c r="W276" i="34"/>
  <c r="X276" i="34"/>
  <c r="Y276" i="34"/>
  <c r="Z276" i="34"/>
  <c r="W277" i="34"/>
  <c r="X277" i="34"/>
  <c r="Y277" i="34"/>
  <c r="Z277" i="34"/>
  <c r="W278" i="34"/>
  <c r="X278" i="34"/>
  <c r="Y278" i="34"/>
  <c r="Z278" i="34"/>
  <c r="W279" i="34"/>
  <c r="X279" i="34"/>
  <c r="Y279" i="34"/>
  <c r="Z279" i="34"/>
  <c r="W280" i="34"/>
  <c r="X280" i="34"/>
  <c r="Y280" i="34"/>
  <c r="Z280" i="34"/>
  <c r="W281" i="34"/>
  <c r="X281" i="34"/>
  <c r="Y281" i="34"/>
  <c r="Z281" i="34"/>
  <c r="W282" i="34"/>
  <c r="X282" i="34"/>
  <c r="Y282" i="34"/>
  <c r="Z282" i="34"/>
  <c r="W283" i="34"/>
  <c r="X283" i="34"/>
  <c r="Y283" i="34"/>
  <c r="Z283" i="34"/>
  <c r="W287" i="34"/>
  <c r="X287" i="34"/>
  <c r="Y287" i="34"/>
  <c r="Z287" i="34"/>
  <c r="W288" i="34"/>
  <c r="X288" i="34"/>
  <c r="Y288" i="34"/>
  <c r="Z288" i="34"/>
  <c r="W289" i="34"/>
  <c r="X289" i="34"/>
  <c r="Y289" i="34"/>
  <c r="Z289" i="34"/>
  <c r="W290" i="34"/>
  <c r="X290" i="34"/>
  <c r="Y290" i="34"/>
  <c r="Z290" i="34"/>
  <c r="W291" i="34"/>
  <c r="X291" i="34"/>
  <c r="Y291" i="34"/>
  <c r="Z291" i="34"/>
  <c r="W292" i="34"/>
  <c r="X292" i="34"/>
  <c r="Y292" i="34"/>
  <c r="Z292" i="34"/>
  <c r="W293" i="34"/>
  <c r="X293" i="34"/>
  <c r="Y293" i="34"/>
  <c r="Z293" i="34"/>
  <c r="W294" i="34"/>
  <c r="X294" i="34"/>
  <c r="Y294" i="34"/>
  <c r="Z294" i="34"/>
  <c r="W295" i="34"/>
  <c r="X295" i="34"/>
  <c r="Y295" i="34"/>
  <c r="Z295" i="34"/>
  <c r="W296" i="34"/>
  <c r="X296" i="34"/>
  <c r="Y296" i="34"/>
  <c r="Z296" i="34"/>
  <c r="W297" i="34"/>
  <c r="X297" i="34"/>
  <c r="Y297" i="34"/>
  <c r="Z297" i="34"/>
  <c r="W298" i="34"/>
  <c r="X298" i="34"/>
  <c r="Y298" i="34"/>
  <c r="Z298" i="34"/>
  <c r="W301" i="34"/>
  <c r="X301" i="34"/>
  <c r="Y301" i="34"/>
  <c r="Z301" i="34"/>
  <c r="W304" i="34"/>
  <c r="X304" i="34"/>
  <c r="Y304" i="34"/>
  <c r="Z304" i="34"/>
  <c r="W307" i="34"/>
  <c r="X307" i="34"/>
  <c r="Y307" i="34"/>
  <c r="Z307" i="34"/>
  <c r="W308" i="34"/>
  <c r="X308" i="34"/>
  <c r="Y308" i="34"/>
  <c r="Z308" i="34"/>
  <c r="W310" i="34"/>
  <c r="X310" i="34"/>
  <c r="Y310" i="34"/>
  <c r="Z310" i="34"/>
  <c r="W311" i="34"/>
  <c r="X311" i="34"/>
  <c r="Y311" i="34"/>
  <c r="Z311" i="34"/>
  <c r="W312" i="34"/>
  <c r="X312" i="34"/>
  <c r="Y312" i="34"/>
  <c r="Z312" i="34"/>
  <c r="W315" i="34"/>
  <c r="X315" i="34"/>
  <c r="Y315" i="34"/>
  <c r="Z315" i="34"/>
  <c r="W316" i="34"/>
  <c r="X316" i="34"/>
  <c r="Y316" i="34"/>
  <c r="Z316" i="34"/>
  <c r="W317" i="34"/>
  <c r="X317" i="34"/>
  <c r="Y317" i="34"/>
  <c r="Z317" i="34"/>
  <c r="W318" i="34"/>
  <c r="X318" i="34"/>
  <c r="Y318" i="34"/>
  <c r="Z318" i="34"/>
  <c r="W319" i="34"/>
  <c r="X319" i="34"/>
  <c r="Y319" i="34"/>
  <c r="Z319" i="34"/>
  <c r="W320" i="34"/>
  <c r="X320" i="34"/>
  <c r="Y320" i="34"/>
  <c r="Z320" i="34"/>
  <c r="W321" i="34"/>
  <c r="X321" i="34"/>
  <c r="Y321" i="34"/>
  <c r="Z321" i="34"/>
  <c r="W323" i="34"/>
  <c r="X323" i="34"/>
  <c r="Y323" i="34"/>
  <c r="Z323" i="34"/>
  <c r="W324" i="34"/>
  <c r="X324" i="34"/>
  <c r="Y324" i="34"/>
  <c r="Z324" i="34"/>
  <c r="W325" i="34"/>
  <c r="X325" i="34"/>
  <c r="Y325" i="34"/>
  <c r="Z325" i="34"/>
  <c r="W328" i="34"/>
  <c r="X328" i="34"/>
  <c r="Y328" i="34"/>
  <c r="Z328" i="34"/>
  <c r="W329" i="34"/>
  <c r="X329" i="34"/>
  <c r="Y329" i="34"/>
  <c r="Z329" i="34"/>
  <c r="W330" i="34"/>
  <c r="X330" i="34"/>
  <c r="Y330" i="34"/>
  <c r="Z330" i="34"/>
  <c r="W331" i="34"/>
  <c r="X331" i="34"/>
  <c r="Y331" i="34"/>
  <c r="Z331" i="34"/>
  <c r="W332" i="34"/>
  <c r="X332" i="34"/>
  <c r="Y332" i="34"/>
  <c r="Z332" i="34"/>
  <c r="W333" i="34"/>
  <c r="X333" i="34"/>
  <c r="Y333" i="34"/>
  <c r="Z333" i="34"/>
  <c r="W334" i="34"/>
  <c r="X334" i="34"/>
  <c r="Y334" i="34"/>
  <c r="Z334" i="34"/>
  <c r="W335" i="34"/>
  <c r="X335" i="34"/>
  <c r="Y335" i="34"/>
  <c r="Z335" i="34"/>
  <c r="W340" i="34"/>
  <c r="X340" i="34"/>
  <c r="Y340" i="34"/>
  <c r="Z340" i="34"/>
  <c r="W342" i="34"/>
  <c r="X342" i="34"/>
  <c r="Y342" i="34"/>
  <c r="Z342" i="34"/>
  <c r="W344" i="34"/>
  <c r="X344" i="34"/>
  <c r="Y344" i="34"/>
  <c r="Z344" i="34"/>
  <c r="W346" i="34"/>
  <c r="X346" i="34"/>
  <c r="Y346" i="34"/>
  <c r="Z346" i="34"/>
  <c r="W350" i="34"/>
  <c r="X350" i="34"/>
  <c r="Y350" i="34"/>
  <c r="Z350" i="34"/>
  <c r="W351" i="34"/>
  <c r="X351" i="34"/>
  <c r="Y351" i="34"/>
  <c r="Z351" i="34"/>
  <c r="W352" i="34"/>
  <c r="X352" i="34"/>
  <c r="Y352" i="34"/>
  <c r="Z352" i="34"/>
  <c r="W353" i="34"/>
  <c r="X353" i="34"/>
  <c r="Y353" i="34"/>
  <c r="Z353" i="34"/>
  <c r="W354" i="34"/>
  <c r="X354" i="34"/>
  <c r="Y354" i="34"/>
  <c r="Z354" i="34"/>
  <c r="W355" i="34"/>
  <c r="X355" i="34"/>
  <c r="Y355" i="34"/>
  <c r="Z355" i="34"/>
  <c r="W356" i="34"/>
  <c r="X356" i="34"/>
  <c r="Y356" i="34"/>
  <c r="Z356" i="34"/>
  <c r="W357" i="34"/>
  <c r="X357" i="34"/>
  <c r="Y357" i="34"/>
  <c r="Z357" i="34"/>
  <c r="W360" i="34"/>
  <c r="X360" i="34"/>
  <c r="Y360" i="34"/>
  <c r="Z360" i="34"/>
  <c r="W361" i="34"/>
  <c r="X361" i="34"/>
  <c r="Y361" i="34"/>
  <c r="Z361" i="34"/>
  <c r="W362" i="34"/>
  <c r="X362" i="34"/>
  <c r="Y362" i="34"/>
  <c r="Z362" i="34"/>
  <c r="W363" i="34"/>
  <c r="X363" i="34"/>
  <c r="Y363" i="34"/>
  <c r="Z363" i="34"/>
  <c r="W364" i="34"/>
  <c r="X364" i="34"/>
  <c r="Y364" i="34"/>
  <c r="Z364" i="34"/>
  <c r="W365" i="34"/>
  <c r="X365" i="34"/>
  <c r="Y365" i="34"/>
  <c r="Z365" i="34"/>
  <c r="W366" i="34"/>
  <c r="X366" i="34"/>
  <c r="Y366" i="34"/>
  <c r="Z366" i="34"/>
  <c r="W367" i="34"/>
  <c r="X367" i="34"/>
  <c r="Y367" i="34"/>
  <c r="Z367" i="34"/>
  <c r="W368" i="34"/>
  <c r="X368" i="34"/>
  <c r="Y368" i="34"/>
  <c r="Z368" i="34"/>
  <c r="W369" i="34"/>
  <c r="X369" i="34"/>
  <c r="Y369" i="34"/>
  <c r="Z369" i="34"/>
  <c r="W373" i="34"/>
  <c r="X373" i="34"/>
  <c r="Y373" i="34"/>
  <c r="Z373" i="34"/>
  <c r="W374" i="34"/>
  <c r="X374" i="34"/>
  <c r="Y374" i="34"/>
  <c r="Z374" i="34"/>
  <c r="W375" i="34"/>
  <c r="X375" i="34"/>
  <c r="Y375" i="34"/>
  <c r="Z375" i="34"/>
  <c r="W376" i="34"/>
  <c r="X376" i="34"/>
  <c r="Y376" i="34"/>
  <c r="Z376" i="34"/>
  <c r="W377" i="34"/>
  <c r="X377" i="34"/>
  <c r="Y377" i="34"/>
  <c r="Z377" i="34"/>
  <c r="W379" i="34"/>
  <c r="X379" i="34"/>
  <c r="Y379" i="34"/>
  <c r="Z379" i="34"/>
  <c r="W380" i="34"/>
  <c r="X380" i="34"/>
  <c r="Y380" i="34"/>
  <c r="Z380" i="34"/>
  <c r="W381" i="34"/>
  <c r="X381" i="34"/>
  <c r="Y381" i="34"/>
  <c r="Z381" i="34"/>
  <c r="W382" i="34"/>
  <c r="X382" i="34"/>
  <c r="Y382" i="34"/>
  <c r="Z382" i="34"/>
  <c r="W383" i="34"/>
  <c r="X383" i="34"/>
  <c r="Y383" i="34"/>
  <c r="Z383" i="34"/>
  <c r="W384" i="34"/>
  <c r="X384" i="34"/>
  <c r="Y384" i="34"/>
  <c r="Z384" i="34"/>
  <c r="W385" i="34"/>
  <c r="X385" i="34"/>
  <c r="Y385" i="34"/>
  <c r="Z385" i="34"/>
  <c r="W386" i="34"/>
  <c r="X386" i="34"/>
  <c r="Y386" i="34"/>
  <c r="Z386" i="34"/>
  <c r="W387" i="34"/>
  <c r="X387" i="34"/>
  <c r="Y387" i="34"/>
  <c r="Z387" i="34"/>
  <c r="W388" i="34"/>
  <c r="X388" i="34"/>
  <c r="Y388" i="34"/>
  <c r="Z388" i="34"/>
  <c r="W391" i="34"/>
  <c r="X391" i="34"/>
  <c r="Y391" i="34"/>
  <c r="Z391" i="34"/>
  <c r="W392" i="34"/>
  <c r="X392" i="34"/>
  <c r="Y392" i="34"/>
  <c r="Z392" i="34"/>
  <c r="W394" i="34"/>
  <c r="X394" i="34"/>
  <c r="Y394" i="34"/>
  <c r="Z394" i="34"/>
  <c r="W395" i="34"/>
  <c r="X395" i="34"/>
  <c r="Y395" i="34"/>
  <c r="Z395" i="34"/>
  <c r="W398" i="34"/>
  <c r="X398" i="34"/>
  <c r="Y398" i="34"/>
  <c r="Z398" i="34"/>
  <c r="W400" i="34"/>
  <c r="X400" i="34"/>
  <c r="Y400" i="34"/>
  <c r="Z400" i="34"/>
  <c r="W401" i="34"/>
  <c r="X401" i="34"/>
  <c r="Y401" i="34"/>
  <c r="Z401" i="34"/>
  <c r="W402" i="34"/>
  <c r="X402" i="34"/>
  <c r="Y402" i="34"/>
  <c r="Z402" i="34"/>
  <c r="W403" i="34"/>
  <c r="X403" i="34"/>
  <c r="Y403" i="34"/>
  <c r="Z403" i="34"/>
  <c r="W404" i="34"/>
  <c r="X404" i="34"/>
  <c r="Y404" i="34"/>
  <c r="Z404" i="34"/>
  <c r="W405" i="34"/>
  <c r="X405" i="34"/>
  <c r="Y405" i="34"/>
  <c r="Z405" i="34"/>
  <c r="W407" i="34"/>
  <c r="X407" i="34"/>
  <c r="Y407" i="34"/>
  <c r="Z407" i="34"/>
  <c r="W408" i="34"/>
  <c r="X408" i="34"/>
  <c r="Y408" i="34"/>
  <c r="Z408" i="34"/>
  <c r="W409" i="34"/>
  <c r="X409" i="34"/>
  <c r="Y409" i="34"/>
  <c r="Z409" i="34"/>
  <c r="W412" i="34"/>
  <c r="X412" i="34"/>
  <c r="Y412" i="34"/>
  <c r="Z412" i="34"/>
  <c r="W415" i="34"/>
  <c r="X415" i="34"/>
  <c r="Y415" i="34"/>
  <c r="Z415" i="34"/>
  <c r="W416" i="34"/>
  <c r="X416" i="34"/>
  <c r="Y416" i="34"/>
  <c r="Z416" i="34"/>
  <c r="W417" i="34"/>
  <c r="X417" i="34"/>
  <c r="Y417" i="34"/>
  <c r="Z417" i="34"/>
  <c r="W418" i="34"/>
  <c r="X418" i="34"/>
  <c r="Y418" i="34"/>
  <c r="Z418" i="34"/>
  <c r="W419" i="34"/>
  <c r="X419" i="34"/>
  <c r="Y419" i="34"/>
  <c r="Z419" i="34"/>
  <c r="W420" i="34"/>
  <c r="X420" i="34"/>
  <c r="Y420" i="34"/>
  <c r="Z420" i="34"/>
  <c r="W421" i="34"/>
  <c r="X421" i="34"/>
  <c r="Y421" i="34"/>
  <c r="Z421" i="34"/>
  <c r="W422" i="34"/>
  <c r="X422" i="34"/>
  <c r="Y422" i="34"/>
  <c r="Z422" i="34"/>
  <c r="Z12" i="34"/>
  <c r="Y12" i="34"/>
  <c r="X12" i="34"/>
  <c r="W12" i="34"/>
  <c r="F97" i="30" l="1"/>
  <c r="G97" i="30"/>
  <c r="H97" i="30"/>
  <c r="I97" i="30"/>
  <c r="J97" i="30"/>
  <c r="K97" i="30"/>
  <c r="L97" i="30"/>
  <c r="F98" i="30"/>
  <c r="G98" i="30"/>
  <c r="H98" i="30"/>
  <c r="I98" i="30"/>
  <c r="J98" i="30"/>
  <c r="K98" i="30"/>
  <c r="L98" i="30"/>
  <c r="F99" i="30"/>
  <c r="G99" i="30"/>
  <c r="H99" i="30"/>
  <c r="I99" i="30"/>
  <c r="J99" i="30"/>
  <c r="K99" i="30"/>
  <c r="L99" i="30"/>
  <c r="F73" i="30"/>
  <c r="G73" i="30"/>
  <c r="H73" i="30"/>
  <c r="I73" i="30"/>
  <c r="J73" i="30"/>
  <c r="K73" i="30"/>
  <c r="L73" i="30"/>
  <c r="F74" i="30"/>
  <c r="G74" i="30"/>
  <c r="H74" i="30"/>
  <c r="I74" i="30"/>
  <c r="J74" i="30"/>
  <c r="K74" i="30"/>
  <c r="L74" i="30"/>
  <c r="F66" i="30"/>
  <c r="G66" i="30"/>
  <c r="H66" i="30"/>
  <c r="I66" i="30"/>
  <c r="J66" i="30"/>
  <c r="K66" i="30"/>
  <c r="L66" i="30"/>
  <c r="F39" i="30"/>
  <c r="G39" i="30"/>
  <c r="H39" i="30"/>
  <c r="I39" i="30"/>
  <c r="J39" i="30"/>
  <c r="K39" i="30"/>
  <c r="L39" i="30"/>
  <c r="F28" i="30"/>
  <c r="G28" i="30"/>
  <c r="H28" i="30"/>
  <c r="I28" i="30"/>
  <c r="J28" i="30"/>
  <c r="K28" i="30"/>
  <c r="L28" i="30"/>
  <c r="F272" i="30"/>
  <c r="F269" i="27"/>
  <c r="G269" i="27"/>
  <c r="F97" i="27"/>
  <c r="G97" i="27"/>
  <c r="H97" i="27"/>
  <c r="I97" i="27"/>
  <c r="F98" i="27"/>
  <c r="G98" i="27"/>
  <c r="H98" i="27"/>
  <c r="I98" i="27"/>
  <c r="F99" i="27"/>
  <c r="G99" i="27"/>
  <c r="H99" i="27"/>
  <c r="I99" i="27"/>
  <c r="F73" i="27"/>
  <c r="G73" i="27"/>
  <c r="H73" i="27"/>
  <c r="I73" i="27"/>
  <c r="F74" i="27"/>
  <c r="G74" i="27"/>
  <c r="H74" i="27"/>
  <c r="I74" i="27"/>
  <c r="F66" i="27"/>
  <c r="G66" i="27"/>
  <c r="H66" i="27"/>
  <c r="I66" i="27"/>
  <c r="F67" i="27"/>
  <c r="G67" i="27"/>
  <c r="H67" i="27"/>
  <c r="I67" i="27"/>
  <c r="F39" i="27"/>
  <c r="G39" i="27"/>
  <c r="H39" i="27"/>
  <c r="I39" i="27"/>
  <c r="F28" i="27"/>
  <c r="G28" i="27"/>
  <c r="H28" i="27"/>
  <c r="I28" i="27"/>
  <c r="I69" i="2" l="1"/>
  <c r="I70" i="2"/>
  <c r="I71" i="2"/>
  <c r="I72" i="2"/>
  <c r="L272" i="30"/>
  <c r="K272" i="30"/>
  <c r="J272" i="30"/>
  <c r="I272" i="30"/>
  <c r="H272" i="30"/>
  <c r="G272" i="30"/>
  <c r="F217" i="30"/>
  <c r="G217" i="30"/>
  <c r="H217" i="30"/>
  <c r="I217" i="30"/>
  <c r="J217" i="30"/>
  <c r="K217" i="30"/>
  <c r="L217" i="30"/>
  <c r="F161" i="30"/>
  <c r="G161" i="30"/>
  <c r="H161" i="30"/>
  <c r="I161" i="30"/>
  <c r="J161" i="30"/>
  <c r="K161" i="30"/>
  <c r="L161" i="30"/>
  <c r="F162" i="30"/>
  <c r="G162" i="30"/>
  <c r="H162" i="30"/>
  <c r="I162" i="30"/>
  <c r="J162" i="30"/>
  <c r="K162" i="30"/>
  <c r="L162" i="30"/>
  <c r="F163" i="30"/>
  <c r="G163" i="30"/>
  <c r="H163" i="30"/>
  <c r="I163" i="30"/>
  <c r="J163" i="30"/>
  <c r="K163" i="30"/>
  <c r="L163" i="30"/>
  <c r="F164" i="30"/>
  <c r="G164" i="30"/>
  <c r="H164" i="30"/>
  <c r="I164" i="30"/>
  <c r="J164" i="30"/>
  <c r="K164" i="30"/>
  <c r="L164" i="30"/>
  <c r="F165" i="30"/>
  <c r="G165" i="30"/>
  <c r="H165" i="30"/>
  <c r="I165" i="30"/>
  <c r="J165" i="30"/>
  <c r="K165" i="30"/>
  <c r="L165" i="30"/>
  <c r="F166" i="30"/>
  <c r="G166" i="30"/>
  <c r="H166" i="30"/>
  <c r="I166" i="30"/>
  <c r="J166" i="30"/>
  <c r="K166" i="30"/>
  <c r="L166" i="30"/>
  <c r="F167" i="30"/>
  <c r="G167" i="30"/>
  <c r="H167" i="30"/>
  <c r="I167" i="30"/>
  <c r="J167" i="30"/>
  <c r="K167" i="30"/>
  <c r="L167" i="30"/>
  <c r="F168" i="30"/>
  <c r="G168" i="30"/>
  <c r="H168" i="30"/>
  <c r="I168" i="30"/>
  <c r="J168" i="30"/>
  <c r="K168" i="30"/>
  <c r="L168" i="30"/>
  <c r="F169" i="30"/>
  <c r="G169" i="30"/>
  <c r="H169" i="30"/>
  <c r="I169" i="30"/>
  <c r="J169" i="30"/>
  <c r="K169" i="30"/>
  <c r="L169" i="30"/>
  <c r="F170" i="30"/>
  <c r="G170" i="30"/>
  <c r="H170" i="30"/>
  <c r="I170" i="30"/>
  <c r="J170" i="30"/>
  <c r="K170" i="30"/>
  <c r="L170" i="30"/>
  <c r="F171" i="30"/>
  <c r="G171" i="30"/>
  <c r="H171" i="30"/>
  <c r="I171" i="30"/>
  <c r="J171" i="30"/>
  <c r="K171" i="30"/>
  <c r="L171" i="30"/>
  <c r="F172" i="30"/>
  <c r="G172" i="30"/>
  <c r="H172" i="30"/>
  <c r="I172" i="30"/>
  <c r="J172" i="30"/>
  <c r="K172" i="30"/>
  <c r="L172" i="30"/>
  <c r="F173" i="30"/>
  <c r="G173" i="30"/>
  <c r="H173" i="30"/>
  <c r="I173" i="30"/>
  <c r="J173" i="30"/>
  <c r="K173" i="30"/>
  <c r="L173" i="30"/>
  <c r="F174" i="30"/>
  <c r="G174" i="30"/>
  <c r="H174" i="30"/>
  <c r="I174" i="30"/>
  <c r="J174" i="30"/>
  <c r="K174" i="30"/>
  <c r="L174" i="30"/>
  <c r="F175" i="30"/>
  <c r="G175" i="30"/>
  <c r="H175" i="30"/>
  <c r="I175" i="30"/>
  <c r="J175" i="30"/>
  <c r="K175" i="30"/>
  <c r="L175" i="30"/>
  <c r="F176" i="30"/>
  <c r="G176" i="30"/>
  <c r="H176" i="30"/>
  <c r="I176" i="30"/>
  <c r="J176" i="30"/>
  <c r="K176" i="30"/>
  <c r="L176" i="30"/>
  <c r="F220" i="27"/>
  <c r="G220" i="27"/>
  <c r="F160" i="27"/>
  <c r="G160" i="27"/>
  <c r="H160" i="27"/>
  <c r="I160" i="27"/>
  <c r="F161" i="27"/>
  <c r="G161" i="27"/>
  <c r="H161" i="27"/>
  <c r="I161" i="27"/>
  <c r="F162" i="27"/>
  <c r="G162" i="27"/>
  <c r="H162" i="27"/>
  <c r="I162" i="27"/>
  <c r="F163" i="27"/>
  <c r="G163" i="27"/>
  <c r="H163" i="27"/>
  <c r="I163" i="27"/>
  <c r="F164" i="27"/>
  <c r="G164" i="27"/>
  <c r="H164" i="27"/>
  <c r="I164" i="27"/>
  <c r="F165" i="27"/>
  <c r="G165" i="27"/>
  <c r="H165" i="27"/>
  <c r="I165" i="27"/>
  <c r="F166" i="27"/>
  <c r="G166" i="27"/>
  <c r="H166" i="27"/>
  <c r="I166" i="27"/>
  <c r="F167" i="27"/>
  <c r="G167" i="27"/>
  <c r="H167" i="27"/>
  <c r="I167" i="27"/>
  <c r="F168" i="27"/>
  <c r="G168" i="27"/>
  <c r="H168" i="27"/>
  <c r="I168" i="27"/>
  <c r="F169" i="27"/>
  <c r="G169" i="27"/>
  <c r="H169" i="27"/>
  <c r="I169" i="27"/>
  <c r="F170" i="27"/>
  <c r="G170" i="27"/>
  <c r="H170" i="27"/>
  <c r="I170" i="27"/>
  <c r="F171" i="27"/>
  <c r="G171" i="27"/>
  <c r="H171" i="27"/>
  <c r="I171" i="27"/>
  <c r="F172" i="27"/>
  <c r="G172" i="27"/>
  <c r="H172" i="27"/>
  <c r="I172" i="27"/>
  <c r="F173" i="27"/>
  <c r="G173" i="27"/>
  <c r="H173" i="27"/>
  <c r="I173" i="27"/>
  <c r="F174" i="27"/>
  <c r="G174" i="27"/>
  <c r="H174" i="27"/>
  <c r="I174" i="27"/>
  <c r="F175" i="27"/>
  <c r="G175" i="27"/>
  <c r="H175" i="27"/>
  <c r="I175" i="27"/>
  <c r="F92" i="30"/>
  <c r="G92" i="30"/>
  <c r="H92" i="30"/>
  <c r="I92" i="30"/>
  <c r="J92" i="30"/>
  <c r="F65" i="27"/>
  <c r="G65" i="27"/>
  <c r="H65" i="27"/>
  <c r="I65" i="27"/>
  <c r="F65" i="30"/>
  <c r="G65" i="30"/>
  <c r="H65" i="30"/>
  <c r="I65" i="30"/>
  <c r="J65" i="30"/>
  <c r="K65" i="30"/>
  <c r="L65" i="30"/>
  <c r="F44" i="30"/>
  <c r="G44" i="30"/>
  <c r="H44" i="30"/>
  <c r="I44" i="30"/>
  <c r="J44" i="30"/>
  <c r="K44" i="30"/>
  <c r="L44" i="30"/>
  <c r="F30" i="30"/>
  <c r="G30" i="30"/>
  <c r="H30" i="30"/>
  <c r="I30" i="30"/>
  <c r="J30" i="30"/>
  <c r="K30" i="30"/>
  <c r="L30" i="30"/>
  <c r="F44" i="27"/>
  <c r="G44" i="27"/>
  <c r="H44" i="27"/>
  <c r="I44" i="27"/>
  <c r="F30" i="27"/>
  <c r="G30" i="27"/>
  <c r="H30" i="27"/>
  <c r="I30" i="27"/>
  <c r="F13" i="27"/>
  <c r="G13" i="27"/>
  <c r="H13" i="27"/>
  <c r="I13" i="27"/>
  <c r="F144" i="30"/>
  <c r="G144" i="30"/>
  <c r="H144" i="30"/>
  <c r="I144" i="30"/>
  <c r="J144" i="30"/>
  <c r="K144" i="30"/>
  <c r="L144" i="30"/>
  <c r="F114" i="30"/>
  <c r="G114" i="30"/>
  <c r="H114" i="30"/>
  <c r="I114" i="30"/>
  <c r="J114" i="30"/>
  <c r="K114" i="30"/>
  <c r="L114" i="30"/>
  <c r="F143" i="27"/>
  <c r="G143" i="27"/>
  <c r="H143" i="27"/>
  <c r="I143" i="27"/>
  <c r="F113" i="27"/>
  <c r="G113" i="27"/>
  <c r="H113" i="27"/>
  <c r="I113" i="27"/>
  <c r="F14" i="27"/>
  <c r="G14" i="27"/>
  <c r="F15" i="27"/>
  <c r="G15" i="27"/>
  <c r="F18" i="27"/>
  <c r="G18" i="27"/>
  <c r="F19" i="27"/>
  <c r="G19" i="27"/>
  <c r="F22" i="27"/>
  <c r="G22" i="27"/>
  <c r="F23" i="27"/>
  <c r="G23" i="27"/>
  <c r="F24" i="27"/>
  <c r="G24" i="27"/>
  <c r="F25" i="27"/>
  <c r="G25" i="27"/>
  <c r="F26" i="27"/>
  <c r="G26" i="27"/>
  <c r="F27" i="27"/>
  <c r="G27" i="27"/>
  <c r="F29" i="27"/>
  <c r="G29" i="27"/>
  <c r="F33" i="27"/>
  <c r="G33" i="27"/>
  <c r="F34" i="27"/>
  <c r="G34" i="27"/>
  <c r="F35" i="27"/>
  <c r="G35" i="27"/>
  <c r="F36" i="27"/>
  <c r="G36" i="27"/>
  <c r="F37" i="27"/>
  <c r="G37" i="27"/>
  <c r="F38" i="27"/>
  <c r="G38" i="27"/>
  <c r="F40" i="27"/>
  <c r="G40" i="27"/>
  <c r="F41" i="27"/>
  <c r="G41" i="27"/>
  <c r="F42" i="27"/>
  <c r="G42" i="27"/>
  <c r="F43" i="27"/>
  <c r="G43" i="27"/>
  <c r="F47" i="27"/>
  <c r="G47" i="27"/>
  <c r="F48" i="27"/>
  <c r="G48" i="27"/>
  <c r="F51" i="27"/>
  <c r="G51" i="27"/>
  <c r="F52" i="27"/>
  <c r="G52" i="27"/>
  <c r="F53" i="27"/>
  <c r="G53" i="27"/>
  <c r="F54" i="27"/>
  <c r="G54" i="27"/>
  <c r="F55" i="27"/>
  <c r="G55" i="27"/>
  <c r="F56" i="27"/>
  <c r="G56" i="27"/>
  <c r="F57" i="27"/>
  <c r="G57" i="27"/>
  <c r="F58" i="27"/>
  <c r="G58" i="27"/>
  <c r="F59" i="27"/>
  <c r="G59" i="27"/>
  <c r="F60" i="27"/>
  <c r="G60" i="27"/>
  <c r="F61" i="27"/>
  <c r="G61" i="27"/>
  <c r="F62" i="27"/>
  <c r="G62" i="27"/>
  <c r="F63" i="27"/>
  <c r="G63" i="27"/>
  <c r="F64" i="27"/>
  <c r="G64" i="27"/>
  <c r="F68" i="27"/>
  <c r="G68" i="27"/>
  <c r="F71" i="27"/>
  <c r="G71" i="27"/>
  <c r="F72" i="27"/>
  <c r="G72" i="27"/>
  <c r="F76" i="27"/>
  <c r="G76" i="27"/>
  <c r="F77" i="27"/>
  <c r="G77" i="27"/>
  <c r="F78" i="27"/>
  <c r="G78" i="27"/>
  <c r="F79" i="27"/>
  <c r="G79" i="27"/>
  <c r="F82" i="27"/>
  <c r="G82" i="27"/>
  <c r="F83" i="27"/>
  <c r="G83" i="27"/>
  <c r="F84" i="27"/>
  <c r="G84" i="27"/>
  <c r="F85" i="27"/>
  <c r="G85" i="27"/>
  <c r="F86" i="27"/>
  <c r="G86" i="27"/>
  <c r="F87" i="27"/>
  <c r="G87" i="27"/>
  <c r="F88" i="27"/>
  <c r="G88" i="27"/>
  <c r="F89" i="27"/>
  <c r="G89" i="27"/>
  <c r="F92" i="27"/>
  <c r="G92" i="27"/>
  <c r="F93" i="27"/>
  <c r="G93" i="27"/>
  <c r="F94" i="27"/>
  <c r="G94" i="27"/>
  <c r="F95" i="27"/>
  <c r="G95" i="27"/>
  <c r="F96" i="27"/>
  <c r="G96" i="27"/>
  <c r="F101" i="27"/>
  <c r="G101" i="27"/>
  <c r="F102" i="27"/>
  <c r="G102" i="27"/>
  <c r="F103" i="27"/>
  <c r="G103" i="27"/>
  <c r="F104" i="27"/>
  <c r="G104" i="27"/>
  <c r="F105" i="27"/>
  <c r="G105" i="27"/>
  <c r="F106" i="27"/>
  <c r="G106" i="27"/>
  <c r="F107" i="27"/>
  <c r="G107" i="27"/>
  <c r="F110" i="27"/>
  <c r="G110" i="27"/>
  <c r="F111" i="27"/>
  <c r="G111" i="27"/>
  <c r="F112" i="27"/>
  <c r="G112" i="27"/>
  <c r="F116" i="27"/>
  <c r="G116" i="27"/>
  <c r="F117" i="27"/>
  <c r="G117" i="27"/>
  <c r="F118" i="27"/>
  <c r="G118" i="27"/>
  <c r="F119" i="27"/>
  <c r="G119" i="27"/>
  <c r="F120" i="27"/>
  <c r="G120" i="27"/>
  <c r="F121" i="27"/>
  <c r="G121" i="27"/>
  <c r="F122" i="27"/>
  <c r="G122" i="27"/>
  <c r="F123" i="27"/>
  <c r="G123" i="27"/>
  <c r="F124" i="27"/>
  <c r="G124" i="27"/>
  <c r="F125" i="27"/>
  <c r="G125" i="27"/>
  <c r="F126" i="27"/>
  <c r="G126" i="27"/>
  <c r="F127" i="27"/>
  <c r="G127" i="27"/>
  <c r="F128" i="27"/>
  <c r="G128" i="27"/>
  <c r="F129" i="27"/>
  <c r="G129" i="27"/>
  <c r="F130" i="27"/>
  <c r="G130" i="27"/>
  <c r="F131" i="27"/>
  <c r="G131" i="27"/>
  <c r="F134" i="27"/>
  <c r="G134" i="27"/>
  <c r="F135" i="27"/>
  <c r="G135" i="27"/>
  <c r="F138" i="27"/>
  <c r="G138" i="27"/>
  <c r="F139" i="27"/>
  <c r="G139" i="27"/>
  <c r="F140" i="27"/>
  <c r="G140" i="27"/>
  <c r="F141" i="27"/>
  <c r="G141" i="27"/>
  <c r="F142" i="27"/>
  <c r="G142" i="27"/>
  <c r="F146" i="27"/>
  <c r="G146" i="27"/>
  <c r="F147" i="27"/>
  <c r="G147" i="27"/>
  <c r="F148" i="27"/>
  <c r="G148" i="27"/>
  <c r="F149" i="27"/>
  <c r="G149" i="27"/>
  <c r="F150" i="27"/>
  <c r="G150" i="27"/>
  <c r="F151" i="27"/>
  <c r="G151" i="27"/>
  <c r="F152" i="27"/>
  <c r="G152" i="27"/>
  <c r="F153" i="27"/>
  <c r="G153" i="27"/>
  <c r="F154" i="27"/>
  <c r="G154" i="27"/>
  <c r="F155" i="27"/>
  <c r="G155" i="27"/>
  <c r="F156" i="27"/>
  <c r="G156" i="27"/>
  <c r="F157" i="27"/>
  <c r="G157" i="27"/>
  <c r="F158" i="27"/>
  <c r="G158" i="27"/>
  <c r="F159" i="27"/>
  <c r="G159" i="27"/>
  <c r="F178" i="27"/>
  <c r="G178" i="27"/>
  <c r="H14" i="27"/>
  <c r="I14" i="27"/>
  <c r="H15" i="27"/>
  <c r="I15" i="27"/>
  <c r="H18" i="27"/>
  <c r="I18" i="27"/>
  <c r="H19" i="27"/>
  <c r="I19" i="27"/>
  <c r="H22" i="27"/>
  <c r="I22" i="27"/>
  <c r="H23" i="27"/>
  <c r="I23" i="27"/>
  <c r="H24" i="27"/>
  <c r="I24" i="27"/>
  <c r="H25" i="27"/>
  <c r="I25" i="27"/>
  <c r="H26" i="27"/>
  <c r="I26" i="27"/>
  <c r="H27" i="27"/>
  <c r="I27" i="27"/>
  <c r="H29" i="27"/>
  <c r="I29" i="27"/>
  <c r="H33" i="27"/>
  <c r="I33" i="27"/>
  <c r="H34" i="27"/>
  <c r="I34" i="27"/>
  <c r="H35" i="27"/>
  <c r="I35" i="27"/>
  <c r="H36" i="27"/>
  <c r="I36" i="27"/>
  <c r="H37" i="27"/>
  <c r="I37" i="27"/>
  <c r="H38" i="27"/>
  <c r="I38" i="27"/>
  <c r="H40" i="27"/>
  <c r="I40" i="27"/>
  <c r="H41" i="27"/>
  <c r="I41" i="27"/>
  <c r="H42" i="27"/>
  <c r="I42" i="27"/>
  <c r="H43" i="27"/>
  <c r="I43" i="27"/>
  <c r="H47" i="27"/>
  <c r="I47" i="27"/>
  <c r="H48" i="27"/>
  <c r="I48" i="27"/>
  <c r="H51" i="27"/>
  <c r="I51" i="27"/>
  <c r="H52" i="27"/>
  <c r="I52" i="27"/>
  <c r="H53" i="27"/>
  <c r="I53" i="27"/>
  <c r="H54" i="27"/>
  <c r="I54" i="27"/>
  <c r="H55" i="27"/>
  <c r="I55" i="27"/>
  <c r="H56" i="27"/>
  <c r="I56" i="27"/>
  <c r="H57" i="27"/>
  <c r="I57" i="27"/>
  <c r="H58" i="27"/>
  <c r="I58" i="27"/>
  <c r="H59" i="27"/>
  <c r="I59" i="27"/>
  <c r="H60" i="27"/>
  <c r="I60" i="27"/>
  <c r="H61" i="27"/>
  <c r="I61" i="27"/>
  <c r="H62" i="27"/>
  <c r="I62" i="27"/>
  <c r="H63" i="27"/>
  <c r="I63" i="27"/>
  <c r="H64" i="27"/>
  <c r="I64" i="27"/>
  <c r="H68" i="27"/>
  <c r="I68" i="27"/>
  <c r="H71" i="27"/>
  <c r="I71" i="27"/>
  <c r="H72" i="27"/>
  <c r="I72" i="27"/>
  <c r="H76" i="27"/>
  <c r="I76" i="27"/>
  <c r="H77" i="27"/>
  <c r="I77" i="27"/>
  <c r="H78" i="27"/>
  <c r="I78" i="27"/>
  <c r="H79" i="27"/>
  <c r="I79" i="27"/>
  <c r="H82" i="27"/>
  <c r="I82" i="27"/>
  <c r="H83" i="27"/>
  <c r="I83" i="27"/>
  <c r="H84" i="27"/>
  <c r="I84" i="27"/>
  <c r="H85" i="27"/>
  <c r="I85" i="27"/>
  <c r="H86" i="27"/>
  <c r="I86" i="27"/>
  <c r="H87" i="27"/>
  <c r="I87" i="27"/>
  <c r="H88" i="27"/>
  <c r="I88" i="27"/>
  <c r="H89" i="27"/>
  <c r="I89" i="27"/>
  <c r="H92" i="27"/>
  <c r="I92" i="27"/>
  <c r="H93" i="27"/>
  <c r="I93" i="27"/>
  <c r="H94" i="27"/>
  <c r="I94" i="27"/>
  <c r="H95" i="27"/>
  <c r="I95" i="27"/>
  <c r="H96" i="27"/>
  <c r="I96" i="27"/>
  <c r="H101" i="27"/>
  <c r="I101" i="27"/>
  <c r="H102" i="27"/>
  <c r="I102" i="27"/>
  <c r="H103" i="27"/>
  <c r="I103" i="27"/>
  <c r="H104" i="27"/>
  <c r="I104" i="27"/>
  <c r="H105" i="27"/>
  <c r="I105" i="27"/>
  <c r="H106" i="27"/>
  <c r="I106" i="27"/>
  <c r="H107" i="27"/>
  <c r="I107" i="27"/>
  <c r="H110" i="27"/>
  <c r="I110" i="27"/>
  <c r="H111" i="27"/>
  <c r="I111" i="27"/>
  <c r="H112" i="27"/>
  <c r="I112" i="27"/>
  <c r="H116" i="27"/>
  <c r="I116" i="27"/>
  <c r="H117" i="27"/>
  <c r="I117" i="27"/>
  <c r="H118" i="27"/>
  <c r="I118" i="27"/>
  <c r="H119" i="27"/>
  <c r="I119" i="27"/>
  <c r="H120" i="27"/>
  <c r="I120" i="27"/>
  <c r="H121" i="27"/>
  <c r="I121" i="27"/>
  <c r="H122" i="27"/>
  <c r="I122" i="27"/>
  <c r="H123" i="27"/>
  <c r="I123" i="27"/>
  <c r="H124" i="27"/>
  <c r="I124" i="27"/>
  <c r="H125" i="27"/>
  <c r="I125" i="27"/>
  <c r="H126" i="27"/>
  <c r="I126" i="27"/>
  <c r="H127" i="27"/>
  <c r="I127" i="27"/>
  <c r="H128" i="27"/>
  <c r="I128" i="27"/>
  <c r="H129" i="27"/>
  <c r="I129" i="27"/>
  <c r="H130" i="27"/>
  <c r="I130" i="27"/>
  <c r="H131" i="27"/>
  <c r="I131" i="27"/>
  <c r="H134" i="27"/>
  <c r="I134" i="27"/>
  <c r="H135" i="27"/>
  <c r="I135" i="27"/>
  <c r="H138" i="27"/>
  <c r="I138" i="27"/>
  <c r="H139" i="27"/>
  <c r="I139" i="27"/>
  <c r="H140" i="27"/>
  <c r="I140" i="27"/>
  <c r="H141" i="27"/>
  <c r="I141" i="27"/>
  <c r="H142" i="27"/>
  <c r="I142" i="27"/>
  <c r="H146" i="27"/>
  <c r="I146" i="27"/>
  <c r="H147" i="27"/>
  <c r="I147" i="27"/>
  <c r="H148" i="27"/>
  <c r="I148" i="27"/>
  <c r="H149" i="27"/>
  <c r="I149" i="27"/>
  <c r="H150" i="27"/>
  <c r="I150" i="27"/>
  <c r="H151" i="27"/>
  <c r="I151" i="27"/>
  <c r="H152" i="27"/>
  <c r="I152" i="27"/>
  <c r="H153" i="27"/>
  <c r="I153" i="27"/>
  <c r="H154" i="27"/>
  <c r="I154" i="27"/>
  <c r="H155" i="27"/>
  <c r="I155" i="27"/>
  <c r="H156" i="27"/>
  <c r="I156" i="27"/>
  <c r="H157" i="27"/>
  <c r="I157" i="27"/>
  <c r="H158" i="27"/>
  <c r="I158" i="27"/>
  <c r="H159" i="27"/>
  <c r="I159" i="27"/>
  <c r="H178" i="27"/>
  <c r="I178" i="27"/>
  <c r="F185" i="27"/>
  <c r="F14" i="30"/>
  <c r="G14" i="30"/>
  <c r="H14" i="30"/>
  <c r="I14" i="30"/>
  <c r="J14" i="30"/>
  <c r="K14" i="30"/>
  <c r="L14" i="30"/>
  <c r="F15" i="30"/>
  <c r="G15" i="30"/>
  <c r="H15" i="30"/>
  <c r="I15" i="30"/>
  <c r="J15" i="30"/>
  <c r="K15" i="30"/>
  <c r="L15" i="30"/>
  <c r="F18" i="30"/>
  <c r="G18" i="30"/>
  <c r="H18" i="30"/>
  <c r="I18" i="30"/>
  <c r="J18" i="30"/>
  <c r="K18" i="30"/>
  <c r="L18" i="30"/>
  <c r="F19" i="30"/>
  <c r="G19" i="30"/>
  <c r="H19" i="30"/>
  <c r="I19" i="30"/>
  <c r="J19" i="30"/>
  <c r="K19" i="30"/>
  <c r="L19" i="30"/>
  <c r="F22" i="30"/>
  <c r="G22" i="30"/>
  <c r="H22" i="30"/>
  <c r="I22" i="30"/>
  <c r="J22" i="30"/>
  <c r="K22" i="30"/>
  <c r="L22" i="30"/>
  <c r="F23" i="30"/>
  <c r="G23" i="30"/>
  <c r="H23" i="30"/>
  <c r="I23" i="30"/>
  <c r="J23" i="30"/>
  <c r="K23" i="30"/>
  <c r="L23" i="30"/>
  <c r="F24" i="30"/>
  <c r="G24" i="30"/>
  <c r="H24" i="30"/>
  <c r="I24" i="30"/>
  <c r="J24" i="30"/>
  <c r="K24" i="30"/>
  <c r="L24" i="30"/>
  <c r="F25" i="30"/>
  <c r="G25" i="30"/>
  <c r="H25" i="30"/>
  <c r="I25" i="30"/>
  <c r="J25" i="30"/>
  <c r="K25" i="30"/>
  <c r="L25" i="30"/>
  <c r="F26" i="30"/>
  <c r="G26" i="30"/>
  <c r="H26" i="30"/>
  <c r="I26" i="30"/>
  <c r="J26" i="30"/>
  <c r="K26" i="30"/>
  <c r="L26" i="30"/>
  <c r="F27" i="30"/>
  <c r="G27" i="30"/>
  <c r="H27" i="30"/>
  <c r="I27" i="30"/>
  <c r="J27" i="30"/>
  <c r="K27" i="30"/>
  <c r="L27" i="30"/>
  <c r="F29" i="30"/>
  <c r="G29" i="30"/>
  <c r="H29" i="30"/>
  <c r="I29" i="30"/>
  <c r="J29" i="30"/>
  <c r="K29" i="30"/>
  <c r="L29" i="30"/>
  <c r="F33" i="30"/>
  <c r="G33" i="30"/>
  <c r="H33" i="30"/>
  <c r="I33" i="30"/>
  <c r="J33" i="30"/>
  <c r="K33" i="30"/>
  <c r="L33" i="30"/>
  <c r="F34" i="30"/>
  <c r="G34" i="30"/>
  <c r="H34" i="30"/>
  <c r="I34" i="30"/>
  <c r="J34" i="30"/>
  <c r="K34" i="30"/>
  <c r="L34" i="30"/>
  <c r="F35" i="30"/>
  <c r="G35" i="30"/>
  <c r="H35" i="30"/>
  <c r="I35" i="30"/>
  <c r="J35" i="30"/>
  <c r="K35" i="30"/>
  <c r="L35" i="30"/>
  <c r="F36" i="30"/>
  <c r="G36" i="30"/>
  <c r="H36" i="30"/>
  <c r="I36" i="30"/>
  <c r="J36" i="30"/>
  <c r="K36" i="30"/>
  <c r="L36" i="30"/>
  <c r="F37" i="30"/>
  <c r="G37" i="30"/>
  <c r="H37" i="30"/>
  <c r="I37" i="30"/>
  <c r="J37" i="30"/>
  <c r="K37" i="30"/>
  <c r="L37" i="30"/>
  <c r="F38" i="30"/>
  <c r="G38" i="30"/>
  <c r="H38" i="30"/>
  <c r="I38" i="30"/>
  <c r="J38" i="30"/>
  <c r="K38" i="30"/>
  <c r="L38" i="30"/>
  <c r="F40" i="30"/>
  <c r="G40" i="30"/>
  <c r="H40" i="30"/>
  <c r="I40" i="30"/>
  <c r="J40" i="30"/>
  <c r="K40" i="30"/>
  <c r="L40" i="30"/>
  <c r="F41" i="30"/>
  <c r="G41" i="30"/>
  <c r="H41" i="30"/>
  <c r="I41" i="30"/>
  <c r="J41" i="30"/>
  <c r="K41" i="30"/>
  <c r="L41" i="30"/>
  <c r="F42" i="30"/>
  <c r="G42" i="30"/>
  <c r="H42" i="30"/>
  <c r="I42" i="30"/>
  <c r="J42" i="30"/>
  <c r="K42" i="30"/>
  <c r="L42" i="30"/>
  <c r="F43" i="30"/>
  <c r="G43" i="30"/>
  <c r="H43" i="30"/>
  <c r="I43" i="30"/>
  <c r="J43" i="30"/>
  <c r="K43" i="30"/>
  <c r="L43" i="30"/>
  <c r="F47" i="30"/>
  <c r="G47" i="30"/>
  <c r="H47" i="30"/>
  <c r="I47" i="30"/>
  <c r="J47" i="30"/>
  <c r="K47" i="30"/>
  <c r="L47" i="30"/>
  <c r="F48" i="30"/>
  <c r="G48" i="30"/>
  <c r="H48" i="30"/>
  <c r="I48" i="30"/>
  <c r="J48" i="30"/>
  <c r="K48" i="30"/>
  <c r="L48" i="30"/>
  <c r="F51" i="30"/>
  <c r="G51" i="30"/>
  <c r="H51" i="30"/>
  <c r="I51" i="30"/>
  <c r="J51" i="30"/>
  <c r="K51" i="30"/>
  <c r="L51" i="30"/>
  <c r="F52" i="30"/>
  <c r="G52" i="30"/>
  <c r="H52" i="30"/>
  <c r="I52" i="30"/>
  <c r="J52" i="30"/>
  <c r="K52" i="30"/>
  <c r="L52" i="30"/>
  <c r="F53" i="30"/>
  <c r="G53" i="30"/>
  <c r="H53" i="30"/>
  <c r="I53" i="30"/>
  <c r="J53" i="30"/>
  <c r="K53" i="30"/>
  <c r="L53" i="30"/>
  <c r="F54" i="30"/>
  <c r="G54" i="30"/>
  <c r="H54" i="30"/>
  <c r="I54" i="30"/>
  <c r="J54" i="30"/>
  <c r="K54" i="30"/>
  <c r="L54" i="30"/>
  <c r="F55" i="30"/>
  <c r="G55" i="30"/>
  <c r="H55" i="30"/>
  <c r="I55" i="30"/>
  <c r="J55" i="30"/>
  <c r="K55" i="30"/>
  <c r="L55" i="30"/>
  <c r="F56" i="30"/>
  <c r="G56" i="30"/>
  <c r="H56" i="30"/>
  <c r="I56" i="30"/>
  <c r="J56" i="30"/>
  <c r="K56" i="30"/>
  <c r="L56" i="30"/>
  <c r="F57" i="30"/>
  <c r="G57" i="30"/>
  <c r="H57" i="30"/>
  <c r="I57" i="30"/>
  <c r="J57" i="30"/>
  <c r="K57" i="30"/>
  <c r="L57" i="30"/>
  <c r="F58" i="30"/>
  <c r="G58" i="30"/>
  <c r="H58" i="30"/>
  <c r="I58" i="30"/>
  <c r="J58" i="30"/>
  <c r="K58" i="30"/>
  <c r="L58" i="30"/>
  <c r="F59" i="30"/>
  <c r="G59" i="30"/>
  <c r="H59" i="30"/>
  <c r="I59" i="30"/>
  <c r="J59" i="30"/>
  <c r="K59" i="30"/>
  <c r="L59" i="30"/>
  <c r="F60" i="30"/>
  <c r="G60" i="30"/>
  <c r="H60" i="30"/>
  <c r="I60" i="30"/>
  <c r="J60" i="30"/>
  <c r="K60" i="30"/>
  <c r="L60" i="30"/>
  <c r="F61" i="30"/>
  <c r="G61" i="30"/>
  <c r="H61" i="30"/>
  <c r="I61" i="30"/>
  <c r="J61" i="30"/>
  <c r="K61" i="30"/>
  <c r="L61" i="30"/>
  <c r="F62" i="30"/>
  <c r="G62" i="30"/>
  <c r="H62" i="30"/>
  <c r="I62" i="30"/>
  <c r="J62" i="30"/>
  <c r="K62" i="30"/>
  <c r="L62" i="30"/>
  <c r="F63" i="30"/>
  <c r="G63" i="30"/>
  <c r="H63" i="30"/>
  <c r="I63" i="30"/>
  <c r="J63" i="30"/>
  <c r="K63" i="30"/>
  <c r="L63" i="30"/>
  <c r="F64" i="30"/>
  <c r="G64" i="30"/>
  <c r="H64" i="30"/>
  <c r="I64" i="30"/>
  <c r="J64" i="30"/>
  <c r="K64" i="30"/>
  <c r="L64" i="30"/>
  <c r="F67" i="30"/>
  <c r="G67" i="30"/>
  <c r="H67" i="30"/>
  <c r="I67" i="30"/>
  <c r="J67" i="30"/>
  <c r="K67" i="30"/>
  <c r="L67" i="30"/>
  <c r="F71" i="30"/>
  <c r="G71" i="30"/>
  <c r="H71" i="30"/>
  <c r="I71" i="30"/>
  <c r="J71" i="30"/>
  <c r="K71" i="30"/>
  <c r="L71" i="30"/>
  <c r="F72" i="30"/>
  <c r="G72" i="30"/>
  <c r="H72" i="30"/>
  <c r="I72" i="30"/>
  <c r="J72" i="30"/>
  <c r="K72" i="30"/>
  <c r="L72" i="30"/>
  <c r="F76" i="30"/>
  <c r="G76" i="30"/>
  <c r="H76" i="30"/>
  <c r="I76" i="30"/>
  <c r="J76" i="30"/>
  <c r="K76" i="30"/>
  <c r="L76" i="30"/>
  <c r="F77" i="30"/>
  <c r="G77" i="30"/>
  <c r="H77" i="30"/>
  <c r="I77" i="30"/>
  <c r="J77" i="30"/>
  <c r="K77" i="30"/>
  <c r="L77" i="30"/>
  <c r="F78" i="30"/>
  <c r="G78" i="30"/>
  <c r="H78" i="30"/>
  <c r="I78" i="30"/>
  <c r="J78" i="30"/>
  <c r="K78" i="30"/>
  <c r="L78" i="30"/>
  <c r="F79" i="30"/>
  <c r="G79" i="30"/>
  <c r="H79" i="30"/>
  <c r="I79" i="30"/>
  <c r="J79" i="30"/>
  <c r="K79" i="30"/>
  <c r="L79" i="30"/>
  <c r="F82" i="30"/>
  <c r="G82" i="30"/>
  <c r="H82" i="30"/>
  <c r="I82" i="30"/>
  <c r="J82" i="30"/>
  <c r="K82" i="30"/>
  <c r="L82" i="30"/>
  <c r="F83" i="30"/>
  <c r="G83" i="30"/>
  <c r="H83" i="30"/>
  <c r="I83" i="30"/>
  <c r="J83" i="30"/>
  <c r="K83" i="30"/>
  <c r="L83" i="30"/>
  <c r="F84" i="30"/>
  <c r="G84" i="30"/>
  <c r="H84" i="30"/>
  <c r="I84" i="30"/>
  <c r="J84" i="30"/>
  <c r="K84" i="30"/>
  <c r="L84" i="30"/>
  <c r="F85" i="30"/>
  <c r="G85" i="30"/>
  <c r="H85" i="30"/>
  <c r="I85" i="30"/>
  <c r="J85" i="30"/>
  <c r="K85" i="30"/>
  <c r="L85" i="30"/>
  <c r="F86" i="30"/>
  <c r="G86" i="30"/>
  <c r="H86" i="30"/>
  <c r="I86" i="30"/>
  <c r="J86" i="30"/>
  <c r="K86" i="30"/>
  <c r="L86" i="30"/>
  <c r="F87" i="30"/>
  <c r="G87" i="30"/>
  <c r="H87" i="30"/>
  <c r="I87" i="30"/>
  <c r="J87" i="30"/>
  <c r="K87" i="30"/>
  <c r="L87" i="30"/>
  <c r="F88" i="30"/>
  <c r="G88" i="30"/>
  <c r="H88" i="30"/>
  <c r="I88" i="30"/>
  <c r="J88" i="30"/>
  <c r="K88" i="30"/>
  <c r="L88" i="30"/>
  <c r="F89" i="30"/>
  <c r="G89" i="30"/>
  <c r="H89" i="30"/>
  <c r="I89" i="30"/>
  <c r="J89" i="30"/>
  <c r="K89" i="30"/>
  <c r="L89" i="30"/>
  <c r="K92" i="30"/>
  <c r="L92" i="30"/>
  <c r="F93" i="30"/>
  <c r="G93" i="30"/>
  <c r="H93" i="30"/>
  <c r="I93" i="30"/>
  <c r="J93" i="30"/>
  <c r="K93" i="30"/>
  <c r="L93" i="30"/>
  <c r="F94" i="30"/>
  <c r="G94" i="30"/>
  <c r="H94" i="30"/>
  <c r="I94" i="30"/>
  <c r="J94" i="30"/>
  <c r="K94" i="30"/>
  <c r="L94" i="30"/>
  <c r="F95" i="30"/>
  <c r="G95" i="30"/>
  <c r="H95" i="30"/>
  <c r="I95" i="30"/>
  <c r="J95" i="30"/>
  <c r="K95" i="30"/>
  <c r="L95" i="30"/>
  <c r="F96" i="30"/>
  <c r="G96" i="30"/>
  <c r="H96" i="30"/>
  <c r="I96" i="30"/>
  <c r="J96" i="30"/>
  <c r="K96" i="30"/>
  <c r="L96" i="30"/>
  <c r="F102" i="30"/>
  <c r="G102" i="30"/>
  <c r="H102" i="30"/>
  <c r="I102" i="30"/>
  <c r="J102" i="30"/>
  <c r="K102" i="30"/>
  <c r="L102" i="30"/>
  <c r="F103" i="30"/>
  <c r="G103" i="30"/>
  <c r="H103" i="30"/>
  <c r="I103" i="30"/>
  <c r="J103" i="30"/>
  <c r="K103" i="30"/>
  <c r="L103" i="30"/>
  <c r="F104" i="30"/>
  <c r="G104" i="30"/>
  <c r="H104" i="30"/>
  <c r="I104" i="30"/>
  <c r="J104" i="30"/>
  <c r="K104" i="30"/>
  <c r="L104" i="30"/>
  <c r="F105" i="30"/>
  <c r="G105" i="30"/>
  <c r="H105" i="30"/>
  <c r="I105" i="30"/>
  <c r="J105" i="30"/>
  <c r="K105" i="30"/>
  <c r="L105" i="30"/>
  <c r="F106" i="30"/>
  <c r="G106" i="30"/>
  <c r="H106" i="30"/>
  <c r="I106" i="30"/>
  <c r="J106" i="30"/>
  <c r="K106" i="30"/>
  <c r="L106" i="30"/>
  <c r="F107" i="30"/>
  <c r="G107" i="30"/>
  <c r="H107" i="30"/>
  <c r="I107" i="30"/>
  <c r="J107" i="30"/>
  <c r="K107" i="30"/>
  <c r="L107" i="30"/>
  <c r="F108" i="30"/>
  <c r="G108" i="30"/>
  <c r="H108" i="30"/>
  <c r="I108" i="30"/>
  <c r="J108" i="30"/>
  <c r="K108" i="30"/>
  <c r="L108" i="30"/>
  <c r="F111" i="30"/>
  <c r="G111" i="30"/>
  <c r="H111" i="30"/>
  <c r="I111" i="30"/>
  <c r="J111" i="30"/>
  <c r="K111" i="30"/>
  <c r="L111" i="30"/>
  <c r="F112" i="30"/>
  <c r="G112" i="30"/>
  <c r="H112" i="30"/>
  <c r="I112" i="30"/>
  <c r="J112" i="30"/>
  <c r="K112" i="30"/>
  <c r="L112" i="30"/>
  <c r="F113" i="30"/>
  <c r="G113" i="30"/>
  <c r="H113" i="30"/>
  <c r="I113" i="30"/>
  <c r="J113" i="30"/>
  <c r="K113" i="30"/>
  <c r="L113" i="30"/>
  <c r="F117" i="30"/>
  <c r="G117" i="30"/>
  <c r="H117" i="30"/>
  <c r="I117" i="30"/>
  <c r="J117" i="30"/>
  <c r="K117" i="30"/>
  <c r="L117" i="30"/>
  <c r="F118" i="30"/>
  <c r="G118" i="30"/>
  <c r="H118" i="30"/>
  <c r="I118" i="30"/>
  <c r="J118" i="30"/>
  <c r="K118" i="30"/>
  <c r="L118" i="30"/>
  <c r="F119" i="30"/>
  <c r="G119" i="30"/>
  <c r="H119" i="30"/>
  <c r="I119" i="30"/>
  <c r="J119" i="30"/>
  <c r="K119" i="30"/>
  <c r="L119" i="30"/>
  <c r="F120" i="30"/>
  <c r="G120" i="30"/>
  <c r="H120" i="30"/>
  <c r="I120" i="30"/>
  <c r="J120" i="30"/>
  <c r="K120" i="30"/>
  <c r="L120" i="30"/>
  <c r="F121" i="30"/>
  <c r="G121" i="30"/>
  <c r="H121" i="30"/>
  <c r="I121" i="30"/>
  <c r="J121" i="30"/>
  <c r="K121" i="30"/>
  <c r="L121" i="30"/>
  <c r="F122" i="30"/>
  <c r="G122" i="30"/>
  <c r="H122" i="30"/>
  <c r="I122" i="30"/>
  <c r="J122" i="30"/>
  <c r="K122" i="30"/>
  <c r="L122" i="30"/>
  <c r="F123" i="30"/>
  <c r="G123" i="30"/>
  <c r="H123" i="30"/>
  <c r="I123" i="30"/>
  <c r="J123" i="30"/>
  <c r="K123" i="30"/>
  <c r="L123" i="30"/>
  <c r="F124" i="30"/>
  <c r="G124" i="30"/>
  <c r="H124" i="30"/>
  <c r="I124" i="30"/>
  <c r="J124" i="30"/>
  <c r="K124" i="30"/>
  <c r="L124" i="30"/>
  <c r="F125" i="30"/>
  <c r="G125" i="30"/>
  <c r="H125" i="30"/>
  <c r="I125" i="30"/>
  <c r="J125" i="30"/>
  <c r="K125" i="30"/>
  <c r="L125" i="30"/>
  <c r="F126" i="30"/>
  <c r="G126" i="30"/>
  <c r="H126" i="30"/>
  <c r="I126" i="30"/>
  <c r="J126" i="30"/>
  <c r="K126" i="30"/>
  <c r="L126" i="30"/>
  <c r="F127" i="30"/>
  <c r="G127" i="30"/>
  <c r="H127" i="30"/>
  <c r="I127" i="30"/>
  <c r="J127" i="30"/>
  <c r="K127" i="30"/>
  <c r="L127" i="30"/>
  <c r="F128" i="30"/>
  <c r="G128" i="30"/>
  <c r="H128" i="30"/>
  <c r="I128" i="30"/>
  <c r="J128" i="30"/>
  <c r="K128" i="30"/>
  <c r="L128" i="30"/>
  <c r="F129" i="30"/>
  <c r="G129" i="30"/>
  <c r="H129" i="30"/>
  <c r="I129" i="30"/>
  <c r="J129" i="30"/>
  <c r="K129" i="30"/>
  <c r="L129" i="30"/>
  <c r="F130" i="30"/>
  <c r="G130" i="30"/>
  <c r="H130" i="30"/>
  <c r="I130" i="30"/>
  <c r="J130" i="30"/>
  <c r="K130" i="30"/>
  <c r="L130" i="30"/>
  <c r="F131" i="30"/>
  <c r="G131" i="30"/>
  <c r="H131" i="30"/>
  <c r="I131" i="30"/>
  <c r="J131" i="30"/>
  <c r="K131" i="30"/>
  <c r="L131" i="30"/>
  <c r="F132" i="30"/>
  <c r="G132" i="30"/>
  <c r="H132" i="30"/>
  <c r="I132" i="30"/>
  <c r="J132" i="30"/>
  <c r="K132" i="30"/>
  <c r="L132" i="30"/>
  <c r="F135" i="30"/>
  <c r="G135" i="30"/>
  <c r="H135" i="30"/>
  <c r="I135" i="30"/>
  <c r="J135" i="30"/>
  <c r="K135" i="30"/>
  <c r="L135" i="30"/>
  <c r="F136" i="30"/>
  <c r="G136" i="30"/>
  <c r="H136" i="30"/>
  <c r="I136" i="30"/>
  <c r="J136" i="30"/>
  <c r="K136" i="30"/>
  <c r="L136" i="30"/>
  <c r="F139" i="30"/>
  <c r="G139" i="30"/>
  <c r="H139" i="30"/>
  <c r="I139" i="30"/>
  <c r="J139" i="30"/>
  <c r="K139" i="30"/>
  <c r="L139" i="30"/>
  <c r="F140" i="30"/>
  <c r="G140" i="30"/>
  <c r="H140" i="30"/>
  <c r="I140" i="30"/>
  <c r="J140" i="30"/>
  <c r="K140" i="30"/>
  <c r="L140" i="30"/>
  <c r="F141" i="30"/>
  <c r="G141" i="30"/>
  <c r="H141" i="30"/>
  <c r="I141" i="30"/>
  <c r="J141" i="30"/>
  <c r="K141" i="30"/>
  <c r="L141" i="30"/>
  <c r="F142" i="30"/>
  <c r="G142" i="30"/>
  <c r="H142" i="30"/>
  <c r="I142" i="30"/>
  <c r="J142" i="30"/>
  <c r="K142" i="30"/>
  <c r="L142" i="30"/>
  <c r="F143" i="30"/>
  <c r="G143" i="30"/>
  <c r="H143" i="30"/>
  <c r="I143" i="30"/>
  <c r="J143" i="30"/>
  <c r="K143" i="30"/>
  <c r="L143" i="30"/>
  <c r="F147" i="30"/>
  <c r="G147" i="30"/>
  <c r="H147" i="30"/>
  <c r="I147" i="30"/>
  <c r="J147" i="30"/>
  <c r="K147" i="30"/>
  <c r="L147" i="30"/>
  <c r="F148" i="30"/>
  <c r="G148" i="30"/>
  <c r="H148" i="30"/>
  <c r="I148" i="30"/>
  <c r="J148" i="30"/>
  <c r="K148" i="30"/>
  <c r="L148" i="30"/>
  <c r="F149" i="30"/>
  <c r="G149" i="30"/>
  <c r="H149" i="30"/>
  <c r="I149" i="30"/>
  <c r="J149" i="30"/>
  <c r="K149" i="30"/>
  <c r="L149" i="30"/>
  <c r="F150" i="30"/>
  <c r="G150" i="30"/>
  <c r="H150" i="30"/>
  <c r="I150" i="30"/>
  <c r="J150" i="30"/>
  <c r="K150" i="30"/>
  <c r="L150" i="30"/>
  <c r="F151" i="30"/>
  <c r="G151" i="30"/>
  <c r="H151" i="30"/>
  <c r="I151" i="30"/>
  <c r="J151" i="30"/>
  <c r="K151" i="30"/>
  <c r="L151" i="30"/>
  <c r="F152" i="30"/>
  <c r="G152" i="30"/>
  <c r="H152" i="30"/>
  <c r="I152" i="30"/>
  <c r="J152" i="30"/>
  <c r="K152" i="30"/>
  <c r="L152" i="30"/>
  <c r="F153" i="30"/>
  <c r="G153" i="30"/>
  <c r="H153" i="30"/>
  <c r="I153" i="30"/>
  <c r="J153" i="30"/>
  <c r="K153" i="30"/>
  <c r="L153" i="30"/>
  <c r="F154" i="30"/>
  <c r="G154" i="30"/>
  <c r="H154" i="30"/>
  <c r="I154" i="30"/>
  <c r="J154" i="30"/>
  <c r="K154" i="30"/>
  <c r="L154" i="30"/>
  <c r="F155" i="30"/>
  <c r="G155" i="30"/>
  <c r="H155" i="30"/>
  <c r="I155" i="30"/>
  <c r="J155" i="30"/>
  <c r="K155" i="30"/>
  <c r="L155" i="30"/>
  <c r="F156" i="30"/>
  <c r="G156" i="30"/>
  <c r="H156" i="30"/>
  <c r="I156" i="30"/>
  <c r="J156" i="30"/>
  <c r="K156" i="30"/>
  <c r="L156" i="30"/>
  <c r="F157" i="30"/>
  <c r="G157" i="30"/>
  <c r="H157" i="30"/>
  <c r="I157" i="30"/>
  <c r="J157" i="30"/>
  <c r="K157" i="30"/>
  <c r="L157" i="30"/>
  <c r="F158" i="30"/>
  <c r="G158" i="30"/>
  <c r="H158" i="30"/>
  <c r="I158" i="30"/>
  <c r="J158" i="30"/>
  <c r="K158" i="30"/>
  <c r="L158" i="30"/>
  <c r="F159" i="30"/>
  <c r="G159" i="30"/>
  <c r="H159" i="30"/>
  <c r="I159" i="30"/>
  <c r="J159" i="30"/>
  <c r="K159" i="30"/>
  <c r="L159" i="30"/>
  <c r="F160" i="30"/>
  <c r="G160" i="30"/>
  <c r="H160" i="30"/>
  <c r="I160" i="30"/>
  <c r="J160" i="30"/>
  <c r="K160" i="30"/>
  <c r="L160" i="30"/>
  <c r="F179" i="30"/>
  <c r="G179" i="30"/>
  <c r="H179" i="30"/>
  <c r="I179" i="30"/>
  <c r="J179" i="30"/>
  <c r="K179" i="30"/>
  <c r="L179" i="30"/>
  <c r="F182" i="30"/>
  <c r="G182" i="30"/>
  <c r="H182" i="30"/>
  <c r="I182" i="30"/>
  <c r="J182" i="30"/>
  <c r="K182" i="30"/>
  <c r="L182" i="30"/>
  <c r="F183" i="30"/>
  <c r="G183" i="30"/>
  <c r="H183" i="30"/>
  <c r="I183" i="30"/>
  <c r="J183" i="30"/>
  <c r="K183" i="30"/>
  <c r="L183" i="30"/>
  <c r="F184" i="30"/>
  <c r="G184" i="30"/>
  <c r="H184" i="30"/>
  <c r="I184" i="30"/>
  <c r="J184" i="30"/>
  <c r="K184" i="30"/>
  <c r="L184" i="30"/>
  <c r="F185" i="30"/>
  <c r="G185" i="30"/>
  <c r="H185" i="30"/>
  <c r="I185" i="30"/>
  <c r="J185" i="30"/>
  <c r="K185" i="30"/>
  <c r="L185" i="30"/>
  <c r="F186" i="30"/>
  <c r="G186" i="30"/>
  <c r="H186" i="30"/>
  <c r="I186" i="30"/>
  <c r="J186" i="30"/>
  <c r="K186" i="30"/>
  <c r="L186" i="30"/>
  <c r="F187" i="30"/>
  <c r="G187" i="30"/>
  <c r="H187" i="30"/>
  <c r="I187" i="30"/>
  <c r="J187" i="30"/>
  <c r="K187" i="30"/>
  <c r="L187" i="30"/>
  <c r="F188" i="30"/>
  <c r="G188" i="30"/>
  <c r="H188" i="30"/>
  <c r="I188" i="30"/>
  <c r="J188" i="30"/>
  <c r="K188" i="30"/>
  <c r="L188" i="30"/>
  <c r="F189" i="30"/>
  <c r="G189" i="30"/>
  <c r="H189" i="30"/>
  <c r="I189" i="30"/>
  <c r="J189" i="30"/>
  <c r="K189" i="30"/>
  <c r="L189" i="30"/>
  <c r="F190" i="30"/>
  <c r="G190" i="30"/>
  <c r="H190" i="30"/>
  <c r="I190" i="30"/>
  <c r="J190" i="30"/>
  <c r="K190" i="30"/>
  <c r="L190" i="30"/>
  <c r="F191" i="30"/>
  <c r="G191" i="30"/>
  <c r="H191" i="30"/>
  <c r="I191" i="30"/>
  <c r="J191" i="30"/>
  <c r="K191" i="30"/>
  <c r="L191" i="30"/>
  <c r="F192" i="30"/>
  <c r="G192" i="30"/>
  <c r="H192" i="30"/>
  <c r="I192" i="30"/>
  <c r="J192" i="30"/>
  <c r="K192" i="30"/>
  <c r="L192" i="30"/>
  <c r="F195" i="30"/>
  <c r="G195" i="30"/>
  <c r="H195" i="30"/>
  <c r="I195" i="30"/>
  <c r="J195" i="30"/>
  <c r="K195" i="30"/>
  <c r="L195" i="30"/>
  <c r="F196" i="30"/>
  <c r="G196" i="30"/>
  <c r="H196" i="30"/>
  <c r="I196" i="30"/>
  <c r="J196" i="30"/>
  <c r="K196" i="30"/>
  <c r="L196" i="30"/>
  <c r="F197" i="30"/>
  <c r="G197" i="30"/>
  <c r="H197" i="30"/>
  <c r="I197" i="30"/>
  <c r="J197" i="30"/>
  <c r="K197" i="30"/>
  <c r="L197" i="30"/>
  <c r="F200" i="30"/>
  <c r="G200" i="30"/>
  <c r="H200" i="30"/>
  <c r="I200" i="30"/>
  <c r="J200" i="30"/>
  <c r="K200" i="30"/>
  <c r="L200" i="30"/>
  <c r="F201" i="30"/>
  <c r="G201" i="30"/>
  <c r="H201" i="30"/>
  <c r="I201" i="30"/>
  <c r="J201" i="30"/>
  <c r="K201" i="30"/>
  <c r="L201" i="30"/>
  <c r="F202" i="30"/>
  <c r="G202" i="30"/>
  <c r="H202" i="30"/>
  <c r="I202" i="30"/>
  <c r="J202" i="30"/>
  <c r="K202" i="30"/>
  <c r="L202" i="30"/>
  <c r="F203" i="30"/>
  <c r="G203" i="30"/>
  <c r="H203" i="30"/>
  <c r="I203" i="30"/>
  <c r="J203" i="30"/>
  <c r="K203" i="30"/>
  <c r="L203" i="30"/>
  <c r="F206" i="30"/>
  <c r="G206" i="30"/>
  <c r="H206" i="30"/>
  <c r="I206" i="30"/>
  <c r="J206" i="30"/>
  <c r="K206" i="30"/>
  <c r="L206" i="30"/>
  <c r="F207" i="30"/>
  <c r="G207" i="30"/>
  <c r="H207" i="30"/>
  <c r="I207" i="30"/>
  <c r="J207" i="30"/>
  <c r="K207" i="30"/>
  <c r="L207" i="30"/>
  <c r="F208" i="30"/>
  <c r="G208" i="30"/>
  <c r="H208" i="30"/>
  <c r="I208" i="30"/>
  <c r="J208" i="30"/>
  <c r="K208" i="30"/>
  <c r="L208" i="30"/>
  <c r="F209" i="30"/>
  <c r="G209" i="30"/>
  <c r="H209" i="30"/>
  <c r="I209" i="30"/>
  <c r="J209" i="30"/>
  <c r="K209" i="30"/>
  <c r="L209" i="30"/>
  <c r="F210" i="30"/>
  <c r="G210" i="30"/>
  <c r="H210" i="30"/>
  <c r="I210" i="30"/>
  <c r="J210" i="30"/>
  <c r="K210" i="30"/>
  <c r="L210" i="30"/>
  <c r="F211" i="30"/>
  <c r="G211" i="30"/>
  <c r="H211" i="30"/>
  <c r="I211" i="30"/>
  <c r="J211" i="30"/>
  <c r="K211" i="30"/>
  <c r="L211" i="30"/>
  <c r="F212" i="30"/>
  <c r="G212" i="30"/>
  <c r="H212" i="30"/>
  <c r="I212" i="30"/>
  <c r="J212" i="30"/>
  <c r="K212" i="30"/>
  <c r="L212" i="30"/>
  <c r="F213" i="30"/>
  <c r="G213" i="30"/>
  <c r="H213" i="30"/>
  <c r="I213" i="30"/>
  <c r="J213" i="30"/>
  <c r="K213" i="30"/>
  <c r="L213" i="30"/>
  <c r="F214" i="30"/>
  <c r="G214" i="30"/>
  <c r="H214" i="30"/>
  <c r="I214" i="30"/>
  <c r="J214" i="30"/>
  <c r="K214" i="30"/>
  <c r="L214" i="30"/>
  <c r="F215" i="30"/>
  <c r="G215" i="30"/>
  <c r="H215" i="30"/>
  <c r="I215" i="30"/>
  <c r="J215" i="30"/>
  <c r="K215" i="30"/>
  <c r="L215" i="30"/>
  <c r="F216" i="30"/>
  <c r="G216" i="30"/>
  <c r="H216" i="30"/>
  <c r="I216" i="30"/>
  <c r="J216" i="30"/>
  <c r="K216" i="30"/>
  <c r="L216" i="30"/>
  <c r="F219" i="30"/>
  <c r="G219" i="30"/>
  <c r="H219" i="30"/>
  <c r="I219" i="30"/>
  <c r="J219" i="30"/>
  <c r="K219" i="30"/>
  <c r="L219" i="30"/>
  <c r="F220" i="30"/>
  <c r="G220" i="30"/>
  <c r="H220" i="30"/>
  <c r="I220" i="30"/>
  <c r="J220" i="30"/>
  <c r="K220" i="30"/>
  <c r="L220" i="30"/>
  <c r="F221" i="30"/>
  <c r="G221" i="30"/>
  <c r="H221" i="30"/>
  <c r="I221" i="30"/>
  <c r="J221" i="30"/>
  <c r="K221" i="30"/>
  <c r="L221" i="30"/>
  <c r="F224" i="30"/>
  <c r="G224" i="30"/>
  <c r="H224" i="30"/>
  <c r="I224" i="30"/>
  <c r="J224" i="30"/>
  <c r="K224" i="30"/>
  <c r="L224" i="30"/>
  <c r="F225" i="30"/>
  <c r="G225" i="30"/>
  <c r="H225" i="30"/>
  <c r="I225" i="30"/>
  <c r="J225" i="30"/>
  <c r="K225" i="30"/>
  <c r="L225" i="30"/>
  <c r="F226" i="30"/>
  <c r="G226" i="30"/>
  <c r="H226" i="30"/>
  <c r="I226" i="30"/>
  <c r="J226" i="30"/>
  <c r="K226" i="30"/>
  <c r="L226" i="30"/>
  <c r="F229" i="30"/>
  <c r="G229" i="30"/>
  <c r="H229" i="30"/>
  <c r="I229" i="30"/>
  <c r="J229" i="30"/>
  <c r="K229" i="30"/>
  <c r="L229" i="30"/>
  <c r="F230" i="30"/>
  <c r="G230" i="30"/>
  <c r="H230" i="30"/>
  <c r="I230" i="30"/>
  <c r="J230" i="30"/>
  <c r="K230" i="30"/>
  <c r="L230" i="30"/>
  <c r="F231" i="30"/>
  <c r="G231" i="30"/>
  <c r="H231" i="30"/>
  <c r="I231" i="30"/>
  <c r="J231" i="30"/>
  <c r="K231" i="30"/>
  <c r="L231" i="30"/>
  <c r="F234" i="30"/>
  <c r="G234" i="30"/>
  <c r="H234" i="30"/>
  <c r="I234" i="30"/>
  <c r="J234" i="30"/>
  <c r="K234" i="30"/>
  <c r="L234" i="30"/>
  <c r="F235" i="30"/>
  <c r="G235" i="30"/>
  <c r="H235" i="30"/>
  <c r="I235" i="30"/>
  <c r="J235" i="30"/>
  <c r="K235" i="30"/>
  <c r="L235" i="30"/>
  <c r="F236" i="30"/>
  <c r="G236" i="30"/>
  <c r="H236" i="30"/>
  <c r="I236" i="30"/>
  <c r="J236" i="30"/>
  <c r="K236" i="30"/>
  <c r="L236" i="30"/>
  <c r="F237" i="30"/>
  <c r="G237" i="30"/>
  <c r="H237" i="30"/>
  <c r="I237" i="30"/>
  <c r="J237" i="30"/>
  <c r="K237" i="30"/>
  <c r="L237" i="30"/>
  <c r="F238" i="30"/>
  <c r="G238" i="30"/>
  <c r="H238" i="30"/>
  <c r="I238" i="30"/>
  <c r="J238" i="30"/>
  <c r="K238" i="30"/>
  <c r="L238" i="30"/>
  <c r="F239" i="30"/>
  <c r="G239" i="30"/>
  <c r="H239" i="30"/>
  <c r="I239" i="30"/>
  <c r="J239" i="30"/>
  <c r="K239" i="30"/>
  <c r="L239" i="30"/>
  <c r="F240" i="30"/>
  <c r="G240" i="30"/>
  <c r="H240" i="30"/>
  <c r="I240" i="30"/>
  <c r="J240" i="30"/>
  <c r="K240" i="30"/>
  <c r="L240" i="30"/>
  <c r="F241" i="30"/>
  <c r="G241" i="30"/>
  <c r="H241" i="30"/>
  <c r="I241" i="30"/>
  <c r="J241" i="30"/>
  <c r="K241" i="30"/>
  <c r="L241" i="30"/>
  <c r="F242" i="30"/>
  <c r="G242" i="30"/>
  <c r="H242" i="30"/>
  <c r="I242" i="30"/>
  <c r="J242" i="30"/>
  <c r="K242" i="30"/>
  <c r="L242" i="30"/>
  <c r="F243" i="30"/>
  <c r="G243" i="30"/>
  <c r="H243" i="30"/>
  <c r="I243" i="30"/>
  <c r="J243" i="30"/>
  <c r="K243" i="30"/>
  <c r="L243" i="30"/>
  <c r="F244" i="30"/>
  <c r="G244" i="30"/>
  <c r="H244" i="30"/>
  <c r="I244" i="30"/>
  <c r="J244" i="30"/>
  <c r="K244" i="30"/>
  <c r="L244" i="30"/>
  <c r="F245" i="30"/>
  <c r="G245" i="30"/>
  <c r="H245" i="30"/>
  <c r="I245" i="30"/>
  <c r="J245" i="30"/>
  <c r="K245" i="30"/>
  <c r="L245" i="30"/>
  <c r="F246" i="30"/>
  <c r="G246" i="30"/>
  <c r="H246" i="30"/>
  <c r="I246" i="30"/>
  <c r="J246" i="30"/>
  <c r="K246" i="30"/>
  <c r="L246" i="30"/>
  <c r="F247" i="30"/>
  <c r="G247" i="30"/>
  <c r="H247" i="30"/>
  <c r="I247" i="30"/>
  <c r="J247" i="30"/>
  <c r="K247" i="30"/>
  <c r="L247" i="30"/>
  <c r="F248" i="30"/>
  <c r="G248" i="30"/>
  <c r="H248" i="30"/>
  <c r="I248" i="30"/>
  <c r="J248" i="30"/>
  <c r="K248" i="30"/>
  <c r="L248" i="30"/>
  <c r="F249" i="30"/>
  <c r="G249" i="30"/>
  <c r="H249" i="30"/>
  <c r="I249" i="30"/>
  <c r="J249" i="30"/>
  <c r="K249" i="30"/>
  <c r="L249" i="30"/>
  <c r="F250" i="30"/>
  <c r="G250" i="30"/>
  <c r="H250" i="30"/>
  <c r="I250" i="30"/>
  <c r="J250" i="30"/>
  <c r="K250" i="30"/>
  <c r="L250" i="30"/>
  <c r="F251" i="30"/>
  <c r="G251" i="30"/>
  <c r="H251" i="30"/>
  <c r="I251" i="30"/>
  <c r="J251" i="30"/>
  <c r="K251" i="30"/>
  <c r="L251" i="30"/>
  <c r="F252" i="30"/>
  <c r="G252" i="30"/>
  <c r="H252" i="30"/>
  <c r="I252" i="30"/>
  <c r="J252" i="30"/>
  <c r="K252" i="30"/>
  <c r="L252" i="30"/>
  <c r="F253" i="30"/>
  <c r="G253" i="30"/>
  <c r="H253" i="30"/>
  <c r="I253" i="30"/>
  <c r="J253" i="30"/>
  <c r="K253" i="30"/>
  <c r="L253" i="30"/>
  <c r="F254" i="30"/>
  <c r="G254" i="30"/>
  <c r="H254" i="30"/>
  <c r="I254" i="30"/>
  <c r="J254" i="30"/>
  <c r="K254" i="30"/>
  <c r="L254" i="30"/>
  <c r="F255" i="30"/>
  <c r="G255" i="30"/>
  <c r="H255" i="30"/>
  <c r="I255" i="30"/>
  <c r="J255" i="30"/>
  <c r="K255" i="30"/>
  <c r="L255" i="30"/>
  <c r="F256" i="30"/>
  <c r="G256" i="30"/>
  <c r="H256" i="30"/>
  <c r="I256" i="30"/>
  <c r="J256" i="30"/>
  <c r="K256" i="30"/>
  <c r="L256" i="30"/>
  <c r="F257" i="30"/>
  <c r="G257" i="30"/>
  <c r="H257" i="30"/>
  <c r="I257" i="30"/>
  <c r="J257" i="30"/>
  <c r="K257" i="30"/>
  <c r="L257" i="30"/>
  <c r="F258" i="30"/>
  <c r="G258" i="30"/>
  <c r="H258" i="30"/>
  <c r="I258" i="30"/>
  <c r="J258" i="30"/>
  <c r="K258" i="30"/>
  <c r="L258" i="30"/>
  <c r="F259" i="30"/>
  <c r="G259" i="30"/>
  <c r="H259" i="30"/>
  <c r="I259" i="30"/>
  <c r="J259" i="30"/>
  <c r="K259" i="30"/>
  <c r="L259" i="30"/>
  <c r="F260" i="30"/>
  <c r="G260" i="30"/>
  <c r="H260" i="30"/>
  <c r="I260" i="30"/>
  <c r="J260" i="30"/>
  <c r="K260" i="30"/>
  <c r="L260" i="30"/>
  <c r="F261" i="30"/>
  <c r="G261" i="30"/>
  <c r="H261" i="30"/>
  <c r="I261" i="30"/>
  <c r="J261" i="30"/>
  <c r="K261" i="30"/>
  <c r="L261" i="30"/>
  <c r="F262" i="30"/>
  <c r="G262" i="30"/>
  <c r="H262" i="30"/>
  <c r="I262" i="30"/>
  <c r="J262" i="30"/>
  <c r="K262" i="30"/>
  <c r="L262" i="30"/>
  <c r="K13" i="30"/>
  <c r="L13" i="30"/>
  <c r="J13" i="30"/>
  <c r="I13" i="30"/>
  <c r="H13" i="30"/>
  <c r="G13" i="30"/>
  <c r="F13" i="30"/>
  <c r="G185" i="27"/>
  <c r="F186" i="27"/>
  <c r="G186" i="27"/>
  <c r="F187" i="27"/>
  <c r="G187" i="27"/>
  <c r="F188" i="27"/>
  <c r="G188" i="27"/>
  <c r="F189" i="27"/>
  <c r="G189" i="27"/>
  <c r="F190" i="27"/>
  <c r="G190" i="27"/>
  <c r="F191" i="27"/>
  <c r="G191" i="27"/>
  <c r="F192" i="27"/>
  <c r="G192" i="27"/>
  <c r="F193" i="27"/>
  <c r="G193" i="27"/>
  <c r="F194" i="27"/>
  <c r="G194" i="27"/>
  <c r="F195" i="27"/>
  <c r="G195" i="27"/>
  <c r="F198" i="27"/>
  <c r="G198" i="27"/>
  <c r="F199" i="27"/>
  <c r="G199" i="27"/>
  <c r="F200" i="27"/>
  <c r="G200" i="27"/>
  <c r="F203" i="27"/>
  <c r="G203" i="27"/>
  <c r="F204" i="27"/>
  <c r="G204" i="27"/>
  <c r="F205" i="27"/>
  <c r="G205" i="27"/>
  <c r="F206" i="27"/>
  <c r="G206" i="27"/>
  <c r="F209" i="27"/>
  <c r="G209" i="27"/>
  <c r="F210" i="27"/>
  <c r="G210" i="27"/>
  <c r="F211" i="27"/>
  <c r="G211" i="27"/>
  <c r="F212" i="27"/>
  <c r="G212" i="27"/>
  <c r="F213" i="27"/>
  <c r="G213" i="27"/>
  <c r="F214" i="27"/>
  <c r="G214" i="27"/>
  <c r="F215" i="27"/>
  <c r="G215" i="27"/>
  <c r="F216" i="27"/>
  <c r="G216" i="27"/>
  <c r="F217" i="27"/>
  <c r="G217" i="27"/>
  <c r="F218" i="27"/>
  <c r="G218" i="27"/>
  <c r="F219" i="27"/>
  <c r="G219" i="27"/>
  <c r="F222" i="27"/>
  <c r="G222" i="27"/>
  <c r="F223" i="27"/>
  <c r="G223" i="27"/>
  <c r="F224" i="27"/>
  <c r="G224" i="27"/>
  <c r="F227" i="27"/>
  <c r="G227" i="27"/>
  <c r="F228" i="27"/>
  <c r="G228" i="27"/>
  <c r="F229" i="27"/>
  <c r="G229" i="27"/>
  <c r="F232" i="27"/>
  <c r="G232" i="27"/>
  <c r="F233" i="27"/>
  <c r="G233" i="27"/>
  <c r="F234" i="27"/>
  <c r="G234" i="27"/>
  <c r="F237" i="27"/>
  <c r="G237" i="27"/>
  <c r="F238" i="27"/>
  <c r="G238" i="27"/>
  <c r="F239" i="27"/>
  <c r="G239" i="27"/>
  <c r="F240" i="27"/>
  <c r="G240" i="27"/>
  <c r="F241" i="27"/>
  <c r="G241" i="27"/>
  <c r="F242" i="27"/>
  <c r="G242" i="27"/>
  <c r="F243" i="27"/>
  <c r="G243" i="27"/>
  <c r="F244" i="27"/>
  <c r="G244" i="27"/>
  <c r="F245" i="27"/>
  <c r="G245" i="27"/>
  <c r="F246" i="27"/>
  <c r="G246" i="27"/>
  <c r="F247" i="27"/>
  <c r="G247" i="27"/>
  <c r="F248" i="27"/>
  <c r="G248" i="27"/>
  <c r="F249" i="27"/>
  <c r="G249" i="27"/>
  <c r="F250" i="27"/>
  <c r="G250" i="27"/>
  <c r="F251" i="27"/>
  <c r="G251" i="27"/>
  <c r="F252" i="27"/>
  <c r="G252" i="27"/>
  <c r="F253" i="27"/>
  <c r="G253" i="27"/>
  <c r="F254" i="27"/>
  <c r="G254" i="27"/>
  <c r="F255" i="27"/>
  <c r="G255" i="27"/>
  <c r="F256" i="27"/>
  <c r="G256" i="27"/>
  <c r="F257" i="27"/>
  <c r="G257" i="27"/>
  <c r="F258" i="27"/>
  <c r="G258" i="27"/>
  <c r="F259" i="27"/>
  <c r="G259" i="27"/>
  <c r="F260" i="27"/>
  <c r="G260" i="27"/>
  <c r="F261" i="27"/>
  <c r="G261" i="27"/>
  <c r="F262" i="27"/>
  <c r="G262" i="27"/>
  <c r="F263" i="27"/>
  <c r="G263" i="27"/>
  <c r="F264" i="27"/>
  <c r="G264" i="27"/>
  <c r="F265" i="27"/>
  <c r="G265" i="27"/>
</calcChain>
</file>

<file path=xl/sharedStrings.xml><?xml version="1.0" encoding="utf-8"?>
<sst xmlns="http://schemas.openxmlformats.org/spreadsheetml/2006/main" count="7145" uniqueCount="2029">
  <si>
    <t>Date de soumission du projet de BPU par le titulaire</t>
  </si>
  <si>
    <t>Date de validation du BPU</t>
  </si>
  <si>
    <t>Version</t>
  </si>
  <si>
    <t>Mise à jour des Tarifs Matinfo 5</t>
  </si>
  <si>
    <t>V1</t>
  </si>
  <si>
    <t>Démarrage Matinfo 5</t>
  </si>
  <si>
    <t>29/10/2021</t>
  </si>
  <si>
    <t>V2</t>
  </si>
  <si>
    <t>Ajouts configurations Stock</t>
  </si>
  <si>
    <t>Correction des anomalies de références et prix</t>
  </si>
  <si>
    <t>15/02/2022</t>
  </si>
  <si>
    <t>V3</t>
  </si>
  <si>
    <t>Ajout des garanties 7 ans</t>
  </si>
  <si>
    <t>ADP</t>
  </si>
  <si>
    <t>Windows 11</t>
  </si>
  <si>
    <t>Clients légers garanties 5 ans</t>
  </si>
  <si>
    <t>Bundle station d'accueil garantie 5 ans</t>
  </si>
  <si>
    <t>Mise à jour de certains accessoires</t>
  </si>
  <si>
    <t>Retrait de certaines configurations stock express épuisées</t>
  </si>
  <si>
    <t>Mise à jour configuration standard 1040 - FreeDos et dalle matte tactile</t>
  </si>
  <si>
    <t>28/03/2022</t>
  </si>
  <si>
    <t>V4</t>
  </si>
  <si>
    <t>Hausse de prix 5% hors logiciels, garanties et services (application de la parité €/$)
Le nouveau taux de parité pris en compte est celui du mois de mars 2022 : 1,1019 arrondi au dixième soit 1,1</t>
  </si>
  <si>
    <t xml:space="preserve">Transition des Cat1Conf Intel 440/450 G9, ajout références accessoires, </t>
  </si>
  <si>
    <t>Ajout de configurations avec une garantie 7 ans</t>
  </si>
  <si>
    <t>Ajout de l'offre Location</t>
  </si>
  <si>
    <t>Ajout de l'offre DROM COM</t>
  </si>
  <si>
    <t>Introduction de deux plateformes préconfigurées avec Intel vPro : 840/850G8</t>
  </si>
  <si>
    <t>23/05/2022</t>
  </si>
  <si>
    <t>V5</t>
  </si>
  <si>
    <t>Ajout Bundle ID des écrans et stations d'accueil</t>
  </si>
  <si>
    <t>Ajout des écrans docking E24M et E27M</t>
  </si>
  <si>
    <t>Ajout de la mini station d'accueil USB-C Multiport Hub</t>
  </si>
  <si>
    <t>Précision de compatibilité des stylets et filtres de confidentialité</t>
  </si>
  <si>
    <t>Aucun impact sur la validité des devis en cours car les Config ID n'évoluent pas</t>
  </si>
  <si>
    <t>V6</t>
  </si>
  <si>
    <t>Hausse de prix 2,5% hors logiciels et services</t>
  </si>
  <si>
    <t xml:space="preserve">Transition plateformes en G9 </t>
  </si>
  <si>
    <t>Retrait des modèles EliteBook X360 1030 G8 et 635 Aero G8 (catégorie 4)</t>
  </si>
  <si>
    <t>Introduction de nouveaux modèles : ProBook X360 435 G9 (catégorie 1), EliteBook 645 et 655 G9 (catégorie 2), et Dragonfly G3 (catégorie 4)</t>
  </si>
  <si>
    <t>Ajout Elitebook 640 et 840 avec Linux préinstallé (Cat2Conf4A et Cat3Conf6A)</t>
  </si>
  <si>
    <t xml:space="preserve">Ajout de l'option garantie 7ans DMR pour les configurations en garantie de base 7 ans </t>
  </si>
  <si>
    <t xml:space="preserve">Retrait références fin de vie </t>
  </si>
  <si>
    <t>V7</t>
  </si>
  <si>
    <t>Hausse de prix de 5% hors logiciels et services (application de la parité €/$)
Le nouveau taux de parité pris en compte est celui du mois de novembre 2022 : 1,0201 arrondi au dixième soit 1,0</t>
  </si>
  <si>
    <t xml:space="preserve">Client léger : référence 11D18EA fin de vie en Mars prochain, référence de remplacement 11D37EA </t>
  </si>
  <si>
    <t xml:space="preserve">Ré-ajout 2 références stock express en catégorie 2 </t>
  </si>
  <si>
    <t xml:space="preserve">Mise à jour des références garanties DMR et travel pour l'EliteBook X360 1040 G9 et la garantie travel + DMR pour la catégorie 4 </t>
  </si>
  <si>
    <t>Introduction de la station d'accueil Essential dock G5 72C71AA</t>
  </si>
  <si>
    <t xml:space="preserve">Retrait et remplacement des références écrans/ accessoires fin de vie </t>
  </si>
  <si>
    <t>V8</t>
  </si>
  <si>
    <t xml:space="preserve">Baisse de prix de 5% hors logiciels et services (application de la parité €/$)
Le nouveau taux de parité pris en compte est celui du mois de mars 2023 : 1,0706 arrondi au dixième soit 1,1
Transition des plateformes en G10 pour les 4 catégories 
Ajout de l’option 32GB de mémoire pour l’EliteBook X360 1040 G10
Ajout des options Ryzen 7 pour les EliteBooks 645 et 655 G10
Retrait options non disponibles en G10
Ajout du Carepack ActiveCare et Protect &amp; Trace pour les catégories 2, 3 et 4 
Références accessoires fin de vie et ajout des références de remplacement
Ajout des casques audio Poly (HP) 
Ajout deux références webcams HP 
Ajout du service gravure logo UV printing </t>
  </si>
  <si>
    <t>V9</t>
  </si>
  <si>
    <t>Régularisation des anomalies du BPU V8 :
Nouvelle règle du configurateur pour les 405 et 605 G10 pour la compatibilité processeur et webcam infrarouge 5MP pour sélectionner certaines dalles d'écran 
Nouvelle règle pour l'option 64GB pour le 860 G10 - changement de la batterie et de l'alimentation 
Ajout de l'option i7-1355U avec carte graphique NVIDIA® GeForce® RTX 2050 4GB pour les EliteBooks 640 et 650 G10</t>
  </si>
  <si>
    <t>V10</t>
  </si>
  <si>
    <t>Hausse de prix +50€ license Microsft Windows 11 Pro Downgrade 10 
Mise à jour références accessoires</t>
  </si>
  <si>
    <t>Retrait des références plus disponibles dans les extensions pour la catégorie 4</t>
  </si>
  <si>
    <t>Correction des réferences pour le EB 640 G10 et le EB 840 G10 Linux</t>
  </si>
  <si>
    <t>Retrait des références plus disponibles dans les extensions communes</t>
  </si>
  <si>
    <t>Mise a jour du fichier Récapitulatif</t>
  </si>
  <si>
    <t>V11</t>
  </si>
  <si>
    <t xml:space="preserve">Hausse de prix contractuelle 2,5% hors logiciels, garanties et services
Ajout de l'option NFC pour les modèles 600 
Retrait des 2 SKUs Linux - Ajout du service usine pour les plateformes certifiées dans l'onglet "extensions communes" 
Ajout dans le configurateur l'option 7 ans et 7 ans DMR dans les configurations de base 5 ans - Retrait des configurations 7 ans 
Retrait et remplacement des références écrans et accessoires fin de vie 
Ajout des filtres de confidentialité plastiques 
Retrait Windows 11 Pro Downgrade le 29 février 2024 - fin de vie </t>
  </si>
  <si>
    <t>V12</t>
  </si>
  <si>
    <t xml:space="preserve">Transition des plateformes en G11 pour les catégories 2 et 3 - Dalle d'écran 300 nits en configuration de base 
Upgrade de la configuration de base en U5 ou Ryzen 5 pour la catégorie 2
Retrait option carte graphique discrète pour 640 G11 disponible pour le 660 G11 et 440 et 450 G10
Ajout de l'option carte à puce pour le EliteBook 1040 x360 G10 
Remplacement des écrans Z38c, Z32 et Z27q 
Retrait et remplacement des références écrans et accessoires fin de vie 
Ajout des mémoires DDR5 en standalone 
Baisse significative des prix des références Poly + ajout de 5 nouvelles références entrée de gamme 
Mise à jour des coefficients locatifs </t>
  </si>
  <si>
    <t>V13</t>
  </si>
  <si>
    <t>Transition de l'EliteBook 1040 G10 vers l'EliteBook x360 1040 G11
Retrait de l'option ajout de lecteur smart card pour l'EliteBook x360 1040 G11
Suppression de certaines options sur les ProBook 440/445/450/455 G10 (4G, carte graphique et R7)
Ajout adaptateur 100W sur l'EliteBook 660 G11 pour compatibilité carte graphique RTX 2050
Ajout de l'option 4G sur l'EliteBook 630 G11
Ajout de l'option filtre de confidentialité sur l'EliteBook 660 G11
Ajout batterie 68Whr pour l'EliteBook x360 1040 G11
Ajout des écrans série 5 (disponibles à partir de décembre 2024)
Ajout de la webcam Poly R30
Ajout de l'écran E45c G5
Transition des client légers mobiles
Hausse de prix contractuelle de 2,5% hors logiciels, garanties et services
Alignement des prix et références sur extensions communes avec le lot 1</t>
  </si>
  <si>
    <t>23/09/2024</t>
  </si>
  <si>
    <t>V14</t>
  </si>
  <si>
    <t>CAT4 - Demande de correction erreur de prix Passage en garantie 7 ans sur site J+1
CAT4 - Corrections apportées dans les références/désignations/prix des options stockage
CAT3 Ajout de références de remplacement des écrans filtre de confidentialité 13,3’’ et 16’’ (à compter du 01/11/24)
CAT2/CAT3/CAT4 - Séparation des références Passage en garantie 5 ans sur site J+1 Active Care et Protect and Trace en deux références distinctes : Passage en garantie 5 ans sur site J+1 Active Care et Ajout Protect and Trace.
Remplacement de la référence Station d'accueil mini USB-C - HP Universal USB-C Multiport Hub
Demande d’ajout de la référence Adaptateur secteur USB-C - 110 Watt</t>
  </si>
  <si>
    <t>V15</t>
  </si>
  <si>
    <t>CAT1 : Demande de suppression des options 4G sur les HP ProBook 440 G10 et 450 G10
Extensions communes :
Demande de retrait / remplacement des références obsolètes 
Remplacement de la barette mémoire 8GB 3200MHz DDR4 par la barette mémoire 8GB 5600MHz DDR5
Correction de la référence 1X644A6 et non 1X44A6
Modification de 15 références dans les extensions communes finissant par "AA" en "UT"
Ajout des HP225 Clavier sans fil et HP125 Souris noir Filaire idem BPU lot 1
Ajout des coussinets pour casque Poly Voyageur 2</t>
  </si>
  <si>
    <t>14/4/2025</t>
  </si>
  <si>
    <t>V16</t>
  </si>
  <si>
    <t>CAT4 - Retrait du Dragonfly G4
CAT 4 - Ajout du Elite 1040 G11
CAT 4 - Remplacement des écrans 1000nits par des écrans 800nits sur le x360 1040 G11
Extensions communes - Suppression de références obsolètes et rajout de nouvelles références de sacoches et sacs à dos</t>
  </si>
  <si>
    <t>Pc portable</t>
  </si>
  <si>
    <t>Extensions CAT1</t>
  </si>
  <si>
    <t>Extensions CAT2</t>
  </si>
  <si>
    <t>Extensions CAT3</t>
  </si>
  <si>
    <t>Extensions CAT4</t>
  </si>
  <si>
    <t>Processeur Intel</t>
  </si>
  <si>
    <t>Passage à i5-1335U</t>
  </si>
  <si>
    <t>Passage à U5-135U</t>
  </si>
  <si>
    <t xml:space="preserve"> Passage à U5-135U compatible vPro pour 830 G11 (mémoire soudée) </t>
  </si>
  <si>
    <t xml:space="preserve">Passage à i7-1355U </t>
  </si>
  <si>
    <t xml:space="preserve">Passage à U7-155U </t>
  </si>
  <si>
    <t>Passage à i7-1365U</t>
  </si>
  <si>
    <t>Passage à U7-165U</t>
  </si>
  <si>
    <t xml:space="preserve">Passage à U7-165U compatible vPro pour 830 G11 (mémoire soudée) </t>
  </si>
  <si>
    <t>Passage à U7-165H</t>
  </si>
  <si>
    <t>Processeur AMD</t>
  </si>
  <si>
    <t>Passage à Ryzen 5 7530U</t>
  </si>
  <si>
    <t>Passage Ryzen 5 PRO 7535U</t>
  </si>
  <si>
    <t>Passage à Ryzen 7 7730U</t>
  </si>
  <si>
    <t>Passage à Ryzen 7 7735U</t>
  </si>
  <si>
    <t>Passage à Ryzen 7 PRO 7735U</t>
  </si>
  <si>
    <t>AMD  Ryzen 7 PRO 8840U 32GB 835 G11  (mémoire soudée)</t>
  </si>
  <si>
    <t>RAM</t>
  </si>
  <si>
    <t>Passage à 16GB</t>
  </si>
  <si>
    <t>Passage à 32GB</t>
  </si>
  <si>
    <t xml:space="preserve">passage à 64GB </t>
  </si>
  <si>
    <t>Disque Dur</t>
  </si>
  <si>
    <t>Passage à 512GB SSD</t>
  </si>
  <si>
    <t>Passage à 1TB SSD</t>
  </si>
  <si>
    <t>Ecrans</t>
  </si>
  <si>
    <t>Passage au 400 nits</t>
  </si>
  <si>
    <t>14 pouces 82€
15 pouces 92€</t>
  </si>
  <si>
    <t>13.3 pouces 47€
14 pouces 76€
16 pouces 76€</t>
  </si>
  <si>
    <t>13.3 pouces 36€
14 pouces 71€
16 pouces 76€ Intel / 82€ AMD</t>
  </si>
  <si>
    <t>Passage au 800/1000 nits</t>
  </si>
  <si>
    <t xml:space="preserve">13.3 pouces 92€
</t>
  </si>
  <si>
    <t>13.3 pouces 58€
14 pouces 117€
16 pouces 147€</t>
  </si>
  <si>
    <t>13.3 pouces 92€
14 pouces 117€
16 pouces 151€</t>
  </si>
  <si>
    <t>Webcam HD infrarouge (hors dalle compatible)</t>
  </si>
  <si>
    <t>Lecteur d'empreinte digitale</t>
  </si>
  <si>
    <t>Antenne 4G (hors processeur/dalle compatible 4G)</t>
  </si>
  <si>
    <t>Antenne 5G (hors processeur/dalle compatible 4G)</t>
  </si>
  <si>
    <t>Garanties 5ans J+1 sur site La durée de garantie des batteries du lot2 ne peut excéder 5 ans.</t>
  </si>
  <si>
    <t>Catégorie</t>
  </si>
  <si>
    <t>5ans DMR*</t>
  </si>
  <si>
    <t>5ans Travel*</t>
  </si>
  <si>
    <t>5ans DMR* + Travel*</t>
  </si>
  <si>
    <t>5ans ADP*</t>
  </si>
  <si>
    <t>5ans Active Care</t>
  </si>
  <si>
    <t>Protect &amp; Trace</t>
  </si>
  <si>
    <t>7ans J+1 sur site</t>
  </si>
  <si>
    <t>7ans J+1 sur site DMR</t>
  </si>
  <si>
    <t>Lot 2  : Cat 1</t>
  </si>
  <si>
    <t>Lot 2  : Cat 2</t>
  </si>
  <si>
    <t>Lot 2  : Cat 3</t>
  </si>
  <si>
    <t>Lot 2  : Cat 4</t>
  </si>
  <si>
    <t>*DMR : Defective Media Retention : rétention du disque dur défectueux par le client</t>
  </si>
  <si>
    <t>*Travel : Garantie internationale dans 80 pays</t>
  </si>
  <si>
    <t>*ADP : Accidental damage protection : assurance dommage accidentel</t>
  </si>
  <si>
    <t>Conditions Garantie 7 ans J+1 sur site</t>
  </si>
  <si>
    <t>La durée de la batterie dans le cas d’un PC Portable reste à 5 ans</t>
  </si>
  <si>
    <t>La couverture est uniquement en France Métropolitaine</t>
  </si>
  <si>
    <t>La garantie des accessoires DIB et/ou d’un accessoire sur le même bon de commande reste à 5 ans</t>
  </si>
  <si>
    <t>,</t>
  </si>
  <si>
    <t>Bordereau de prix</t>
  </si>
  <si>
    <t>Acquisition de matériel informatique - MATINFO 5
LOT 2 - Postes de travail portables et leurs extensions</t>
  </si>
  <si>
    <t>CATEGORIE 1 : Portable basique/Pédagogique</t>
  </si>
  <si>
    <t>Désignation/Description des matériels</t>
  </si>
  <si>
    <t>Référence constructeur</t>
  </si>
  <si>
    <t>vPro</t>
  </si>
  <si>
    <t>NPU</t>
  </si>
  <si>
    <t xml:space="preserve">Tarif HT avec garantie 5 ans 
intervention sur site J+1 en France métropolitaine </t>
  </si>
  <si>
    <r>
      <rPr>
        <b/>
        <sz val="11"/>
        <color rgb="FF000000"/>
        <rFont val="Arial"/>
        <family val="2"/>
      </rPr>
      <t xml:space="preserve">Cat1conf1A_440G10_14-HD-250n_i3-8Go-256Go
Intel Core i3-1315U (2 cores - jusqu'à 4,4Ghz TurboBoost, 10MB L3 cache)
</t>
    </r>
    <r>
      <rPr>
        <sz val="11"/>
        <color rgb="FF000000"/>
        <rFont val="Arial"/>
        <family val="2"/>
      </rPr>
      <t>Écran non tactile, 14' (35,56cm), HD (1366 x 768), 16/9, IPS Mat, 250 cd/m²
8Go 3200MHz DDR4 (1x8Go)
SSD 256Go M.2 PCIe
Intel AX211 Wi-Fi6e 160MHz +BT5.2 WLAN, Bluetooth 5.0
Controleur Ethernet Realtek 10/100/1000 Mbps
Clavier non rétro éclairé - Sans lecteur d‘empreintes digitales et sans lecteur de cartes à puce
Camera 720p Cache Physique
Batterie 3 cellules 51 Whr, HP Long Life 1000 Cycles
Chargeur 65W USB-C
FreeDOS</t>
    </r>
  </si>
  <si>
    <t>HP ProBook 440 G10</t>
  </si>
  <si>
    <r>
      <rPr>
        <b/>
        <sz val="11"/>
        <color theme="1"/>
        <rFont val="Arial"/>
        <family val="2"/>
      </rPr>
      <t xml:space="preserve">Cat1conf1B_445G10_14-HD-250n_r3-8Go-256Go
AMD Ryzen 3 7330U (4 Cores / 8 Threads, 2,7Ghz - 4 Ghz, L3 8MB)
</t>
    </r>
    <r>
      <rPr>
        <sz val="11"/>
        <color theme="1"/>
        <rFont val="Arial"/>
        <family val="2"/>
      </rPr>
      <t>Écran non tactile, 14' (35,56cm), HD (1366 x 768), 16/9, IPS Mat, 250 cd/m²
8Go 3200MHz DDR4 (1x8Go)
SSD 256Go M.2 PCIe
Mediatek RZ616 Wi-Fi 6 + BT 5 WW
Controleur Ethernet Realtek 10/100/1000 Mbps
Clavier non rétro éclairé - Sans lecteur d‘empreintes digitales et sans lecteur de cartes à puce
Camera 720p Cache Physique
Batterie 3 cellules 51 Whr, HP Long Life 1000 Cycles
Chargeur 65W USB-C
FreeDOS</t>
    </r>
  </si>
  <si>
    <t>HP ProBook 445 G10</t>
  </si>
  <si>
    <r>
      <rPr>
        <b/>
        <sz val="11"/>
        <color rgb="FF000000"/>
        <rFont val="Arial"/>
        <family val="2"/>
      </rPr>
      <t xml:space="preserve">Cat1conf2A_450G10_15-HD-250n_i3-8Go-256Go
Intel Core i3-1315U (2 cores - jusqu'à 4,4Ghz TurboBoost, 10MB L3 cache)
</t>
    </r>
    <r>
      <rPr>
        <sz val="11"/>
        <color rgb="FF000000"/>
        <rFont val="Arial"/>
        <family val="2"/>
      </rPr>
      <t>Écran non tactile, 15,6' (39,6 cm), HD (1366 x 768), 16/9, IPS Mat, 250 cd/m²
8Go 3200MHz DDR4 (1x8Go)
SSD 256Go M.2 PCIe
Intel AX211 Wi-Fi6e 160MHz +BT5.2 WLAN, Bluetooth 5.0
Controleur Ethernet Realtek 10/100/1000 Mbps
Clavier non rétro éclairé - Sans lecteur d‘empreintes digitales et sans lecteur de cartes à puce
Camera 720p Cache Physique
Batterie 3 cellules 51 Whr, HP Long Life 1000 Cycles
Chargeur 65W USB-C
FreeDOS</t>
    </r>
  </si>
  <si>
    <t>HP ProBook 450 G10</t>
  </si>
  <si>
    <r>
      <rPr>
        <b/>
        <sz val="11"/>
        <color theme="1"/>
        <rFont val="Arial"/>
        <family val="2"/>
      </rPr>
      <t xml:space="preserve">Cat1conf2B_455G10_15-HD-250n_r3-8Go-256Go
AMD Ryzen 3 7330U (4 Cores / 8 Threads, 2,7Ghz - 4 Ghz, L3 8MB)
</t>
    </r>
    <r>
      <rPr>
        <sz val="11"/>
        <color theme="1"/>
        <rFont val="Arial"/>
        <family val="2"/>
      </rPr>
      <t>Ecran non tactile, 15" (39,6 cm),  HD (1360 x 766), 16/9, IPS Mat, 250 cd/m²
8Go 3200MHz DDR4 (1x8Go)
SSD 256Go M.2 PCIe
Mediatek RZ616 Wi-Fi 6 + BT 5 WW
Controleur Ethernet Realtek 10/100/1000 Mbps
Clavier non rétro éclairé - Sans lecteur d‘empreintes digitales et sans lecteur de cartes à puce
Camera 720p Cache physique
Batterie 3 cellules 51 Whr, HP Long Life 1000 Cycles
Chargeur 65W USB-C
FreeDOS</t>
    </r>
  </si>
  <si>
    <t>HP ProBook 455 G10</t>
  </si>
  <si>
    <r>
      <t>Cat1Conf3B_X360435G10_13-FHD-250n_r3-8Go-256Go
AMD Ryzen 3 7330U (4 Cores / 8 Threads, 2,7Ghz - 4 Ghz, L3 8MB)
Écran tactile, 13,3" (33,8cm), FHD (1920 x 1080), 16/9, IPS Mat, 250 cd/m²</t>
    </r>
    <r>
      <rPr>
        <sz val="11"/>
        <color theme="1"/>
        <rFont val="Arial"/>
        <family val="2"/>
      </rPr>
      <t xml:space="preserve">
8Go 3200 SODIMM DDR4 (1x8Go)
SSD 256Go M.2 PCIe
Mediatek RZ616 Wi-Fi 6 + BT 5 WW
Clavier rétro éclairé - Sans lecteur d‘empreintes digitales et sans lecteur de cartes à puce
Camera 720p Cache Mécanique
Batterie 3 cellules 51 Whr, HP Long Life 1000 Cycles
Chargeur 65W USB-C
FreeDOS</t>
    </r>
  </si>
  <si>
    <t>HP ProBook X360 435 G10</t>
  </si>
  <si>
    <t xml:space="preserve">Extensions Catégorie 1 </t>
  </si>
  <si>
    <t>440 G10</t>
  </si>
  <si>
    <t>445 G10</t>
  </si>
  <si>
    <t>450 G10</t>
  </si>
  <si>
    <t>455 G10</t>
  </si>
  <si>
    <t>X360 435 G10</t>
  </si>
  <si>
    <t>Processeurs (passages)</t>
  </si>
  <si>
    <t>AMD Ryzen5 7530U</t>
  </si>
  <si>
    <t>HP IDS UMA R5 7530U RTK USBC 445/455 G10 BNBPC</t>
  </si>
  <si>
    <t>70Z74AV</t>
  </si>
  <si>
    <t>719F6AV</t>
  </si>
  <si>
    <t>71C20AV</t>
  </si>
  <si>
    <t>AMD Ryzen5 7530U compatible caméra 5MP infrarouge</t>
  </si>
  <si>
    <t>HP IDS UMA R5 7530U f5MP Cam IR RTK USBC 445/ 455 G10BN</t>
  </si>
  <si>
    <t>70Z75AV</t>
  </si>
  <si>
    <t>719F8AV</t>
  </si>
  <si>
    <t>AMD Ryzen5 PRO 7530U compatible caméra HD infrarouge</t>
  </si>
  <si>
    <t>HP IDS UMA R5 PRO 7530U  fHDC IR RTK USBC x360 435G</t>
  </si>
  <si>
    <t>71C23AV</t>
  </si>
  <si>
    <t>Intel Core i5-1335U non compatible 4G</t>
  </si>
  <si>
    <t>HP IDS UMA i5-1335U RTK USBC 440 G10BNBPC</t>
  </si>
  <si>
    <t>717Q3AV</t>
  </si>
  <si>
    <t>71H58AV</t>
  </si>
  <si>
    <t>Intel Core i7-1355U non compatible 4G</t>
  </si>
  <si>
    <t>HP IDS UMA i7-1355U RTKUSBC 440 G10BNBPC</t>
  </si>
  <si>
    <t>717Q6AV</t>
  </si>
  <si>
    <t>Mémoire (passages)</t>
  </si>
  <si>
    <t>16GB (1x16GB) DDR4 3200</t>
  </si>
  <si>
    <t>717V7AV</t>
  </si>
  <si>
    <t>70W39AV</t>
  </si>
  <si>
    <t>726W2AV</t>
  </si>
  <si>
    <t>719L2AV</t>
  </si>
  <si>
    <t>71C56AV</t>
  </si>
  <si>
    <t>32GB (2x16GB) DDR4 3200</t>
  </si>
  <si>
    <t>717V9AV</t>
  </si>
  <si>
    <t>726W4AV</t>
  </si>
  <si>
    <t>71C58AV</t>
  </si>
  <si>
    <t>Ecrans 13'' (passages)</t>
  </si>
  <si>
    <t xml:space="preserve">Ecran 13,3" Très Haute-Définition Tactile 250 nits pour Caméra HD Infrarouge </t>
  </si>
  <si>
    <t>13.3 FHD BV LED UWVA 250 fHDC IR slim TS</t>
  </si>
  <si>
    <t>71C41AV</t>
  </si>
  <si>
    <t>Ecrans 14'' (passages)</t>
  </si>
  <si>
    <t xml:space="preserve">Ecran 14" Très Haute-Définition Anti-reflets LED 250 nits pour Caméra HD </t>
  </si>
  <si>
    <t>14 FHD AG LED UWVA 250 fHDC NWBZ bent</t>
  </si>
  <si>
    <t>717T5AV</t>
  </si>
  <si>
    <t>70W23AV</t>
  </si>
  <si>
    <t>Ecran 14" Très Haute-Définition Anti-reflets LED 250 nits pour Caméra 5MP Infrarouge</t>
  </si>
  <si>
    <t>14 AG FHD UWVA LED 250 f5MP IR bnt LCD Panel</t>
  </si>
  <si>
    <t>717U3AV</t>
  </si>
  <si>
    <t>70W31AV</t>
  </si>
  <si>
    <t>Ecran 14" Très Haute-Définition Anti-reflets LED Tactile 250 nits pour Caméra HD</t>
  </si>
  <si>
    <t>14 FHD AG LED UWVA 250 fHDC TOP NWBZbent</t>
  </si>
  <si>
    <t>717T7AV</t>
  </si>
  <si>
    <t>Ecran 14" Très Haute-Définition Anti-reflets LED 400 nits pour Caméra 5MP Infrarouge</t>
  </si>
  <si>
    <t>LCD 14 FHD AG LwBluLt 400 UWVA f5MP IR bnt</t>
  </si>
  <si>
    <t>717T8AV</t>
  </si>
  <si>
    <t>Ecran 14" Très Haute-Définition Anti-reflets LED 400 nits pour Caméra HD</t>
  </si>
  <si>
    <t>14 AG FHD UWVA LwBluLt 400 fHD CbntLCDPanel</t>
  </si>
  <si>
    <t>717T9AV</t>
  </si>
  <si>
    <t>70W27AV</t>
  </si>
  <si>
    <t>Ecrans 15.6'' (passages)</t>
  </si>
  <si>
    <t>Ecran 15,6" Très Haute-Définition Anti-reflets LED 250 nits pour Caméra HD</t>
  </si>
  <si>
    <t>15.6 FHD AG LED UWVA 250 fHDC NWBZ bent</t>
  </si>
  <si>
    <t>726U8AV</t>
  </si>
  <si>
    <t>719J3AV</t>
  </si>
  <si>
    <t>Ecran 15,6" Très Haute-Définition Anti-reflets LED 250 nits pour Caméra HD Infrarouge 5MP</t>
  </si>
  <si>
    <t>15.6 AG FHD UWVA LED 250 f5MP IR bntLCDPanel</t>
  </si>
  <si>
    <t>726U6AV</t>
  </si>
  <si>
    <t>719J5AV</t>
  </si>
  <si>
    <t>Ecran 15,6" Très Haute-Définition Anti-reflets LED Tactile 250 nits pour Caméra HD</t>
  </si>
  <si>
    <t>15.6 FHD AG LED UWVA 250 fHDC TOP NWBZ bent</t>
  </si>
  <si>
    <t>726V1AV</t>
  </si>
  <si>
    <t>Unités de stockage de masse (passages)</t>
  </si>
  <si>
    <t xml:space="preserve"> 512GB PCIe NVMe Value SSD</t>
  </si>
  <si>
    <t>512GB PCIe NVMe Value SSD</t>
  </si>
  <si>
    <t>717V1AV</t>
  </si>
  <si>
    <t>70W34AV</t>
  </si>
  <si>
    <t>71K04AV</t>
  </si>
  <si>
    <t>719K6AV</t>
  </si>
  <si>
    <t>71C50AV</t>
  </si>
  <si>
    <t xml:space="preserve"> 1TB PCIe NVMe TLC SSD</t>
  </si>
  <si>
    <t>1TB PCIe 2280 NVMe TLC SSD</t>
  </si>
  <si>
    <t>717V2AV</t>
  </si>
  <si>
    <t>70W35AV</t>
  </si>
  <si>
    <t>71K05AV</t>
  </si>
  <si>
    <t>719K7AV</t>
  </si>
  <si>
    <t>71C51AV</t>
  </si>
  <si>
    <t>Ajout second disque 256GB PCIe 2230 NVMe Value SSD</t>
  </si>
  <si>
    <t>256GB PCIe 2230 NVMe Val 2nd SSD</t>
  </si>
  <si>
    <t>71K02AV</t>
  </si>
  <si>
    <t>Webcam (passages)</t>
  </si>
  <si>
    <t xml:space="preserve"> Webcam Infrarouge 5MP</t>
  </si>
  <si>
    <t>DM 5MP USB2 IR WFOV Intgrtd Cam</t>
  </si>
  <si>
    <t>717U9AV</t>
  </si>
  <si>
    <t>711K8AV</t>
  </si>
  <si>
    <t>726V7AV</t>
  </si>
  <si>
    <t>719K4AV</t>
  </si>
  <si>
    <t>Changement de la localisation du clavier (étrangers) et rétroéclairage</t>
  </si>
  <si>
    <t> </t>
  </si>
  <si>
    <t>Passage au clavier Rétro-éclairé Anti-éclaboussures compatible filtre de confidentialité intégré</t>
  </si>
  <si>
    <t>Clickpad BL SR</t>
  </si>
  <si>
    <t>718B0AV</t>
  </si>
  <si>
    <t>71J51AV</t>
  </si>
  <si>
    <t>72M12AV</t>
  </si>
  <si>
    <t>719R3AV</t>
  </si>
  <si>
    <t>Clickpad BL SR Premium KBD PVCY</t>
  </si>
  <si>
    <t>71D02AV</t>
  </si>
  <si>
    <t>Module de sécurité (biométrique …)</t>
  </si>
  <si>
    <t>Fingerprint Sensor</t>
  </si>
  <si>
    <t>717U6AV</t>
  </si>
  <si>
    <t>716L7AV</t>
  </si>
  <si>
    <t>71K01AV</t>
  </si>
  <si>
    <t>719K1AV</t>
  </si>
  <si>
    <t>71C46AV</t>
  </si>
  <si>
    <t>Sécurité - Configuration Intel</t>
  </si>
  <si>
    <t>Fonctionnalité HP Tamper Lock - Détecte les attaques physiques d'un capot d'ordinateur portable</t>
  </si>
  <si>
    <t xml:space="preserve">HP Tamper Lock </t>
  </si>
  <si>
    <t>4N733AV</t>
  </si>
  <si>
    <t>Alimentations  (passages)</t>
  </si>
  <si>
    <t>Alimentation 65 Watt connecteur 4,5 mm</t>
  </si>
  <si>
    <t>65 Watt Smart nPFC RA AC Adapter</t>
  </si>
  <si>
    <t>717Z5AV</t>
  </si>
  <si>
    <t>70W21AV</t>
  </si>
  <si>
    <t>727N4AV</t>
  </si>
  <si>
    <t>719P9AV</t>
  </si>
  <si>
    <t>71C93AV</t>
  </si>
  <si>
    <t>Stylets (ajouts) - X360 435 G10</t>
  </si>
  <si>
    <t>Stylet rechargeable</t>
  </si>
  <si>
    <t>HP Slim RECHBL Pen</t>
  </si>
  <si>
    <t>Extensions de garantie acquises lors de l'achat initial</t>
  </si>
  <si>
    <t>Passage en garantie 5 ans sur site J+1 internationale dans 80 pays</t>
  </si>
  <si>
    <t>HP 5y TravelNextBusDay Notebook Only SVC</t>
  </si>
  <si>
    <t>UL655E</t>
  </si>
  <si>
    <t>Passage en garantie 5 ans sur site J+1 DMR avec conservation du disque de données défectueux en France Métropolitaine</t>
  </si>
  <si>
    <t>HP 5y NextBusDay OnsiteDMR NB Only SVC</t>
  </si>
  <si>
    <t>UL659E</t>
  </si>
  <si>
    <t>Ajout Protection Dommages Accidentels pendant 5 ans (ADP)</t>
  </si>
  <si>
    <t>HP 5yrADP Select EU Direct Only SVC</t>
  </si>
  <si>
    <t>U7D35E</t>
  </si>
  <si>
    <t xml:space="preserve">Passage en garantie 7 ans sur site J+1 </t>
  </si>
  <si>
    <t>HP 7y NextBusDay Onsite NB Only SVC</t>
  </si>
  <si>
    <t>U73VQB</t>
  </si>
  <si>
    <t>U73VMB</t>
  </si>
  <si>
    <t>Passage en garantie 7 ans sur site J+1 DMR avec conservation du disque de données défectueux en France Métropolitaine</t>
  </si>
  <si>
    <t>HP 7y NextBusDay OnsiteDMR NB Only SVC</t>
  </si>
  <si>
    <t>U73VYB</t>
  </si>
  <si>
    <t>U73VWB</t>
  </si>
  <si>
    <t>CATEGORIE 2 : Portable Bureautique</t>
  </si>
  <si>
    <t>Extensions Catégorie 2</t>
  </si>
  <si>
    <t>Référence constructeur
(le cas échéant)</t>
  </si>
  <si>
    <t>630 G11</t>
  </si>
  <si>
    <t>640 G11</t>
  </si>
  <si>
    <t>645 G11</t>
  </si>
  <si>
    <t>660 G11</t>
  </si>
  <si>
    <t>665 G11</t>
  </si>
  <si>
    <t>New</t>
  </si>
  <si>
    <t>X</t>
  </si>
  <si>
    <t>Mémoires (passages)</t>
  </si>
  <si>
    <t>32GB (2x16GB) DDR5 5600 SODIMM Memory</t>
  </si>
  <si>
    <t>32GB (1x32GB) DDR5 5600 SODIMM Memory</t>
  </si>
  <si>
    <t>64GB (2x32GB) DDR5 5600 SODIMM Memory</t>
  </si>
  <si>
    <t>Ecrans 13.3'' (passages)</t>
  </si>
  <si>
    <t>Ecran 13,3" WUXGA Anti-reflets LED 300 nits compatible 4G pour caméra FHD</t>
  </si>
  <si>
    <t>13.3 inch AG WUXGA (1920x1200) LED UWVA 300 for WWAN fFHDC 60Hz bnt LCD Panel</t>
  </si>
  <si>
    <t>Ecran 13,3" WUXGA Anti-reflets LED 300 nits pour Caméra 5MP Infrarouge</t>
  </si>
  <si>
    <t>13.3 inch AG WUXGA (1920x1200) LED UWVA 300 f5MP IR bnt LCD Panel</t>
  </si>
  <si>
    <t>Ecran 13,3" WUXGA Anti-reflets LED 300 nits compatible 4G pour Caméra 5MP Infrarouge</t>
  </si>
  <si>
    <t>13.3 inch AG WUXGA (1920x1200) LED UWVA 300 for WWAN f5MP IR 60Hz bnt LCD Panel</t>
  </si>
  <si>
    <t>Ecran 13,3" WUXGA Anti-reflets tactile LED 300 nits pour Caméra FHD</t>
  </si>
  <si>
    <t>13.3 inch AG WUXGA (1920x1200) LED UWVA 300 fFHDC 60Hz Touchscreen bnt LCD Panel</t>
  </si>
  <si>
    <t>Ecran 13,3" WUXGA Anti-reflets tactile LED 300 nits compatible 4G pour Caméra 5MP Infrarouge</t>
  </si>
  <si>
    <t>13.3 inch AG WUXGA (1920x1200) LED UWVA 300 for WWAN f5MP IR 60Hz Touchscreen bnt LC Panel</t>
  </si>
  <si>
    <t xml:space="preserve">Ecran 13,3" WUXGA Anti-reflets LED Tactile 400 nits pour Caméra FHD  </t>
  </si>
  <si>
    <t>13.3 inch AG WUXGA (1920x1200) WLED+LBL UWVA 400 fFHDC 60Hz bnt LCD Panel</t>
  </si>
  <si>
    <t>Ecran 13,3" WUXGA Anti-reflets LED 400 nits pour Caméra 5MP Infrarouge</t>
  </si>
  <si>
    <t>13.3 inch AG WUXGA (1920x1200) WLED+LBL UWVA 400 f5MP IR 60Hz bnt LCD Panel</t>
  </si>
  <si>
    <t xml:space="preserve">Ecran 13,3" WUXGA Anti-reflets LED 400 nits compatible 4G pour Caméra 5MP Infrarouge </t>
  </si>
  <si>
    <t>13.3 inch AG WUXGA (1920x1200) WLED+LBL UWVA 400 for WWAN f5MP IR 60Hz bnt LCD Panel</t>
  </si>
  <si>
    <t xml:space="preserve">Ecran 13,3" WUXGA Anti-reflets LED 1000 nits pour Caméra 5MP Infrarouge avec filtre de confidentalité intégré </t>
  </si>
  <si>
    <t>13.3 inch AG WUXGA (1920x1200) WLED+LBL UWVA 1000 f5MP IR 60Hz PVG4P bnt LCD Panel</t>
  </si>
  <si>
    <t>Ecran 13,3" WUXGA Anti-reflets LED 1000 nits compatible 4G pour Caméra 5MP Infrarouge avec filtre de confidentalité intégré</t>
  </si>
  <si>
    <t>13.3 inch AG WUXGA (1920x1200) WLED+LBL UWVA 1000 for WWAN f5MP IR 60Hz PVG4P bnt LCD Panel</t>
  </si>
  <si>
    <t>14.0 inch AG WUXGA (1920x1200) LED UWVA 300 for WWAN fFHDC 60Hz bnt LCD Panel</t>
  </si>
  <si>
    <t>Ecran 14" WUXGA Anti-reflets LED 300 nits pour Caméra 5MP Infrarouge</t>
  </si>
  <si>
    <t>14.0 inch AG WUXGA (1920x1200) LED UWVA 300 f5MP IR 60Hz bnt LCD Panel</t>
  </si>
  <si>
    <t xml:space="preserve">14.0 inch AG WUXGA (1920x1200) LED UWVA 300 for WWAN f5MP IR 60Hz bnt LCD Panel	</t>
  </si>
  <si>
    <t>Ecran 14" WUXGA Anti-reflets LED Tactile 300 nits pour Caméra 5MP Infrarouge</t>
  </si>
  <si>
    <t>14.0 inch AG WUXGA (1920x1200) LED UWVA 300 f5MP IR Touchscreen bnt LCD Panel</t>
  </si>
  <si>
    <t>14.0 inch AG WUXGA (1920x1200) LED UWVA 300 for WWAN f5MP IR 60Hz Touchscreen bnt LCD Panel</t>
  </si>
  <si>
    <t xml:space="preserve">Ecran 14" WUXGA Anti-reflets LED 400 nits pour Caméra FHD </t>
  </si>
  <si>
    <t>14.0 inch AG WUXGA (1920x1200) WLED+LBL UWVA 400 fFHDC 60Hz bnt LCD Panel</t>
  </si>
  <si>
    <t>Ecran 14" WUXGA Anti-reflets LED 400 nits pour Caméra 5MP Infrarouge</t>
  </si>
  <si>
    <t>14.0 inch AG WUXGA (1920x1200) WLED+LBL UWVA 400 f5MP IR 60Hz bnt LCD Panel</t>
  </si>
  <si>
    <t>14.0 inch AG WUXGA (1920x1200) WLED+LBL UWVA 400 for WWAN f5MP IR 60Hz bnt LCD Panel</t>
  </si>
  <si>
    <t xml:space="preserve">Ecran 14" WUXGA Anti-reflets LED 1000 nits pour Caméra 5MP Infrarouge avec filtre de confidentialité intégré </t>
  </si>
  <si>
    <t>14.0 inch AG WUXGA (1920x1200) WLED+LBL UWVA 1000 f5MP IR 60Hz PVG4P bnt LCD Panel</t>
  </si>
  <si>
    <t>14.0 inch AG WUXGA (1920x1200) WLED+LBL UWVA 1000 for WWAN f5MP IR 60Hz PVG4P bnt LCD Panel</t>
  </si>
  <si>
    <t>Ecrans 16'' (passages)</t>
  </si>
  <si>
    <t>16.0 inch AG WUXGA (1920x1200) LED UWVA 300 for WWAN fFHDC 60Hz bnt LCD Panel</t>
  </si>
  <si>
    <t>Ecran 16" WUXGA Anti-reflets LED 300 nits pour Caméra 5MP Infrarouge</t>
  </si>
  <si>
    <t>16.0 inch AG WUXGA (1920x1200) LED UWVA 300 f5MP IR bnt LCD Panel</t>
  </si>
  <si>
    <t>16.0 inch AG WUXGA (1920x1200) LED UWVA 300 for WWAN f5MP IR 60Hz bnt LCD Panel</t>
  </si>
  <si>
    <t>Ecran 16" WUXGA Anti-reflets LED Tactile 300 nits pour Caméra 5MP Infrarouge</t>
  </si>
  <si>
    <t>16.0 inch AG WUXGA (1920x1200) LED UWVA 300 f5MP IR Touchscreen bnt LCD Panel</t>
  </si>
  <si>
    <t>16.0 inch AG WUXGA (1920x1200) LED UWVA 300 for WWAN f5MP IR 60Hz Touchscreen bnt LCD Panel</t>
  </si>
  <si>
    <t>Ecran 16" WUXGA Anti-reflets LED Tactile 400 nits pour Caméra 5MP Infrarouge</t>
  </si>
  <si>
    <t>16.0 inch AG WUXGA (1920x1200) WLED+LBL UWVA 400 f5MP IR 60Hz bnt LCD Panel</t>
  </si>
  <si>
    <t>6.0 inch AG WUXGA (1920x1200) WLED+LBL UWVA 400 for WWAN f5MP IR 60Hz bnt LCD Panel</t>
  </si>
  <si>
    <t>Ecran 16" WUXGA Anti-reflets LED 1000 nits pour Caméra 5MP Infrarouge avec filtre de confidentialité intégré</t>
  </si>
  <si>
    <t>16.0 inch AG WUXGA (1920x1200) WLED+LBL UWVA 1000 f5MP IR 60Hz PVG4P bnt LCD Panel</t>
  </si>
  <si>
    <t>16.0 inch AG WUXGA (1920x1200) WLED+LBL UWVA 1000 for WWAN f5MP IR 60Hz PVG4P bnt LCD Panel</t>
  </si>
  <si>
    <t>512GB PCIe NVMe Value Solid State Drive</t>
  </si>
  <si>
    <t>1TB PCIe-4x4 2280 NVMe TLC Solid State Drive</t>
  </si>
  <si>
    <t>Dual AryMic 5MP USB2 IR WFOV Integrated Camera</t>
  </si>
  <si>
    <t>Clavier Rétro-éclairé Anti-éclaboussures compatible NFC</t>
  </si>
  <si>
    <t>for TBT Clickpad for NFC Backlit spill-resistant KBD</t>
  </si>
  <si>
    <t>Clavier Rétro-éclairé Anti-éclaboussures compatible filtre de confidentialité intégré</t>
  </si>
  <si>
    <t>for TBT Clickpad Backlit spill-resistant Privacy KBD</t>
  </si>
  <si>
    <t>Clavier Rétro-éclairé Anti-éclaboussures compatible NFC et filtre de confidentialité intégré</t>
  </si>
  <si>
    <t>for TBT Clickpad for NFC Backlit spill-resistant Privacy KBD</t>
  </si>
  <si>
    <t>Clavier numérique Rétro-éclairé Anti-éclaboussures compatible NFC</t>
  </si>
  <si>
    <t>for TBT Clickpad for NFC Backlit num kypd spill-resistant KBD</t>
  </si>
  <si>
    <t>Clavier numérique Rétro-éclairé Anti-éclaboussures compatible filtre de confidentialité intégré</t>
  </si>
  <si>
    <t>for TBT Clickpad Backlit num kypd spill-resistant Privacy KBD</t>
  </si>
  <si>
    <t>Clavier numérique Rétro-éclairé Anti-éclaboussures compatible NFC et filtre de confidentialité intégré</t>
  </si>
  <si>
    <t>for TBT Clickpad for NFC Backlit num kypd spill-resistant Privacy KBD</t>
  </si>
  <si>
    <t>Lecteur de carte à puce</t>
  </si>
  <si>
    <t>Active SmartCard</t>
  </si>
  <si>
    <t>Communication (wifi, 4G ...)</t>
  </si>
  <si>
    <t>Lecteur NFC</t>
  </si>
  <si>
    <t>WNC XRAV-1 NFC</t>
  </si>
  <si>
    <t>Module Wi-Fi Intel AX211 Wi-Fi 6E vPro 160 MHz et Bluetooth 5.3</t>
  </si>
  <si>
    <t>Intel AX211 Wi-Fi 6E vPro 160 MHz +Bluetooth 5.3 WW WLAN</t>
  </si>
  <si>
    <t>Module Données Mobiles 4G</t>
  </si>
  <si>
    <t>HP 4000 4G LTE-Advanced Pro WWAN</t>
  </si>
  <si>
    <t>Alimentations (passages)</t>
  </si>
  <si>
    <t>HP 100W Slim USB-C AC Adapter</t>
  </si>
  <si>
    <t>HP 5y Premium Onsite w/TRV Notebook</t>
  </si>
  <si>
    <t>U85H0E</t>
  </si>
  <si>
    <t>HP 5y Premium Onsite w/DMR Notebook</t>
  </si>
  <si>
    <t>U85GTE</t>
  </si>
  <si>
    <t xml:space="preserve">Passage en garantie 5 ans sur site J+1 Internationale + DMR avec conservation du disque de données défectueux </t>
  </si>
  <si>
    <t>HP 5y Premium+ Onsite w/Telemetry/DMR/TRV Notebook</t>
  </si>
  <si>
    <t>U85YLE</t>
  </si>
  <si>
    <t xml:space="preserve">Passage en garantie 5 ans sur site J+1 Active Care </t>
  </si>
  <si>
    <t>HP 5y Premium+ Onsite NB</t>
  </si>
  <si>
    <t>U85Y3E</t>
  </si>
  <si>
    <t xml:space="preserve">Ajout Protect and Trace </t>
  </si>
  <si>
    <t>HP Protect and Trace 5 Year Service</t>
  </si>
  <si>
    <t>U86HQZ</t>
  </si>
  <si>
    <t>U73VRB</t>
  </si>
  <si>
    <t>U73VZB</t>
  </si>
  <si>
    <t>CATEGORIE 3 : Mobilité et performance</t>
  </si>
  <si>
    <r>
      <t xml:space="preserve">Cat3Conf1A_HP EliteBook 8 G1i 13 AI-WUXGA-300n_U5-16Go-512Go
</t>
    </r>
    <r>
      <rPr>
        <b/>
        <sz val="11"/>
        <color theme="1"/>
        <rFont val="Arial"/>
        <family val="2"/>
      </rPr>
      <t>Intel core U5-225U (12 cores - L3 cache 12MB - jusqu'à 4.8 Ghz) (12NPU TOPS)</t>
    </r>
    <r>
      <rPr>
        <b/>
        <sz val="11"/>
        <color rgb="FFFF0000"/>
        <rFont val="Arial"/>
        <family val="2"/>
      </rPr>
      <t xml:space="preserve"> </t>
    </r>
    <r>
      <rPr>
        <sz val="11"/>
        <rFont val="Arial"/>
        <family val="2"/>
      </rPr>
      <t xml:space="preserve">
Écran non tactile, 13,3" (33,8cm), WUXGA (1920 x 1200), 16/10, IPS Mat, 300cd/m²
16Go 5600 SODIMM DDR5 (1x16Go) soudé
SSD 512Go M.2 TLC
Intel Wifi6 Ax211</t>
    </r>
    <r>
      <rPr>
        <sz val="11"/>
        <color rgb="FFFF0000"/>
        <rFont val="Arial"/>
        <family val="2"/>
      </rPr>
      <t xml:space="preserve"> </t>
    </r>
    <r>
      <rPr>
        <sz val="11"/>
        <color theme="1"/>
        <rFont val="Arial"/>
        <family val="2"/>
      </rPr>
      <t>(2x2 antennes)</t>
    </r>
    <r>
      <rPr>
        <sz val="11"/>
        <rFont val="Arial"/>
        <family val="2"/>
      </rPr>
      <t>, Bluetooth 5.3
Clavier rétro éclairé - Sans lecteur d‘empreintes digitales et sans lecteur de cartes à puce
Camera 5MP Cache Mécanique
Batterie 3 cellules 62 Whr, HP Long Life 1000 Cycles
Chargeur 65W USB-C
FreeDOS</t>
    </r>
  </si>
  <si>
    <t>HP EliteBook 8 G1i 13 AI</t>
  </si>
  <si>
    <r>
      <rPr>
        <b/>
        <sz val="11"/>
        <color rgb="FF000000"/>
        <rFont val="Arial"/>
        <family val="2"/>
      </rPr>
      <t xml:space="preserve">Cat3conf1B_8_G1a_13_AI-WUXGA-300n_r5-16Go-512Go
</t>
    </r>
    <r>
      <rPr>
        <b/>
        <sz val="11"/>
        <color theme="1"/>
        <rFont val="Arial"/>
        <family val="2"/>
      </rPr>
      <t xml:space="preserve">AMD Ryzen 5 PRO 230 (6 Cores / 12 Threads, 2,3Ghz - 4,9 Ghz, L3 12MB) (16 NPU TOPS)  </t>
    </r>
    <r>
      <rPr>
        <b/>
        <sz val="11"/>
        <color rgb="FF000000"/>
        <rFont val="Arial"/>
        <family val="2"/>
      </rPr>
      <t xml:space="preserve">                                                                                         
</t>
    </r>
    <r>
      <rPr>
        <sz val="11"/>
        <color rgb="FF000000"/>
        <rFont val="Arial"/>
        <family val="2"/>
      </rPr>
      <t xml:space="preserve">Écran non tactile, 13,3" (33,8cm), WUXGA (1920 x 1200), 16/10, IPS Mat, 300cd/m²
16Go 5600 SODIMM DDR5 (1x16Go) soudé
SSD 512Go M.2 TLC
Mediatek RZ616 Wi-Fi 6E </t>
    </r>
    <r>
      <rPr>
        <sz val="11"/>
        <color rgb="FFFF0000"/>
        <rFont val="Arial"/>
        <family val="2"/>
      </rPr>
      <t xml:space="preserve"> </t>
    </r>
    <r>
      <rPr>
        <sz val="11"/>
        <color theme="1"/>
        <rFont val="Arial"/>
        <family val="2"/>
      </rPr>
      <t>(2x2 antennes)</t>
    </r>
    <r>
      <rPr>
        <sz val="11"/>
        <color rgb="FF000000"/>
        <rFont val="Arial"/>
        <family val="2"/>
      </rPr>
      <t>, Bluetooth 5.3
Clavier rétro éclairé - Sans lecteur d‘empreintes digitales et sans lecteur de cartes à puce
Camera 5MP Cache Mécanique
Batterie 3 cellules 62 Whr, HP Long Life 1000 Cycles
Chargeur 65W USB-C
FreeDOS</t>
    </r>
  </si>
  <si>
    <t>HP EliteBook 8 G1a 13 AI</t>
  </si>
  <si>
    <t>HP EliteBook 8 G1a 13 NGAI</t>
  </si>
  <si>
    <r>
      <rPr>
        <b/>
        <sz val="11"/>
        <color theme="1"/>
        <rFont val="Arial"/>
        <family val="2"/>
      </rPr>
      <t xml:space="preserve">Cat3Conf2A_8_G1i_14_AI-WUXGA-300n_U5-16Go-512Go
Intel core U5-225U (12 cores - L3 cache 12MB - jusqu'à 4.8 Ghz) (12NPU TOPS)
</t>
    </r>
    <r>
      <rPr>
        <sz val="11"/>
        <color theme="1"/>
        <rFont val="Arial"/>
        <family val="2"/>
      </rPr>
      <t>Écran non tactile, 14" (35,6cm, WUXGA (1920 x 1200), 16/10, IPS Mat, 300cd/m²
16Go 5600 SODIMM DDR5 (1x16Go) 
SSD 512Go M.2 TLC
Intel Wifi6 Ax211 (2x2 antennes), Bluetooth 5.3
Clavier rétro éclairé - Sans lecteur d‘empreintes digitales et sans lecteur de cartes à puce
Camera 5MP Cache Mécanique
Batterie 3 cellules 62 Whr, HP Long Life 1000 Cycles
Chargeur 65W USB-C
FreeDOS</t>
    </r>
  </si>
  <si>
    <t>HP EliteBook 8 G1i 14 AI</t>
  </si>
  <si>
    <t>HP EliteBook 8 G1i 14 NGAI</t>
  </si>
  <si>
    <t>HP EliteBook 8 G1a 14 AI</t>
  </si>
  <si>
    <t>HP EliteBook 8 G1a 14 NGAI</t>
  </si>
  <si>
    <t>HP EliteBook 8 G1i 16 AI</t>
  </si>
  <si>
    <t>HP EliteBook 8 G1i 16 NGAI</t>
  </si>
  <si>
    <t>HP EliteBook 8 G1a 16 AI</t>
  </si>
  <si>
    <t>HP EliteBook 8 G1a 16 NGAI</t>
  </si>
  <si>
    <t>Extensions catégorie 3</t>
  </si>
  <si>
    <t>830 G11</t>
  </si>
  <si>
    <t xml:space="preserve">8G1i 13 AI </t>
  </si>
  <si>
    <t>835 G11</t>
  </si>
  <si>
    <t xml:space="preserve">8G1a 13 AI </t>
  </si>
  <si>
    <t xml:space="preserve">8G1a 13 NGAI </t>
  </si>
  <si>
    <t>840 G11</t>
  </si>
  <si>
    <t xml:space="preserve">8G1i 14 AI </t>
  </si>
  <si>
    <t xml:space="preserve">8G1i 14 NGAI </t>
  </si>
  <si>
    <t>845 G11</t>
  </si>
  <si>
    <t xml:space="preserve">8G1a 14 AI </t>
  </si>
  <si>
    <t xml:space="preserve">8G1a 14 NGAI </t>
  </si>
  <si>
    <t>860 G11</t>
  </si>
  <si>
    <t xml:space="preserve">8G1i 16 AI </t>
  </si>
  <si>
    <t xml:space="preserve">8G1i 16 NGAI </t>
  </si>
  <si>
    <t>865 G11</t>
  </si>
  <si>
    <t xml:space="preserve">8G1a 16 AI </t>
  </si>
  <si>
    <t xml:space="preserve">8G1a 16 NGAI </t>
  </si>
  <si>
    <t>Processeurs Intel (passages)</t>
  </si>
  <si>
    <t>AP6J5AV</t>
  </si>
  <si>
    <t>AQ0H4AV</t>
  </si>
  <si>
    <t>AP6K3AV</t>
  </si>
  <si>
    <t>AQ0J0AV</t>
  </si>
  <si>
    <t>AP6K7AV</t>
  </si>
  <si>
    <t>AQ0J4AV</t>
  </si>
  <si>
    <t>AP3G9AV</t>
  </si>
  <si>
    <t>AP3J7AV</t>
  </si>
  <si>
    <t>B0KF0AV</t>
  </si>
  <si>
    <t>B4CM4AV</t>
  </si>
  <si>
    <t>B0KF1AV</t>
  </si>
  <si>
    <t>B4CM5AV</t>
  </si>
  <si>
    <t>B0KF2AV</t>
  </si>
  <si>
    <t>B4CM6AV</t>
  </si>
  <si>
    <t>B0KF4AV</t>
  </si>
  <si>
    <t>B4CM8AV</t>
  </si>
  <si>
    <t>B0KF5AV</t>
  </si>
  <si>
    <t>B4CM9AV</t>
  </si>
  <si>
    <t>B0KF6AV</t>
  </si>
  <si>
    <t>B4CN0AV</t>
  </si>
  <si>
    <t>B0KF7AV</t>
  </si>
  <si>
    <t>B4CN1AV</t>
  </si>
  <si>
    <t>Processeurs AMD (passages)</t>
  </si>
  <si>
    <t>AX0V9AV</t>
  </si>
  <si>
    <t>AX0X4AV</t>
  </si>
  <si>
    <t>AY0T3AV</t>
  </si>
  <si>
    <t>AZ4Y9AV</t>
  </si>
  <si>
    <t>AX8Q4AV</t>
  </si>
  <si>
    <t>AZ3N5AV</t>
  </si>
  <si>
    <t>AX8Q5AV</t>
  </si>
  <si>
    <t>AZ3N6AV</t>
  </si>
  <si>
    <t>HP IDS UMA Ryzen AI 7 350 32GB 8 13 inch G1a Base NB PC</t>
  </si>
  <si>
    <t>AZ2K3AV</t>
  </si>
  <si>
    <t>HP IDS UMA Ryzen AI 7 PRO 350 32GB 8 13 inch G1a Base NB PC</t>
  </si>
  <si>
    <t>AZ2L0AV</t>
  </si>
  <si>
    <t>16GB (2x8GB) DDR5 5600</t>
  </si>
  <si>
    <t>16GB (2x8GB) DDR5 5600 SODIMM Memory</t>
  </si>
  <si>
    <t>AP6S5AV</t>
  </si>
  <si>
    <t>AY1A5AV</t>
  </si>
  <si>
    <t>AX8W0AV</t>
  </si>
  <si>
    <t>AQ0Q6AV</t>
  </si>
  <si>
    <t>AZ3T1AV</t>
  </si>
  <si>
    <t>AZ5F2AV</t>
  </si>
  <si>
    <t xml:space="preserve">32GB (2x16GB) DDR5 5600 </t>
  </si>
  <si>
    <t>AP6T0AV</t>
  </si>
  <si>
    <t>AY1A9AV</t>
  </si>
  <si>
    <t>AX8W4AV</t>
  </si>
  <si>
    <t>AQ0R0AV</t>
  </si>
  <si>
    <t>AZ3T5AV</t>
  </si>
  <si>
    <t>AZ5F6AV</t>
  </si>
  <si>
    <t>32GB (1x32GB) DDR5 5600</t>
  </si>
  <si>
    <t>AP6S7AV</t>
  </si>
  <si>
    <t>AY1A7AV</t>
  </si>
  <si>
    <t>AX8W2AV</t>
  </si>
  <si>
    <t>AQ0Q8AV</t>
  </si>
  <si>
    <t>AZ3T3AV</t>
  </si>
  <si>
    <t>AZ5F4AV</t>
  </si>
  <si>
    <t>64GB (2x32GB) DDR5 5600</t>
  </si>
  <si>
    <t>AP6T2AV</t>
  </si>
  <si>
    <t>AY1B1AV</t>
  </si>
  <si>
    <t>AX8W6AV</t>
  </si>
  <si>
    <t>AQ0R2AV</t>
  </si>
  <si>
    <t>AZ3T7AV</t>
  </si>
  <si>
    <t>AZ5F8AV</t>
  </si>
  <si>
    <t>13.3 inch WUXGA(1920x1200) Anti-Glare, 300nit, for 5MP+IR+ISP</t>
  </si>
  <si>
    <t>AX0Z4AV</t>
  </si>
  <si>
    <t>AZ2N0AV</t>
  </si>
  <si>
    <t>13.3 inch WUXGA(1920x1200) Touch, Anti-Glare, 300nit, for 5MP+IR+ISP</t>
  </si>
  <si>
    <t>AX0Z5AV</t>
  </si>
  <si>
    <t>AZ2N1AV</t>
  </si>
  <si>
    <t>13.3 inch WUXGA(1920x1200) Anti-Glare, 300nit, for 5MP, WWAN</t>
  </si>
  <si>
    <t>AX0Z6AV</t>
  </si>
  <si>
    <t>AZ2N2AV</t>
  </si>
  <si>
    <t>13.3 inch WUXGA(1920x1200) Anti-Glare, 300nit, for 5MP+IR+ISP, WWAN</t>
  </si>
  <si>
    <t>AX0Z7AV</t>
  </si>
  <si>
    <t>AZ2N3AV</t>
  </si>
  <si>
    <t>13.3 inch WUXGA(1920x1200) Touch, Anti-Glare, 300nit, for 5MP+IR+ISP, WWAN</t>
  </si>
  <si>
    <t>AX0Z8AV</t>
  </si>
  <si>
    <t>AZ2N4AV</t>
  </si>
  <si>
    <t>13.3 inch WUXGA(1920x1200) Anti-Glare, 800nit, HP Sure View 5, LowBlueLight, for 5MP+IR+ISP</t>
  </si>
  <si>
    <t>AX0Z9AV</t>
  </si>
  <si>
    <t>AZ2N5AV</t>
  </si>
  <si>
    <t>13.3 inch WUXGA(1920x1200) Anti-Glare, 800nit, HP Sure View 5, LowBlueLight, for 5MP</t>
  </si>
  <si>
    <t>AX1A0AV</t>
  </si>
  <si>
    <t>AZ2N6AV</t>
  </si>
  <si>
    <t>13.3 inch WUXGA(1920x1200) Anti-Glare, 800nit, HP Sure View 5, LowBlueLight, for 5MP+IR+ISP, WWAN</t>
  </si>
  <si>
    <t>AX1A1AV</t>
  </si>
  <si>
    <t>AZ2N7AV</t>
  </si>
  <si>
    <t>13.3 inch WUXGA(1920x1200) Anti-Glare, 400nit, LowPower, LowBlueLight, for 5MP+IR+ISP</t>
  </si>
  <si>
    <t>AX1A2AV</t>
  </si>
  <si>
    <t>AZ2N8AV</t>
  </si>
  <si>
    <t>13.3 inch WUXGA(1920x1200) Anti-Glare, 400nit, LowPower, LowBlueLight, for 5MP</t>
  </si>
  <si>
    <t>AX1A3AV</t>
  </si>
  <si>
    <t>AZ2N9AV</t>
  </si>
  <si>
    <t>13.3 inch WUXGA(1920x1200) Anti-Glare, 400nit, LowPower, LowBlueLight, for 5MP+IR+ISP, WWAN</t>
  </si>
  <si>
    <t>AX1A4AV</t>
  </si>
  <si>
    <t>AZ2P0AV</t>
  </si>
  <si>
    <t>AP3L3AV</t>
  </si>
  <si>
    <t>AP3L4AV</t>
  </si>
  <si>
    <t>AP3L5AV</t>
  </si>
  <si>
    <t>AP3L8AV</t>
  </si>
  <si>
    <t>AP3L9AV</t>
  </si>
  <si>
    <t>AP3M0AV</t>
  </si>
  <si>
    <t>AP3M1AV</t>
  </si>
  <si>
    <t>AP3M2AV</t>
  </si>
  <si>
    <t>AP3M3AV</t>
  </si>
  <si>
    <t>AT5Z4AV</t>
  </si>
  <si>
    <t>AT5Z5AV</t>
  </si>
  <si>
    <t>14.0 inch AG WUXGA (1920x1200) LED UWVA 300 for 5MP IR ISP+ 60Hz bnt LCD Panel</t>
  </si>
  <si>
    <t>AP6M3AV</t>
  </si>
  <si>
    <t>14.0 inch AG WUXGA (1920x1200) LED UWVA 300 for 5MP IR ISP+ 60Hz Touchscreen bnt LCD Panel</t>
  </si>
  <si>
    <t>AP6M4AV</t>
  </si>
  <si>
    <t>14.0 inch AG WUXGA (1920x1200) LED UWVA 300 for WWAN f5MP 60Hz bnt LCD Panel</t>
  </si>
  <si>
    <t>AP6M8AV</t>
  </si>
  <si>
    <t>14.0 inch AG WUXGA (1920x1200) LwBluLt UWVA 800 for 5MP IR ISP+ Sure View 5 bnt LCD Panel</t>
  </si>
  <si>
    <t>AP6N0AV</t>
  </si>
  <si>
    <t>14.0 inch AG WUXGA (1920x1200) LwBluLt UWVA 800 for 5MP IR ISP+ Sure View 5 Touchscreen bnt LCDPanel</t>
  </si>
  <si>
    <t>AP6N1AV</t>
  </si>
  <si>
    <t>14.0 inch AG WUXGA (1920x1200) LwBluLt UWVA 800 f5MP Sure View 5 bnt LCD Panel</t>
  </si>
  <si>
    <t>AP6N2AV</t>
  </si>
  <si>
    <t>14.0 inch AG WUXGA (1920x1200) WLED+LBL UWVA 400 for 5MP IR ISP+ bnt LCD Panel</t>
  </si>
  <si>
    <t>AP6N5AV</t>
  </si>
  <si>
    <t>14.0 inch AG WUXGA (1920x1200) WLED+LBL UWVA 400 f5MP bnt LCD Panel</t>
  </si>
  <si>
    <t>AP6N6AV</t>
  </si>
  <si>
    <t>14.0 inch AG WUXGA (1920x1200) WLED+LBL UWVA 400 for WWAN for 5MP IR ISP+ bnt LCD Panel</t>
  </si>
  <si>
    <t>AP6N7AV</t>
  </si>
  <si>
    <t>14.0 inch AG WUXGA (1920x1200) LED UWVA 300 for WWAN for 5MP IR ISP+ 60Hz bnt LCD Panel</t>
  </si>
  <si>
    <t>AT9B2AV</t>
  </si>
  <si>
    <t>14.0 inch AG WUXGA (1920x1200) LED UWVA 300 for WWAN for 5MP IR ISP+ 60Hz Touchscreen bnt LCD Panel</t>
  </si>
  <si>
    <t>AT9B3AV</t>
  </si>
  <si>
    <t>14.0 inch AG WUXGA (1920x1200) LwBluLt UWVA 800 for WWAN for 5MP IR ISP+ Sure View 5 bnt LCD Panel</t>
  </si>
  <si>
    <t>AU7Q9AV</t>
  </si>
  <si>
    <t>14.0 inch AG WUXGA (1920x1200) LwBluLt UWVA 800 for WWAN for5MPIRISP+SureView5TouchscreenbntLCDPanel</t>
  </si>
  <si>
    <t>AU7R0AV</t>
  </si>
  <si>
    <t>14.0 inch 2.5K(2560x1600) Anti-Glare, 120Hz, 400nit, LowBlueLight, for 5MP+IR+ISP</t>
  </si>
  <si>
    <t>B0KH2AV</t>
  </si>
  <si>
    <t>14.0 inch 2.5K(2560x1600) Anti-Glare, 120Hz, 400nit, LowBlueLight, for 5MP+IR+ISP, WWAN</t>
  </si>
  <si>
    <t>B0KH3AV</t>
  </si>
  <si>
    <t>B0KH4AV</t>
  </si>
  <si>
    <t>B0KH5AV</t>
  </si>
  <si>
    <t>B0KH7AV</t>
  </si>
  <si>
    <t>B0KH8AV</t>
  </si>
  <si>
    <t>B0KH9AV</t>
  </si>
  <si>
    <t>B0KJ1AV</t>
  </si>
  <si>
    <t>B0KJ2AV</t>
  </si>
  <si>
    <t>B0KJ3AV</t>
  </si>
  <si>
    <t>B0KJ4AV</t>
  </si>
  <si>
    <t>B0KJ5AV</t>
  </si>
  <si>
    <t>B0KJ6AV</t>
  </si>
  <si>
    <t>B0KJ7AV</t>
  </si>
  <si>
    <t>AY0V5AV</t>
  </si>
  <si>
    <t>AY0V6AV</t>
  </si>
  <si>
    <t>AY0V8AV</t>
  </si>
  <si>
    <t>AY0V9AV</t>
  </si>
  <si>
    <t>AY0W0AV</t>
  </si>
  <si>
    <t>AY0W2AV</t>
  </si>
  <si>
    <t>AY0W3AV</t>
  </si>
  <si>
    <t>AY0W4AV</t>
  </si>
  <si>
    <t>AY0W5AV</t>
  </si>
  <si>
    <t>AY0W6AV</t>
  </si>
  <si>
    <t>AY0W7AV</t>
  </si>
  <si>
    <t>AY0W8AV</t>
  </si>
  <si>
    <t>AY0W9AV</t>
  </si>
  <si>
    <t>AX8S4AV</t>
  </si>
  <si>
    <t>AX8S5AV</t>
  </si>
  <si>
    <t>AX8S6AV</t>
  </si>
  <si>
    <t>AX8S7AV</t>
  </si>
  <si>
    <t>AX8S9AV</t>
  </si>
  <si>
    <t>AX8T0AV</t>
  </si>
  <si>
    <t>AX8T1AV</t>
  </si>
  <si>
    <t>AX8T3AV</t>
  </si>
  <si>
    <t>AX8T4AV</t>
  </si>
  <si>
    <t>AX8T5AV</t>
  </si>
  <si>
    <t>AX8T6AV</t>
  </si>
  <si>
    <t>AX8T7AV</t>
  </si>
  <si>
    <t>AX8T9AV</t>
  </si>
  <si>
    <t>Ecrans 16.0'' (passages)</t>
  </si>
  <si>
    <t>16.0 inch AG WUXGA (1920x1200) LED UWVA 300 for 5MP IR ISP+ 60Hz bnt LCD Panel</t>
  </si>
  <si>
    <t>AZ5A8AV</t>
  </si>
  <si>
    <t>16.0 inch AG WUXGA (1920x1200) LED UWVA 300 for 5MP IR ISP+ 60Hz Touchscreen bnt LCD Panel</t>
  </si>
  <si>
    <t>AZ5A9AV</t>
  </si>
  <si>
    <t>16.0 inch AG WUXGA (1920x1200) LED UWVA 300 for WWAN f5MP 60Hz bnt LCD Panel</t>
  </si>
  <si>
    <t>AZ5B0AV</t>
  </si>
  <si>
    <t>16.0 inch AG WUXGA (1920x1200) LED UWVA 300 for WWAN for 5MP IR ISP+ 60Hz bnt LCD Panel</t>
  </si>
  <si>
    <t>AZ5B1AV</t>
  </si>
  <si>
    <t>16.0 inch AG WUXGA (1920x1200) LED UWVA 300 for WWAN for 5MP IR ISP+ 60Hz Touchscreen bnt LCD Panel</t>
  </si>
  <si>
    <t>AZ5B2AV</t>
  </si>
  <si>
    <t>16.0 inch AG WUXGA (1920x1200) LwBluLt UWVA 800 for 5MP IR ISP+ Sure View 5 bnt LCD Panel</t>
  </si>
  <si>
    <t>AZ5B3AV</t>
  </si>
  <si>
    <t>16.0 inch AG WUXGA (1920x1200) LwBluLt UWVA 800 f5MP Sure View 5 bnt LCD Panel</t>
  </si>
  <si>
    <t>AZ5B4AV</t>
  </si>
  <si>
    <t>16.0 inch AG WUXGA (1920x1200) LwBluLt UWVA 800 for WWAN for 5MP IR ISP+ Sure View 5 bnt LCD Panel</t>
  </si>
  <si>
    <t>AZ5B5AV</t>
  </si>
  <si>
    <t>16.0 inch AG WUXGA (1920x1200) WLED+LBL UWVA 400 for 5MP IR ISP+ bnt LCD Panel</t>
  </si>
  <si>
    <t>AZ5B6AV</t>
  </si>
  <si>
    <t>16.0 inch AG WUXGA (1920x1200) WLED+LBL UWVA 400 for WWAN for 5MP IR ISP+ bnt LCD Panel</t>
  </si>
  <si>
    <t>AZ5B7AV</t>
  </si>
  <si>
    <t>16.0 inch 2.5K(2560x1600) Anti-Glare, 120Hz, 400nit, LowBlueLight, for 5MP+IR+ISP</t>
  </si>
  <si>
    <t>AZ3Q2AV</t>
  </si>
  <si>
    <t>16.0 inch 2.5K(2560x1600) Anti-Glare, 120Hz, 400nit, LowBlueLight, for 5MP+IR+ISP, WWAN</t>
  </si>
  <si>
    <t>AZ3Q3AV</t>
  </si>
  <si>
    <t>AZ3Q4AV</t>
  </si>
  <si>
    <t>AZ3Q5AV</t>
  </si>
  <si>
    <t>AZ3Q6AV</t>
  </si>
  <si>
    <t>AZ3Q7AV</t>
  </si>
  <si>
    <t>AZ3Q8AV</t>
  </si>
  <si>
    <t>AZ3Q9AV</t>
  </si>
  <si>
    <t>AZ3R0AV</t>
  </si>
  <si>
    <t>AZ3R1AV</t>
  </si>
  <si>
    <t>AZ3R2AV</t>
  </si>
  <si>
    <t>AZ3R3AV</t>
  </si>
  <si>
    <t>AQ0L1AV</t>
  </si>
  <si>
    <t>AQ0L2AV</t>
  </si>
  <si>
    <t>AQ0L3AV</t>
  </si>
  <si>
    <t>AQ0L6AV</t>
  </si>
  <si>
    <t>AQ0L7AV</t>
  </si>
  <si>
    <t>AQ0L8AV</t>
  </si>
  <si>
    <t>AQ0L9AV</t>
  </si>
  <si>
    <t>AQ0M0AV</t>
  </si>
  <si>
    <t>AV3F4AV</t>
  </si>
  <si>
    <t>AV3F5AV</t>
  </si>
  <si>
    <t>B4CP4AV</t>
  </si>
  <si>
    <t>B4CP5AV</t>
  </si>
  <si>
    <t>B4CP6AV</t>
  </si>
  <si>
    <t>B4CP7AV</t>
  </si>
  <si>
    <t>B4CP8AV</t>
  </si>
  <si>
    <t>B4CP9AV</t>
  </si>
  <si>
    <t>B4CQ0AV</t>
  </si>
  <si>
    <t>B4CQ1AV</t>
  </si>
  <si>
    <t>B4CQ2AV</t>
  </si>
  <si>
    <t>B4CQ3AV</t>
  </si>
  <si>
    <t>B4CQ4AV</t>
  </si>
  <si>
    <t>B4CQ5AV</t>
  </si>
  <si>
    <t xml:space="preserve"> 1To PCIe NVMe SSD</t>
  </si>
  <si>
    <t>1TB PCIe NVMe Value Solid State Drive</t>
  </si>
  <si>
    <t>AP3R0AV</t>
  </si>
  <si>
    <t>AX1E2AV</t>
  </si>
  <si>
    <t>AZ2R1AV</t>
  </si>
  <si>
    <t>AP6U2AV</t>
  </si>
  <si>
    <t>B0KM4AV</t>
  </si>
  <si>
    <t>AX8X3AV</t>
  </si>
  <si>
    <t>AQ0S1AV</t>
  </si>
  <si>
    <t>B4CT7AV</t>
  </si>
  <si>
    <t>AZ5G7AV</t>
  </si>
  <si>
    <t>AZ3U4AV</t>
  </si>
  <si>
    <t>Batteries (passages)</t>
  </si>
  <si>
    <t xml:space="preserve">Webcam (passages) </t>
  </si>
  <si>
    <t>AP3K4AV</t>
  </si>
  <si>
    <t>AX0Y2AV</t>
  </si>
  <si>
    <t>AZ2L8AV</t>
  </si>
  <si>
    <t>AP6L2AV</t>
  </si>
  <si>
    <t>B0KG3AV</t>
  </si>
  <si>
    <t>AY0U1AV</t>
  </si>
  <si>
    <t>AX8R2AV</t>
  </si>
  <si>
    <t>AQ0K0AV</t>
  </si>
  <si>
    <t>B4CN8AV</t>
  </si>
  <si>
    <t>AZ4Z4AV</t>
  </si>
  <si>
    <t>AZ3P0AV</t>
  </si>
  <si>
    <t>Clavier Rétro-éclairé Anti-éclaboussures compatbile filtre de confidentialité intégré</t>
  </si>
  <si>
    <t>Clickpad Backlit spill-resistant Premium Keyboard Privacy</t>
  </si>
  <si>
    <t>Clavier numérique Rétro-éclairé Anti-éclaboussures compatbile filtre de confidentialité intégré</t>
  </si>
  <si>
    <t>AP3Q5AV</t>
  </si>
  <si>
    <t>AX1D7AV</t>
  </si>
  <si>
    <t>AZ2Q6AV</t>
  </si>
  <si>
    <t>B0KL8AV</t>
  </si>
  <si>
    <t>AY1B5AV</t>
  </si>
  <si>
    <t>AX8W9AV</t>
  </si>
  <si>
    <t>AQ0R6AV</t>
  </si>
  <si>
    <t>B4CT2AV</t>
  </si>
  <si>
    <t>AZ5G2AV</t>
  </si>
  <si>
    <t>AZ3T9AV</t>
  </si>
  <si>
    <t>AP3Q6AV</t>
  </si>
  <si>
    <t>AX1D8AV</t>
  </si>
  <si>
    <t>AZ2Q7AV</t>
  </si>
  <si>
    <t>B0KL9AV</t>
  </si>
  <si>
    <t>AY1B6AV</t>
  </si>
  <si>
    <t>AX8W8AV</t>
  </si>
  <si>
    <t>AQ0R7AV</t>
  </si>
  <si>
    <t>B4CT3AV</t>
  </si>
  <si>
    <t>AZ5G3AV</t>
  </si>
  <si>
    <t>AZ3U0AV</t>
  </si>
  <si>
    <t>AP3N4AV</t>
  </si>
  <si>
    <t>AX1B4AV</t>
  </si>
  <si>
    <t>AZ2Q0AV</t>
  </si>
  <si>
    <t>AP6P8AV</t>
  </si>
  <si>
    <t>B0KK9AV</t>
  </si>
  <si>
    <t>AY0X9AV</t>
  </si>
  <si>
    <t>AX8V1AV</t>
  </si>
  <si>
    <t>AQ0N1AV</t>
  </si>
  <si>
    <t>B4CR6AV</t>
  </si>
  <si>
    <t>AZ5C7AV</t>
  </si>
  <si>
    <t>AZ3S3AV</t>
  </si>
  <si>
    <t xml:space="preserve">Module Wifi Mediatek RZ616 Wi-Fi 6E AIM-T 160 MHz et Bluetooth 5.3 </t>
  </si>
  <si>
    <t>Mediatek RZ616 Wi-Fi 6E AIM-T 160 MHz +Bluetooth 5.3 WW WLAN</t>
  </si>
  <si>
    <t>AX8Z3AV</t>
  </si>
  <si>
    <t>AZ3W4AV</t>
  </si>
  <si>
    <t>Mediatek MT7925 Wi-Fi 7 +Bluetooth 5.4 AIM-T WW WLAN</t>
  </si>
  <si>
    <t>AY1D9AV</t>
  </si>
  <si>
    <t>AZ5J6AV</t>
  </si>
  <si>
    <t>AP3S7AV</t>
  </si>
  <si>
    <t>AP6W0AV</t>
  </si>
  <si>
    <t>AQ0T8AV</t>
  </si>
  <si>
    <t>B3EH3AV</t>
  </si>
  <si>
    <t>B27Q0AV</t>
  </si>
  <si>
    <t>B3EH0AV</t>
  </si>
  <si>
    <t>B27Q3AV</t>
  </si>
  <si>
    <t>B3EG1AV</t>
  </si>
  <si>
    <t>B27Q6AV</t>
  </si>
  <si>
    <t>Module Données Mobiles 5G</t>
  </si>
  <si>
    <t>HP 5000 5G Solution WWAN</t>
  </si>
  <si>
    <t>AP3T2AV</t>
  </si>
  <si>
    <t>AX1G6AV</t>
  </si>
  <si>
    <t>AZ2T5AV</t>
  </si>
  <si>
    <t>AP6W5AV</t>
  </si>
  <si>
    <t>B0KP5AV</t>
  </si>
  <si>
    <t>AY1E4AV</t>
  </si>
  <si>
    <t>AX8Z7AV</t>
  </si>
  <si>
    <t>AQ0U3AV</t>
  </si>
  <si>
    <t>B4CV7AV</t>
  </si>
  <si>
    <t>AZ5K1AV</t>
  </si>
  <si>
    <t>AZ3W8AV</t>
  </si>
  <si>
    <t>Intel BE201 Wi-Fi 7 +Bluetooth 5.4 vPro WW WLAN</t>
  </si>
  <si>
    <t>AX1G1AV</t>
  </si>
  <si>
    <t>AZ2T0AV</t>
  </si>
  <si>
    <t>AP6W2AV</t>
  </si>
  <si>
    <t>B0KP2AV</t>
  </si>
  <si>
    <t>B4CV4AV</t>
  </si>
  <si>
    <t>Cordon d'alimentation 1 mètre Premium</t>
  </si>
  <si>
    <t>C5 1.0m Sticker Premium Power Cord</t>
  </si>
  <si>
    <t>6B664AV</t>
  </si>
  <si>
    <t>Alimentation 65 Watt Connecteur USB-C Slim</t>
  </si>
  <si>
    <t>HP 65W Slim USB-C AC Adapter</t>
  </si>
  <si>
    <t>AP3E7AV</t>
  </si>
  <si>
    <t>AX0U2AV</t>
  </si>
  <si>
    <t>AP6H4AV</t>
  </si>
  <si>
    <t>B0KE1AV</t>
  </si>
  <si>
    <t>AY0R9AV</t>
  </si>
  <si>
    <t>AQ0G0AV</t>
  </si>
  <si>
    <t>B4CL5AV</t>
  </si>
  <si>
    <t>AZ4X5AV</t>
  </si>
  <si>
    <t>AP3E6AV</t>
  </si>
  <si>
    <t>AX0U1AV</t>
  </si>
  <si>
    <t>AP6H3AV</t>
  </si>
  <si>
    <t>B0KE0AV</t>
  </si>
  <si>
    <t>AY0R8AV</t>
  </si>
  <si>
    <t>AQ0F9AV</t>
  </si>
  <si>
    <t>B4CL3AV</t>
  </si>
  <si>
    <t>AZ4X4AV</t>
  </si>
  <si>
    <t>Extensions de garantie acquises lors de l'achat initial pour série 800</t>
  </si>
  <si>
    <t>U85C5E</t>
  </si>
  <si>
    <t>U85BZE</t>
  </si>
  <si>
    <t>U85X6E</t>
  </si>
  <si>
    <t xml:space="preserve">U85WQE </t>
  </si>
  <si>
    <t>U73VNB</t>
  </si>
  <si>
    <t>U73VXB</t>
  </si>
  <si>
    <t>CATEGORIE 4 : Usager VIP</t>
  </si>
  <si>
    <t>HP EliteBook x360 1040 G11</t>
  </si>
  <si>
    <t>HP EliteBook X Flip G1i NGAI</t>
  </si>
  <si>
    <t>HP EliteBook 1040 G11</t>
  </si>
  <si>
    <t>HP EliteBook X  G1i NGAI</t>
  </si>
  <si>
    <t xml:space="preserve">Extensions Catégorie 4 </t>
  </si>
  <si>
    <t>X360 1040 G11</t>
  </si>
  <si>
    <t>X Flip NGAI</t>
  </si>
  <si>
    <t>1040 G11</t>
  </si>
  <si>
    <t>XG1i NGAI</t>
  </si>
  <si>
    <t xml:space="preserve"> Intel Core U7-165H compatible vPro - mémoire soudée 16GB</t>
  </si>
  <si>
    <t>HP Elite x360 1040 14 inch G11 (U7-165H, UMA, TI PD IC, 16GB) IDS, Base NB PC
HP Elite 1040 14 inch G11 (U7-165H, UMA, TI PD IC, 16GB) IDS, Base NB PC</t>
  </si>
  <si>
    <t>8Y1Q1AV</t>
  </si>
  <si>
    <t>8Y861AV</t>
  </si>
  <si>
    <t xml:space="preserve"> Intel Core U7-165H compatible vPro - mémoire soudée 32GB</t>
  </si>
  <si>
    <t>HP Elite x360 1040 14 inch G11 (U7-165H, UMA, TI PD IC, 32GB) IDS, Base NB PC
HP Elite 1040 14 inch G11 (U7-165H, UMA, TI PD IC, 32GB) IDS, Base NB PC</t>
  </si>
  <si>
    <t>8Y1Q2AV</t>
  </si>
  <si>
    <t>8Y863AV</t>
  </si>
  <si>
    <t xml:space="preserve"> Intel Core U7-165H compatible vPro - mémoire soudée 64GB</t>
  </si>
  <si>
    <t>HP Elite 1040 14 inch G11 (U7-165H, UMA, TI PD IC, 64GB) IDS, Base NB PC</t>
  </si>
  <si>
    <t>AN7A7AV</t>
  </si>
  <si>
    <t>A85LQAV</t>
  </si>
  <si>
    <t>A85LTAV</t>
  </si>
  <si>
    <t>A7JK6AV</t>
  </si>
  <si>
    <t>A7JL0AV</t>
  </si>
  <si>
    <t>A7JL1AV</t>
  </si>
  <si>
    <t xml:space="preserve">Ecran 14'' WUXGA Anti-reflets Tactile 400 nits compatible 4G et 5G pour Caméra 5MP IR </t>
  </si>
  <si>
    <t>14.0 inch AG WUXGA (1920x1200) WLED+LBL UWVA 400 forWWANf5MPIRTimeofFlight60HzTouchscreenbntLCDPanel</t>
  </si>
  <si>
    <t>8Y279AV</t>
  </si>
  <si>
    <t>Ecran 14'' WUXGA Brillant Tactile 800 nits Caméra 5MP IR filtre de confidentialité</t>
  </si>
  <si>
    <t>14.0 inch BV WUXGA (1920x1200) LED UWVA 800 forWLANf5MPIRTimeofFlightSureView5TouchscreenbntLCDPanel</t>
  </si>
  <si>
    <t>9X4B3AV</t>
  </si>
  <si>
    <t>Ecran 14'' WUXGA Anti-Reflets Tactile 800 nits Caméra 5MP IR filtre de confidentialité</t>
  </si>
  <si>
    <t>14.0 inch AG WUXGA (1920x1200) LED UWVA 800 forWLANf5MPIRTimeofFlightSureView5TouchscreenbntLCDPanel</t>
  </si>
  <si>
    <t>9X4B1AV</t>
  </si>
  <si>
    <t>Ecran 14'' WUXGA Brillant Tactile 800 nits compatible 4G/5G Caméra 5MP IR filtre de confidentialité</t>
  </si>
  <si>
    <t>14.0 inch BV WUXGA (1920x1200) LED UWVA 800 forWWANf5MPIRTimeofFlightSureView5TouchscreenbntLCDPanel</t>
  </si>
  <si>
    <t>9X4B4AV</t>
  </si>
  <si>
    <t>Ecran 14'' WUXGA Anti-Reflets Tactile 800 nits compatible 4G/5G Caméra 5MP IR filtre de confidentialité</t>
  </si>
  <si>
    <t>14.0 inch AG WUXGA (1920x1200) LED UWVA 800 forWWANf5MPIRTimeofFlightSureView5TouchscreenbntLCDPanel</t>
  </si>
  <si>
    <t>9X4B2AV</t>
  </si>
  <si>
    <t>14.0 inch WUXGA (1920x1200) Touch, Anti-Glare, 800nit, HP Sure View 5, for 5MP+IR+ISP, WLAN</t>
  </si>
  <si>
    <t>A87N4AV</t>
  </si>
  <si>
    <t>14.0 inch WUXGA (1920x1200) Touch, Anti-Glare, 800nit, HP Sure View 5, for 5MP+IR+ISP, WWAN</t>
  </si>
  <si>
    <t>A87N5AV</t>
  </si>
  <si>
    <t>14.0 inch WUXGA (1920x1200) Touch, Anti-Glare, 400nit, LowPower, LowBlueLight, for 5MP+IR+ISP, WWAN</t>
  </si>
  <si>
    <t>A87N7AV</t>
  </si>
  <si>
    <t>14.0 inch WUXGA (1920x1200) Touch, BrightView, 800nit, HP Sure View 5, for 5MP+IR+ISP, WLAN</t>
  </si>
  <si>
    <t>A87N8AV</t>
  </si>
  <si>
    <t>14.0 inch WUXGA (1920x1200) Touch, BrightView, 800nit, HP Sure View 5, for 5MP+IR+ISP, WWAN</t>
  </si>
  <si>
    <t>A87N9AV</t>
  </si>
  <si>
    <t>Ecran 14'' WUXGA Anti-Reflets compatible 4G/5G 400 nits Caméra 5MP IR</t>
  </si>
  <si>
    <t>14.0 inch AG WUXGA (1920x1200) WLED+LBL UWVA 400 for WWAN f5MP IR Time of Flight bnt LCD Panel</t>
  </si>
  <si>
    <t>8Y8N4AV</t>
  </si>
  <si>
    <t>Ecran 14'' WUXGA Anti-Reflets Tactile 400 nits Caméra 5MP IR</t>
  </si>
  <si>
    <t>14 inch AG WUXGA (1920x1200) LED UWVA 400 for WLAN f5MP IR Time of Flight Touchscreen bnt LCD Panel</t>
  </si>
  <si>
    <t>8Y8N0AV</t>
  </si>
  <si>
    <t>Ecran 14'' WUXGA Anti-Reflets Tactile compatible 4G/5G 400 nits Caméra 5MP</t>
  </si>
  <si>
    <t>14 inch AG WUXGA (1920x1200) LED UWVA 400 for WWAN f5MP IR Time of Flight Touchscreen bnt LCD Panel</t>
  </si>
  <si>
    <t>8Y8N1AV</t>
  </si>
  <si>
    <t>Ecran 14'' WUXGA Anti-Reflets non Tactile 800 nits compatible 4G/5G Caméra 5MP IR filtre de confidentialité</t>
  </si>
  <si>
    <t>14.0 inch AG WUXGA (1920x1200) WLED+LBL UWVA 800 for WWAN w5MP IR Time of FlightSureView5bntLCDPanel</t>
  </si>
  <si>
    <t>9W2H0AV</t>
  </si>
  <si>
    <t>14.0 inch AG WUXGA(1920x1200)WLED+LBLUWVA800forWWANw5MPIRTimeofFlightSur eView5TouchscreenbntLCDPane</t>
  </si>
  <si>
    <t>9X4B7AV</t>
  </si>
  <si>
    <t>Ecran 14'' 2.8K Brillant 400 nits Caméra 5MP IR</t>
  </si>
  <si>
    <t>14.0 inch BV 2.8K (2880x1800) OLED+LBL UWVA 400 forWLANf5MPIRTimeofFlight120Hz120Hz(VRR)bntOLEDPanel</t>
  </si>
  <si>
    <t>8Y8P3AV</t>
  </si>
  <si>
    <t>14.0 inch AG 2.5K (2560x1600) WLED+LBL UWVA 400 for WLAN wAI ISP 120Hz (VRR) bnt LCD Panel</t>
  </si>
  <si>
    <t>A7QF9AV</t>
  </si>
  <si>
    <t>14.0 inch AG 2.5K (2560x1600) WLED+LBL UWVA 400 for WWAN wAI ISP 120Hz (VRR) bnt LCD Panel</t>
  </si>
  <si>
    <t>A7QG0AV</t>
  </si>
  <si>
    <t>14.0 inch AG WUXGA (1920x1200) LED UWVA 500 for WLAN wAI ISP PET Film Touchscreen bnt LCD Panel</t>
  </si>
  <si>
    <t>A7QG1AV</t>
  </si>
  <si>
    <t>14.0 inch AG WUXGA (1920x1200) LED UWVA 500 for WWAN wAI ISP PET Film Touchscreen bnt LCD Panel</t>
  </si>
  <si>
    <t>14.0 inch AG WUXGA (1920x1200) WLED+LBL UWVA 400 for WWAN wAI ISP bnt LCD Panel</t>
  </si>
  <si>
    <t>A7QG4AV</t>
  </si>
  <si>
    <t>14.0 inch AG WUXGA (1920x1200) WLED+LBL UWVA 800 for WWAN wAI ISP Sure View 5 bnt LCD Panel</t>
  </si>
  <si>
    <t>A7QG5AV</t>
  </si>
  <si>
    <t>14.0 inch AG WUXGA (1920x1200) WLED+LBL UWVA 800 for WWAN wAI ISP Sure View 5 TouchscreenbntLCDPanel</t>
  </si>
  <si>
    <t>A7QG6AV</t>
  </si>
  <si>
    <t>Stylet Wacom AES 2.0 Pen wApp Btn G3</t>
  </si>
  <si>
    <t>Wacom AES 2.0 Pen with App Launch Button G3</t>
  </si>
  <si>
    <t>8Y292AV</t>
  </si>
  <si>
    <t>A87NNAV</t>
  </si>
  <si>
    <t>Passage au clavier gris Rétro-éclairé Anti-éclaboussures Premium HP SureView (AZERTY &amp; QWERTY)</t>
  </si>
  <si>
    <t>Soft Grey Clickpad Backlit spill-resistant Privacy Premium Keyboard</t>
  </si>
  <si>
    <t>8Y2G0AV</t>
  </si>
  <si>
    <t>8Y8V4AV</t>
  </si>
  <si>
    <t>512GB PCIe-4x4 2280 NVME SED OPAL2 TLC SSD</t>
  </si>
  <si>
    <t>8Y2C2AV</t>
  </si>
  <si>
    <t>A87P9AV</t>
  </si>
  <si>
    <t>8Y8S0AV</t>
  </si>
  <si>
    <t>A7QK3AV</t>
  </si>
  <si>
    <t>1TB PCIe NVMe Value SSD</t>
  </si>
  <si>
    <t>8Y2B8AV</t>
  </si>
  <si>
    <t>A87P2AV</t>
  </si>
  <si>
    <t>8Y8R6AV</t>
  </si>
  <si>
    <t>A7QJ6AV</t>
  </si>
  <si>
    <t>Batterie Longue Durée 6 cellules 68 WHr</t>
  </si>
  <si>
    <t>ER Long Life 68Whr Fast Charge 6 cell Battery</t>
  </si>
  <si>
    <t>903W0AV</t>
  </si>
  <si>
    <t>A87MVAV</t>
  </si>
  <si>
    <t>907M2AV</t>
  </si>
  <si>
    <t>8Y293AV</t>
  </si>
  <si>
    <t>A87NPAV</t>
  </si>
  <si>
    <t>8Y8P2AV</t>
  </si>
  <si>
    <t>A7QH4AV</t>
  </si>
  <si>
    <t>Module Wi-Fi Intel AX211 Wi-Fi 6E vPro 160 MHz +Bluetooth 5.3</t>
  </si>
  <si>
    <t>8Y2D7AV</t>
  </si>
  <si>
    <t>8Y8T5AV</t>
  </si>
  <si>
    <t>8Y2E1AV</t>
  </si>
  <si>
    <t>B27MTAV</t>
  </si>
  <si>
    <t>8Y8T9AV</t>
  </si>
  <si>
    <t>B27MMAV</t>
  </si>
  <si>
    <t>8Y2E2AV</t>
  </si>
  <si>
    <t>A87PQAV</t>
  </si>
  <si>
    <t>8Y8U0AV</t>
  </si>
  <si>
    <t>A7QL6AV</t>
  </si>
  <si>
    <t>A7QL3AV</t>
  </si>
  <si>
    <t>8Y266AV</t>
  </si>
  <si>
    <t>A87MMAV</t>
  </si>
  <si>
    <t>8Y8M0AV</t>
  </si>
  <si>
    <t>A7QE6AV</t>
  </si>
  <si>
    <t>Alimentation 100 Watt Connecteur USB-C Slim</t>
  </si>
  <si>
    <t>A7QE5AV</t>
  </si>
  <si>
    <t>8Y2B6AV</t>
  </si>
  <si>
    <t>A87NYAV</t>
  </si>
  <si>
    <t>8Y8R4AV</t>
  </si>
  <si>
    <t>A7QJ2AV</t>
  </si>
  <si>
    <t>U80N3E</t>
  </si>
  <si>
    <t>U80MXE</t>
  </si>
  <si>
    <t>U85VTE</t>
  </si>
  <si>
    <t xml:space="preserve">U85W0E </t>
  </si>
  <si>
    <t>Extensions communes</t>
  </si>
  <si>
    <t>Libellé</t>
  </si>
  <si>
    <t>Description</t>
  </si>
  <si>
    <t>Référence</t>
  </si>
  <si>
    <t>Tarif HT</t>
  </si>
  <si>
    <t xml:space="preserve">Barettes mémoire achetées dans la boîte </t>
  </si>
  <si>
    <t>Barette mémoire 8GB 5600MHz DDR5</t>
  </si>
  <si>
    <t>HP 8GB DDR5 (1x8GB) 5600 SODIMM Memory</t>
  </si>
  <si>
    <t>83P90AA</t>
  </si>
  <si>
    <t>Barette mémoire 16GB 5600MHz DDR5</t>
  </si>
  <si>
    <t>HP 16GB DDR5 (1x16GB) 5600 SODIMM Memory</t>
  </si>
  <si>
    <t>83P91AA</t>
  </si>
  <si>
    <t>Barette mémoire 32GB 5600MHz DDR5</t>
  </si>
  <si>
    <t>HP 32GB DDR5 (1x32GB) 5600 SODIMM Memory</t>
  </si>
  <si>
    <t>83P92AA</t>
  </si>
  <si>
    <t>Stockages internes en remplacement et graveurs externes</t>
  </si>
  <si>
    <t>HP Lecteur/graveur Externe USB DVDRW</t>
  </si>
  <si>
    <t>HP USB A External DVDRW Drive</t>
  </si>
  <si>
    <t>F2B56AA</t>
  </si>
  <si>
    <t>Disque dur HP 2TB TLC PCIe3x4 NVMe M2 SSD</t>
  </si>
  <si>
    <t>HP 2TB TLC PCIe3x4 NVMe M2 SSD</t>
  </si>
  <si>
    <t>6D8L6AA</t>
  </si>
  <si>
    <t>Claviers et combos</t>
  </si>
  <si>
    <t>HP 320K Wired KBD</t>
  </si>
  <si>
    <t>HP 320K WD KBD</t>
  </si>
  <si>
    <t>9SR37AA / 9SR37UT</t>
  </si>
  <si>
    <t>HP Bulk 12x 320K Clavier</t>
  </si>
  <si>
    <t>HP Bulk 12x Wired 320K Keyboard</t>
  </si>
  <si>
    <t>9SR37A6</t>
  </si>
  <si>
    <t xml:space="preserve">HP 235 Combo souris &amp; Clavier sans fil </t>
  </si>
  <si>
    <t>HP 235 WL Mouse and KB Combo</t>
  </si>
  <si>
    <t>1Y4D0UT</t>
  </si>
  <si>
    <t>HP Wired 320MK combo</t>
  </si>
  <si>
    <t>9SR36UT</t>
  </si>
  <si>
    <t xml:space="preserve">HP 655 Clavier et souris sans fil </t>
  </si>
  <si>
    <t>HP 655 Wireless Keyboard and Mouse Combo-FR</t>
  </si>
  <si>
    <t>4R009AA / 4R009UT</t>
  </si>
  <si>
    <t xml:space="preserve">HP 455 Clavier sans fil </t>
  </si>
  <si>
    <t xml:space="preserve"> HP 455 Programmable Wireless Keyboard-FR</t>
  </si>
  <si>
    <t>4R177AA</t>
  </si>
  <si>
    <t>HP USB Bus Slim CCID SmartCard Kyd</t>
  </si>
  <si>
    <t>HP 435 Pavé numérique programmable Bluetooth sans fil</t>
  </si>
  <si>
    <t>HP 435 Programmable Bluetooth Wireless Keypad</t>
  </si>
  <si>
    <t>7N7C3AA</t>
  </si>
  <si>
    <t>HP 225 Clavier Sans fil</t>
  </si>
  <si>
    <t xml:space="preserve">HP 225 Wireless Keyboard </t>
  </si>
  <si>
    <t>805T1AA/805T1UT</t>
  </si>
  <si>
    <t>Périphérique de pointage 2D/3D et dispositif complémentaire associés (tapis. repose main. ...)</t>
  </si>
  <si>
    <t>HP 320M Souris</t>
  </si>
  <si>
    <t>HP Wired 320M souris</t>
  </si>
  <si>
    <t>9VA80AA</t>
  </si>
  <si>
    <t xml:space="preserve">HP 435 souris sans fil multi-périphériques </t>
  </si>
  <si>
    <t>HP 435 Multi-Device Wireless Mouse</t>
  </si>
  <si>
    <t>3B4Q5UT</t>
  </si>
  <si>
    <t>HP 425 souris programmable sans fil</t>
  </si>
  <si>
    <t>HP 425 Programmable Wireless</t>
  </si>
  <si>
    <t>7M1D5AA</t>
  </si>
  <si>
    <t>Kensington Souris sans fil Pro Fit Ergo Noire</t>
  </si>
  <si>
    <t>3PO-C KensMouseProFitvertical W K75501EU</t>
  </si>
  <si>
    <t>1X472AA</t>
  </si>
  <si>
    <t>Kensington Souris Ergonomique Sans Fil</t>
  </si>
  <si>
    <t>3PO-C KensWirelessMouseProFit E K75404EU</t>
  </si>
  <si>
    <t>1X473AA</t>
  </si>
  <si>
    <t xml:space="preserve">HP Stylet actif rechargeable USI pour ProBook X360 435 </t>
  </si>
  <si>
    <t>630W7AA</t>
  </si>
  <si>
    <t>HP USB souris de voyage</t>
  </si>
  <si>
    <t>HP USB Travel Mouse</t>
  </si>
  <si>
    <t>G1K28AA</t>
  </si>
  <si>
    <t>HP Stylet actif rechargeable G3 pour X360 1040</t>
  </si>
  <si>
    <t>HP Rechargeable Active Pen G3</t>
  </si>
  <si>
    <t>6SG43AA</t>
  </si>
  <si>
    <t>HP Bulk 120x 320M Souris</t>
  </si>
  <si>
    <t>HP Bulk 120x Wired 320M souris</t>
  </si>
  <si>
    <t>9VA80A6</t>
  </si>
  <si>
    <t>HP 205 Tapis de souris</t>
  </si>
  <si>
    <t>HP 205 Sanitizable Desk Mat</t>
  </si>
  <si>
    <t>8X597AA</t>
  </si>
  <si>
    <t>Souris noir Filaire</t>
  </si>
  <si>
    <t>HP 125 Wired Mouse</t>
  </si>
  <si>
    <t>265A9UT</t>
  </si>
  <si>
    <t>Webcams</t>
  </si>
  <si>
    <t>Webcam HP 325</t>
  </si>
  <si>
    <t>HP 325</t>
  </si>
  <si>
    <t>53X27AA</t>
  </si>
  <si>
    <t>Webcam HP 625</t>
  </si>
  <si>
    <t>HP 625</t>
  </si>
  <si>
    <t>6Y7L1AA</t>
  </si>
  <si>
    <t>Hauts-parleurs. Microphones et Casques audio</t>
  </si>
  <si>
    <t>HP S101 barre de son pour EliteDisplay</t>
  </si>
  <si>
    <t>5UU40AA</t>
  </si>
  <si>
    <t>HP S100 barre de son pour Zdisplay</t>
  </si>
  <si>
    <t>32C42AA</t>
  </si>
  <si>
    <t xml:space="preserve">Casque Poly filaire Poly 3220 Stereo USB-C  + USB-C/A Adapter </t>
  </si>
  <si>
    <t xml:space="preserve">Poly filaire Poly 3220 Stereo USB-C  + USB-C/A </t>
  </si>
  <si>
    <t>8X228AA</t>
  </si>
  <si>
    <t xml:space="preserve">Casque Poly Filaire Mono - Blackwire 3310 - USB C/A </t>
  </si>
  <si>
    <t>Poly Blackwire 3310 Monaural USB-C Headset +USB-C/A Adapter</t>
  </si>
  <si>
    <t>8X216AA</t>
  </si>
  <si>
    <t>Casque Poly Filaire Stereo - Blackwire 3320 - USB C/A</t>
  </si>
  <si>
    <t>Poly Blackwire 3320 Stereo USB-C Headset +USB-C/A Adapter</t>
  </si>
  <si>
    <t>8X220AA</t>
  </si>
  <si>
    <t xml:space="preserve">Casque Poly Filaire Mono - Blackwire 3315-M usb A </t>
  </si>
  <si>
    <t>Blackwire 3315-M usb A</t>
  </si>
  <si>
    <t xml:space="preserve">8X218AA </t>
  </si>
  <si>
    <t xml:space="preserve">Casque Poly Filaire Blackwire 3325-M  usb C - Certifié Microsoft teams </t>
  </si>
  <si>
    <t>Blackwire 3325-M  usb-C</t>
  </si>
  <si>
    <t>8X222AA</t>
  </si>
  <si>
    <t xml:space="preserve">Casque Poly filaire 5220 Stereo  USB-C + jack 3.5mm + USB-C/A Adatper </t>
  </si>
  <si>
    <t xml:space="preserve">Poly filaire 5220 Stereo  USB-C  + USB-C/A  </t>
  </si>
  <si>
    <t>8X231AA</t>
  </si>
  <si>
    <t xml:space="preserve">Casque Poly Premium filaire Poly 8225 Stereo USB-C + USB-C/A adapter - ANC - Certifié Microsoft teams </t>
  </si>
  <si>
    <t xml:space="preserve">Poly Premium filaire Poly 8225 Stereo   Microsoft Team Certified USB-C + USB-C/A adapter - ANC </t>
  </si>
  <si>
    <t>8X225AA</t>
  </si>
  <si>
    <t xml:space="preserve">Casque Poly Sans Fil Mono - Voyager 4310 UC M - usb A - Certifié Microsoft teams </t>
  </si>
  <si>
    <t>Voyager 4310 UC M - usb A</t>
  </si>
  <si>
    <t xml:space="preserve"> 77Y91AA</t>
  </si>
  <si>
    <t xml:space="preserve">Casque Poly Sans fil - Voyager 4320 UC M - usb A - Certifié Microsoft teams </t>
  </si>
  <si>
    <t>Voyager 4320 UC M - usb A</t>
  </si>
  <si>
    <t>77Y98AA</t>
  </si>
  <si>
    <t xml:space="preserve">Casque Poly Sans fil - Voyager 4320 UC M - usb A avec station de recharge - Certifié Microsoft teams </t>
  </si>
  <si>
    <t>PLY V4320-M C USB-A CHRG STAND WW</t>
  </si>
  <si>
    <t>77Z00AA</t>
  </si>
  <si>
    <t xml:space="preserve">Casque Poly Premium Sans fil - Voyager Focus 2 - M usb A - Certifié Microsoft teams </t>
  </si>
  <si>
    <t>Voyager Focus 2 - M usb A</t>
  </si>
  <si>
    <t>9T9J4AA</t>
  </si>
  <si>
    <t xml:space="preserve">Casque Poly Premium Sans fil - Voyager Focus 2 - M usb A avec station de recharge - Certifié Microsoft teams </t>
  </si>
  <si>
    <t>PLY VFOCUS2-M C + CHRG STAND USB-A WW</t>
  </si>
  <si>
    <t>9T9J6AA</t>
  </si>
  <si>
    <t>Coussinet pour casque Poly Voyageur Focus 2</t>
  </si>
  <si>
    <t>Poly Voyager Focus 2 Leatherette Ear Cushions (2 Pieces)</t>
  </si>
  <si>
    <t>783R8AA</t>
  </si>
  <si>
    <t>Haut-parleur Poly intelligent Bluetooth - Sync 20-M usb C</t>
  </si>
  <si>
    <t>Sync 20-M usb C</t>
  </si>
  <si>
    <t>Haut-parleur Poly intelligent Bluetooth - Sync 40+-M usb A + Bt adaptateur</t>
  </si>
  <si>
    <t>SYNC 40+, SY40-M USB-A BT Adapter, WW</t>
  </si>
  <si>
    <t>77P36AA</t>
  </si>
  <si>
    <t>Haut Parleur + Webcam intégré Poly R30</t>
  </si>
  <si>
    <t xml:space="preserve">Poly Studio R30 </t>
  </si>
  <si>
    <t>842D2AA</t>
  </si>
  <si>
    <t>Filtres de confidentialité</t>
  </si>
  <si>
    <t>Filtre de confidentialité HP 13.3 pouces dalle 16:10</t>
  </si>
  <si>
    <t xml:space="preserve">Mobilis HP 13.3 NB Privacy Filter </t>
  </si>
  <si>
    <t>9U402E3</t>
  </si>
  <si>
    <t>Filtre de confidentialité HP 13.3 pouces pour dalle 16:9</t>
  </si>
  <si>
    <t>9U404E3</t>
  </si>
  <si>
    <t>Filtre de confidentialité HP Elite x360 1040 14 inch G11 2-in-1 Notebook PC  
Filtre de confidentialitéHP EliteBook 1040 14 inch G11 Notebook PC
Filtre de confidentialitéHP EliteBook 640 14 inch G11 Notebook PC
Filtre de confidentialitéHP EliteBook 8 G1i 14 inch Notebook Next Gen AI PC
Filtre de confidentialitéHP EliteBook 8 G1i 14 Notebook PC
Filtre de confidentialitéHP EliteBook 840 14 inch G11 Notebook PC
Filtre de confidentialitéHP EliteBook 845 14 inch G11 Notebook PC
Filtre de confidentialitéHP EliteBook X Flip G1i 14 inch Notebook Next Gen AI PC
Filtre de confidentialitéHP EliteBook X G1i 14 inch Notebook Next Gen AI PC</t>
  </si>
  <si>
    <t>BH0M6AA</t>
  </si>
  <si>
    <t>Filtre de confidentialité HP EliteBook 660 16 inch G11 Notebook PC
Filtre de confidentialité HP EliteBook 8 G1i 16 inch Notebook Next Gen AI PC
Filtre de confidentialité HP EliteBook 8 G1i 16 Notebook PC
Filtre de confidentialité HP EliteBook 860 16 inch G11 Notebook PC
Filtre de confidentialité HP EliteBook 865 16 inch G11 Notebook PC</t>
  </si>
  <si>
    <t>BH0M5AA</t>
  </si>
  <si>
    <t>Câble de sécurité</t>
  </si>
  <si>
    <t>Câble antivol HP Sure Key - compatible uniquement sur les stations d'accueil</t>
  </si>
  <si>
    <t>HP Sure Key Cable Lock</t>
  </si>
  <si>
    <t>6UW42AA</t>
  </si>
  <si>
    <t>Câble de verrouillage à clé HP Nano Master - compatible sur tous les portables du lot 2</t>
  </si>
  <si>
    <t>HP Nano MK Lock</t>
  </si>
  <si>
    <t>1AJ40AA</t>
  </si>
  <si>
    <t>HP Nano câble de sécurité - compatible sur tous les portables du lot 2</t>
  </si>
  <si>
    <t>HP Nano Lock</t>
  </si>
  <si>
    <t>1AJ39AA</t>
  </si>
  <si>
    <t>HP HP Essential Combination Lock - compatible uniquement sur les stations d'accueil</t>
  </si>
  <si>
    <t>HP Essential Combination Lock</t>
  </si>
  <si>
    <t>T0Y16AA</t>
  </si>
  <si>
    <t>Moniteurs</t>
  </si>
  <si>
    <t>HP 738pu incurvé 37,5" WQHD 3840 × 1600 - 1 TB4 + 4 USBC + 1 HDMI + 1 DP + 1 RJ45</t>
  </si>
  <si>
    <t xml:space="preserve">HP 738pu WQHD+ Garantie 5 ans sur site en J+1 </t>
  </si>
  <si>
    <t>815107 / 8K167AA</t>
  </si>
  <si>
    <t>HP 732pk 31,5" UHD 4K 3840 x 2160 - 1 TB4 + 1 HDMI + 1 DP in and out</t>
  </si>
  <si>
    <t>HP 732pk UHD 4K Garantie 5 ans sur site en J+1</t>
  </si>
  <si>
    <t xml:space="preserve"> 815109 / 8Y2K9AA</t>
  </si>
  <si>
    <t xml:space="preserve">HP 727pq 27" QHD 2560 x 1440 - 1 HDMI + 1 DP in and out + 1 USBC </t>
  </si>
  <si>
    <t>HP 727pq  QHD Garantie 5 ans sur site en J+1</t>
  </si>
  <si>
    <t xml:space="preserve">8J4D8AA / 8J4D8UT </t>
  </si>
  <si>
    <t>HP 527pq  QHD  2560 x 1440  1 DP + 1 HDMI + 4 USB- A +1 USB-B -Produit disponible a partir de Septembre 2024</t>
  </si>
  <si>
    <t xml:space="preserve">HP 527pq QHD  Garantie 5 ans </t>
  </si>
  <si>
    <t>9D9S0AA / 9D9S0UT</t>
  </si>
  <si>
    <t>HP E27 G5 27" -  Full HD 1920 x 1080  -  1 DP + 1 HDMI + 1 VGA + 5 USB</t>
  </si>
  <si>
    <t>HP E27 G5 FHD Moniteur Garantie 5 ans sur site en J+1</t>
  </si>
  <si>
    <t>815092 / 6N4E2AA</t>
  </si>
  <si>
    <t>HP 524pn -WUXGA 1920 x 1200 - 1DP + 1 HDMI + 4 USB-A +1 USB-B- Produit disponible à partir de septembre 2024</t>
  </si>
  <si>
    <t>HP 524pn Garantie 5 ans sur site en J+1</t>
  </si>
  <si>
    <t>9D9A7AA / 9D9A7UT </t>
  </si>
  <si>
    <t>HP 524pf Full HD 1920 x 1200 - 1 DP + 1 HDMI + 4 USB-A + 1 USB-B Produit disponible a partir de septembre 2024</t>
  </si>
  <si>
    <t>HP 524pf Garantie 5 ans sur site en J+1</t>
  </si>
  <si>
    <t>9D9L6AA / 9D9L6UT </t>
  </si>
  <si>
    <t>HP E22 G5 21,5'' - Full HD 1920 x 1080  -  1 DP + 1 HDMI + 1 VGA + 1 USB-C + 4 USB-A</t>
  </si>
  <si>
    <t>MNTR HP E22 G5 FHD Garantie 5 ans sur site en J+1</t>
  </si>
  <si>
    <t>815096 / 6N4E8AA</t>
  </si>
  <si>
    <t>Moniteurs avancés (multimédia, station d'accueil ...) Maximum 50 pouces</t>
  </si>
  <si>
    <t xml:space="preserve">HP E45c G5  incurvé 44,5" Dual QHD 5120x1440 - 1xHDMI + 1 DP + 1RJ45 +2 USBC + 4 USB </t>
  </si>
  <si>
    <t>HP E45C G5 + garantie 5 ans sur site J+1</t>
  </si>
  <si>
    <t>TBC / 6N4C1AA</t>
  </si>
  <si>
    <t>HP 527pm G5 QHD 2560 x 1440 1 USB-C(DP1.4 Alt mode ,100W PD ) 1 USB-C + 1DP + 4 USB + 1 RJ 45  - Produit disponible à partir de janvier 2025</t>
  </si>
  <si>
    <t>HP 527pm G5 Moniteur Garantie 5ans sur site en J+1</t>
  </si>
  <si>
    <t>9E0Y9AA / 9E0Y9UT</t>
  </si>
  <si>
    <t xml:space="preserve">Ecran Multimédia HP Elite E24mv G4 23,8" - Full HD 1920 x 1080  -  1 DP + 1 HDMI + 1 VGA </t>
  </si>
  <si>
    <t>HP Écran Elite E24mv G4 Moniteur Garantie 5 ans sur site en J+1</t>
  </si>
  <si>
    <t xml:space="preserve">815082 / 169L0AA </t>
  </si>
  <si>
    <t>HP 524pm  G5 Full HD 1920 x 1080  - 1x USB-C(DP1.4 Alt mode ,100W PD )+ 1 DP + 1 HDMI + 1 RJ45 + 4 USB + 1 USB-C -Produit disponible à partir de janvier 2025</t>
  </si>
  <si>
    <t xml:space="preserve">HP 524pm G5 Moniteur  Garantie 5 ans sur site en J+1 </t>
  </si>
  <si>
    <t>9E0G9AA / 9E0G9UT </t>
  </si>
  <si>
    <t>Ecran tactile HP E24t G5  23,8" - Full HD 1920 x 1080  -  1 DP + 1 HDMI + 1 VGA + 5 USB</t>
  </si>
  <si>
    <t>MNTR HP E24t G5 FHD Touch Garantie 5 ans sur site en J+1</t>
  </si>
  <si>
    <t>815098 / 6N6E6AA</t>
  </si>
  <si>
    <t>815099 / 64W41AA</t>
  </si>
  <si>
    <t>Supports de fixation, multi-écrans et bras articulés</t>
  </si>
  <si>
    <t>Support de montage ordinateur B550 ( Pour écran 732pk)</t>
  </si>
  <si>
    <t>HP B550 Z Display PC Mounting Bracket</t>
  </si>
  <si>
    <t>16U00AA</t>
  </si>
  <si>
    <t>Support de montage  ordinateurs B560 (pour écrans :   738 pu, 727 pq et serie E G5)</t>
  </si>
  <si>
    <t>HP B560 E Display PC Mounting Bracket</t>
  </si>
  <si>
    <t>763U8AA</t>
  </si>
  <si>
    <t>Support de montage pour écran HP P Display (pour écrans P27h G5, P24h G5 et P22h G5)</t>
  </si>
  <si>
    <t>HP B200 E Display PC Mounting Bracket</t>
  </si>
  <si>
    <t>762T5AA</t>
  </si>
  <si>
    <t>Support de montage   ordinateurs HP B300 ( Uniquement pour   les E24m G4, E27m G4 et E24mv G4 )</t>
  </si>
  <si>
    <t>HP B300 PC Mounting Bracket</t>
  </si>
  <si>
    <t>2DW53AA</t>
    <phoneticPr fontId="0" type="noConversion"/>
  </si>
  <si>
    <t>Support de montage   ordinateurs B600</t>
  </si>
  <si>
    <t>HP B500/600 PC Mounting Bracket</t>
  </si>
  <si>
    <t>529H3AA</t>
  </si>
  <si>
    <t>Bras pour écran HP simple</t>
  </si>
  <si>
    <t>HP Single Monitor Arm</t>
  </si>
  <si>
    <t>762U0AA</t>
  </si>
  <si>
    <t>Support de montage pour ordinateurs HP B250 - écrans P - Produit obsolète à partir de décembre 2024</t>
  </si>
  <si>
    <t>HP B250 PC Mounting Bracket</t>
  </si>
  <si>
    <t>8RA46AA</t>
  </si>
  <si>
    <t xml:space="preserve">Station d'accueil </t>
  </si>
  <si>
    <t>Station d'accueil HP Thunderbolt 120 W G4</t>
  </si>
  <si>
    <t>HP Thunderbolt Dock 120W G4</t>
  </si>
  <si>
    <t>4J0A2AA / 482533</t>
  </si>
  <si>
    <t>Station d'accueil HP USB-C Dock G5</t>
  </si>
  <si>
    <t xml:space="preserve">HP USB-C Dock G5 EURO </t>
  </si>
  <si>
    <t>5TW10AA / 482532</t>
  </si>
  <si>
    <t>Station d'accueil universelle HP USB-C/A G2</t>
  </si>
  <si>
    <t xml:space="preserve">HP USB-C/A Universal Dock G2 </t>
  </si>
  <si>
    <t>5TW13AA / 482535</t>
  </si>
  <si>
    <t>Station d'accueil mini USB-C</t>
  </si>
  <si>
    <t>HP Universal USB-C Multiport Hub</t>
  </si>
  <si>
    <t>50H55UT / TBC</t>
  </si>
  <si>
    <t>Adaptateurs et câbles vidéo</t>
  </si>
  <si>
    <t>Adaptateur USB-C vers VGA</t>
  </si>
  <si>
    <t>HP USB-C to VGA Adapter</t>
  </si>
  <si>
    <t>N9K76AA</t>
  </si>
  <si>
    <t>Adaptateur USB-C vers USB 3.0</t>
  </si>
  <si>
    <t>HP USB-C to USB 3.0 Adapter</t>
  </si>
  <si>
    <t>N2Z63AA</t>
  </si>
  <si>
    <t>Adaptateur DisplayPort  vers HDMI True 4K</t>
  </si>
  <si>
    <t>HP DisplayPort To HDMI True 4k Adapter</t>
  </si>
  <si>
    <t>2JA63AA</t>
  </si>
  <si>
    <t>Adaptateur DisplayPort vers VGA</t>
  </si>
  <si>
    <t>HP DisplayPort To VGA Adapter</t>
  </si>
  <si>
    <t>AS615AA</t>
  </si>
  <si>
    <t>Adaptateur DisplayPort vers DVI-D</t>
  </si>
  <si>
    <t>HP DisplayPort To DVI-D Adapter</t>
  </si>
  <si>
    <t>FH973AA</t>
  </si>
  <si>
    <t>Adaptateur HP USB-C vers HDMI 2.0</t>
  </si>
  <si>
    <t>HP USB-C to HDMI 2.0 Adapter</t>
  </si>
  <si>
    <t>1WC36AA</t>
  </si>
  <si>
    <t>Adaptateur USB-C vers  DisplayPort</t>
  </si>
  <si>
    <t>HP USB-C to DisplayPort Adapter G2</t>
  </si>
  <si>
    <t>8Y8Y1AA</t>
  </si>
  <si>
    <t>Hub HP USB-C to USB-A</t>
  </si>
  <si>
    <t>HP USB-C to USB-A Hub</t>
  </si>
  <si>
    <t>Z6A00AA</t>
  </si>
  <si>
    <t>Station d'accueil HP USB-C Travel Hub G3</t>
  </si>
  <si>
    <t>HP USB-C Travel Hub G3</t>
  </si>
  <si>
    <t>86S97UT</t>
  </si>
  <si>
    <t>Adaptateur HP HDMI vers VGA</t>
  </si>
  <si>
    <t>HP HDMI to VGA Adapter</t>
  </si>
  <si>
    <t xml:space="preserve">H4F02AA </t>
  </si>
  <si>
    <t>Adaptateur HP Display Port vers VGA</t>
  </si>
  <si>
    <t>HP Display Port to VGA Adapter</t>
  </si>
  <si>
    <t>F7W97AA</t>
  </si>
  <si>
    <t>Adaptateur HP DP vers HDMI 1.4</t>
  </si>
  <si>
    <t>HP DP to HDMI 1.4 Adapter</t>
  </si>
  <si>
    <t>F3W43AA</t>
  </si>
  <si>
    <t>Adaptateur HP Display Port vers DVI SL</t>
  </si>
  <si>
    <t>HP Display Port to DVI SL Adapter</t>
  </si>
  <si>
    <t>F7W96AA</t>
  </si>
  <si>
    <t xml:space="preserve">Câble HP USB-C to USB-C 100W </t>
  </si>
  <si>
    <t>HP USB-C to USB-C 100W Cable</t>
  </si>
  <si>
    <t>5AR72AA</t>
  </si>
  <si>
    <t>Câble Display Port Mâle vers Display Port Mâle - 2 mètres</t>
  </si>
  <si>
    <t>HP DisplayPort Cable Kit</t>
  </si>
  <si>
    <t>VN567AA</t>
  </si>
  <si>
    <t>Câble HDMI Mâle vers HDMI Mâle - 1,8 mètre</t>
  </si>
  <si>
    <t>HP HDMI Standard Cable Kit</t>
  </si>
  <si>
    <t>T6F94AA</t>
  </si>
  <si>
    <t>Adaptateurs et câbles réseau</t>
  </si>
  <si>
    <t>Adaptateur HP USB-C vers RJ45 G2</t>
  </si>
  <si>
    <t>HP USB-C to RJ45 Adapter</t>
  </si>
  <si>
    <t>4Z527AA</t>
  </si>
  <si>
    <t>Adaptateur HP USB 3.0 to Gigabit</t>
  </si>
  <si>
    <t>HP USB 3.0 to Gigabit Adapter</t>
  </si>
  <si>
    <t>4Z7Z7AA</t>
  </si>
  <si>
    <t xml:space="preserve">Adaptateurs mobilité et chargeurs </t>
  </si>
  <si>
    <t xml:space="preserve">Adaptateur intelligent 90 Watt </t>
  </si>
  <si>
    <t xml:space="preserve">HP 90W Smart AC Adapter </t>
  </si>
  <si>
    <t>H6Y90AA</t>
  </si>
  <si>
    <t xml:space="preserve">Adaptateur secteur USB-C 65 Watt </t>
  </si>
  <si>
    <t xml:space="preserve">HP 65W USB-C Power Adapter </t>
  </si>
  <si>
    <t>671R3UT</t>
  </si>
  <si>
    <t>Adaptateur secteur intelligent 65 Watt</t>
  </si>
  <si>
    <t xml:space="preserve">HP 65W Smart AC Adapter </t>
  </si>
  <si>
    <t>H6Y89AA</t>
  </si>
  <si>
    <t>Adaptateur voyage  USB-C 65 Watt</t>
  </si>
  <si>
    <t xml:space="preserve">HP 65W USB-C Slim Power Adapter </t>
  </si>
  <si>
    <t>600Q8UT</t>
  </si>
  <si>
    <t>Adaptateur secteur USB-C - 65 Watt</t>
  </si>
  <si>
    <t>1P3K6AA</t>
  </si>
  <si>
    <t>Adaptateur secteur USB-C - 110 Watt</t>
  </si>
  <si>
    <t>HP USB-C 110W Laptop Charger</t>
  </si>
  <si>
    <t>8B3Y2UT</t>
  </si>
  <si>
    <t>Sacs de transport (housses. sacoches ...)</t>
  </si>
  <si>
    <t xml:space="preserve">Sacoche HP Prelude 15.6 pouces </t>
  </si>
  <si>
    <t xml:space="preserve">HP Prelude 15.6 Top Load </t>
  </si>
  <si>
    <t>1E7D7AA</t>
  </si>
  <si>
    <t>Sacoche HP Prelude 15.6 pouces Bulk 20 unités</t>
  </si>
  <si>
    <t>HP Prelude 15.6 Top Load</t>
  </si>
  <si>
    <t>1E7D7A6</t>
  </si>
  <si>
    <t>Sac à dos HP Prelude 15,6 pouces</t>
  </si>
  <si>
    <t xml:space="preserve">HP Prelude 15.6 Backpack </t>
  </si>
  <si>
    <t>1E7D6UT</t>
  </si>
  <si>
    <t>Sac à dos HP Prelude 15.6 pouces Bulk 15 unités</t>
  </si>
  <si>
    <t>1E7D6A6</t>
  </si>
  <si>
    <t>Sacoche HP Renew Executive 16 pouces</t>
  </si>
  <si>
    <t>HP Renew Executive 16 Laptop Bag</t>
  </si>
  <si>
    <t>6B8Y2AA</t>
  </si>
  <si>
    <t>Sacoche HP Prelude Pro Recycled 15,6 pouces</t>
  </si>
  <si>
    <t xml:space="preserve">HP Prelude Pro Recycle Top Load </t>
  </si>
  <si>
    <t>1X645AA</t>
  </si>
  <si>
    <t>Sac à dos HP Prelude Pro Recycled 15,6 pouces</t>
  </si>
  <si>
    <t xml:space="preserve">HP Prelude Pro Recycle Backpack </t>
  </si>
  <si>
    <t>1X644AA</t>
  </si>
  <si>
    <t>Housse de protection réversible HP 14,1 pouces, coloris argent</t>
  </si>
  <si>
    <t>HP 14 ReversP Blk/Slv Sleeve</t>
  </si>
  <si>
    <t xml:space="preserve">2F2J1AA </t>
  </si>
  <si>
    <t>Housse de protection HP Renew Business 14,1 pouces</t>
  </si>
  <si>
    <t>HP Rnw Business 14.1 Laptop Slv</t>
  </si>
  <si>
    <t>3E2U7AA</t>
  </si>
  <si>
    <t>Sacoche HP Renew Business 14,1 pouces</t>
  </si>
  <si>
    <t xml:space="preserve">HP 14.1 Business Slim Top Load </t>
  </si>
  <si>
    <t>3E5F9AA</t>
  </si>
  <si>
    <t>Housse de protection HP Renew Executive 14,1 pouces</t>
  </si>
  <si>
    <t>HP Renew Executive 14.1 Laptop Sleeve</t>
  </si>
  <si>
    <t>6B8Y3AA</t>
  </si>
  <si>
    <t>Sac à dos HP Renew Executive 16 pouces</t>
  </si>
  <si>
    <t>HP Renew Executive 16 Laptop Backpack</t>
  </si>
  <si>
    <t>6B8Y1UT</t>
  </si>
  <si>
    <t xml:space="preserve">Sac à dos HP Prelude 15.6 pouces gris foncé BULK 12 </t>
  </si>
  <si>
    <t xml:space="preserve">HP Prelude Pro Recycle Backpack BULK 12 </t>
  </si>
  <si>
    <t>1X644A6</t>
  </si>
  <si>
    <t xml:space="preserve">Sacoche HP Prelude 15.6 pouces gris foncé BULK 12 </t>
  </si>
  <si>
    <t xml:space="preserve">HP Prelude Pro Recycle Top Load BULK 12 </t>
  </si>
  <si>
    <t>1X645A6</t>
  </si>
  <si>
    <t>Sacoche HP Renew Business 15.6pouces</t>
  </si>
  <si>
    <t>HP Renew Business 15.6 Laptop Bag</t>
  </si>
  <si>
    <t>3E5F8AA</t>
  </si>
  <si>
    <t xml:space="preserve">€   17.00 </t>
  </si>
  <si>
    <t>Sac à dos HP Travel 25L 15.6 pouces</t>
  </si>
  <si>
    <t>HP Travel 25 Liter 15.6 Iron Gray Laptop Backpack</t>
  </si>
  <si>
    <t>6H2D8AA</t>
  </si>
  <si>
    <t xml:space="preserve">€   24.00 </t>
  </si>
  <si>
    <t>Sac à dos HP Travel 18L 15.6 pouces</t>
  </si>
  <si>
    <t>HP Travel 18 Liter 15.6 Iron Gray Laptop Backpack</t>
  </si>
  <si>
    <t>6H2D9AA</t>
  </si>
  <si>
    <t xml:space="preserve">€   14.00 </t>
  </si>
  <si>
    <t>Sac à dos convertible totebag 14 pouces</t>
  </si>
  <si>
    <t>HP 14 Convertible Laptop Backpack Tote</t>
  </si>
  <si>
    <t>9C2H1AA</t>
  </si>
  <si>
    <t xml:space="preserve">€   32.00 </t>
  </si>
  <si>
    <t>Sac à dos HP Modular 15.6 pouces</t>
  </si>
  <si>
    <t>HP 15.6 Modular Laptop Backpack</t>
  </si>
  <si>
    <t>9J496AA</t>
  </si>
  <si>
    <t xml:space="preserve">€   46.00 </t>
  </si>
  <si>
    <t>Sacoche HP Modular 15.6 pouces</t>
  </si>
  <si>
    <t>HP 15.6 Modular Laptop Bag</t>
  </si>
  <si>
    <t>9J497AA</t>
  </si>
  <si>
    <t xml:space="preserve">€   37.00 </t>
  </si>
  <si>
    <t>Housse de protection HP Modular 15.6 pouces</t>
  </si>
  <si>
    <t>HP 15.6 Modular Laptop Sleeve</t>
  </si>
  <si>
    <t>9J498AA</t>
  </si>
  <si>
    <t xml:space="preserve">€   12.00 </t>
  </si>
  <si>
    <t>Housse de protection HP Modular 14 pouces</t>
  </si>
  <si>
    <t>HP 14 Modular Laptop Sleeve</t>
  </si>
  <si>
    <t>9J499AA</t>
  </si>
  <si>
    <t>Malette HP Everyday 14 pouces</t>
  </si>
  <si>
    <t>HP Everyday 14 Odyssey Gray Laptop Briefcase</t>
  </si>
  <si>
    <t>A08KGAA</t>
  </si>
  <si>
    <t xml:space="preserve">€   10.00 </t>
  </si>
  <si>
    <t>Malette HP Everyday 16 pouces</t>
  </si>
  <si>
    <t>HP Everyday 16 Odyssey Gray Laptop Briefcase</t>
  </si>
  <si>
    <t>A08KHUT</t>
  </si>
  <si>
    <t>Sacoche HP Everyday 14 pouces</t>
  </si>
  <si>
    <t>HP Everyday 14 Odyssey Gray Laptop Bag</t>
  </si>
  <si>
    <t>A08KJAA</t>
  </si>
  <si>
    <t>Sacoche HP Everyday 16 pouces</t>
  </si>
  <si>
    <t>HP Everyday 16 Odyssey Gray Laptop Bag</t>
  </si>
  <si>
    <t>A08KKAA</t>
  </si>
  <si>
    <t>Sac à dos HP Everyday 16 pouces</t>
  </si>
  <si>
    <t>HP Everyday 16 Odyssey Gray Laptop Backpack</t>
  </si>
  <si>
    <t>A08KLUT</t>
  </si>
  <si>
    <t>Sac à dos HP Travel Plus 30L 17 pouces</t>
  </si>
  <si>
    <t>HP Travel Plus 30 Liter 17 Laptop Backpack</t>
  </si>
  <si>
    <t>A2CE0AA</t>
  </si>
  <si>
    <t>Sacoche HP Travel Plus 22L 16 pouces</t>
  </si>
  <si>
    <t>HP Travel Plus 22 Liter 16 Laptop Bag</t>
  </si>
  <si>
    <t>A2CE1AA</t>
  </si>
  <si>
    <t xml:space="preserve">€   26.00 </t>
  </si>
  <si>
    <t>Sacoche HP Travel Plus 15L 14 pouces</t>
  </si>
  <si>
    <t>HP Travel Plus 15 Liter 14 Laptop Bag</t>
  </si>
  <si>
    <t>A2CE2AA</t>
  </si>
  <si>
    <t>Chariot de stockage/recharge</t>
  </si>
  <si>
    <t>Classe mobile de charge et gestion ZIP40</t>
  </si>
  <si>
    <t>3PO-C ErgoZip40 Charging and Mngt CartEU</t>
  </si>
  <si>
    <t>8RB61AA</t>
  </si>
  <si>
    <t>Prestations de marquage et étiquetage (Gravure. Etiquetage. Rapports. Marquage Antivol. …)</t>
  </si>
  <si>
    <t>Service d'étiquetage des actifs HP PC BIOS (HP PC BIOS Asset Tagging Service)</t>
  </si>
  <si>
    <t>HP PC BIOS Asset Tagging Service</t>
  </si>
  <si>
    <t>AY109AV</t>
  </si>
  <si>
    <t>Service d’étiquetage standardisé - Option 2 (Numéro commande Client ; Date fin de garantie ; Numéro de série ; MAC Address 1 ; MAC Address 2)</t>
  </si>
  <si>
    <t>HP Standard Asset Tagging Service</t>
  </si>
  <si>
    <t>AY111AV</t>
  </si>
  <si>
    <t>Service d’étiquetage personnalisé - Option 3</t>
  </si>
  <si>
    <t>Service d’étiquetage des actifs avec étiquettes fournies par les clients (Asset tag customer supplied)</t>
  </si>
  <si>
    <t>HP Customer-Supplied Asset Tagging SVC</t>
  </si>
  <si>
    <t>AY112AV</t>
  </si>
  <si>
    <t xml:space="preserve">Service de marquage de sécurité prédéfini HP (Asset tag security) : marquage antivol pré-défini réalisé par https://stoptrack.com/ </t>
  </si>
  <si>
    <t>HP Security Tagging Service</t>
  </si>
  <si>
    <t>AY131AV</t>
  </si>
  <si>
    <t>Service de marquage de sécurité personnalisé HP (Asset tag custom security)</t>
  </si>
  <si>
    <t>HP Custom Security Tagging Service</t>
  </si>
  <si>
    <t>AY114AV</t>
  </si>
  <si>
    <t>Service de marquage Chassis SN+MAC1+UUID</t>
  </si>
  <si>
    <t>HP Chassis Tagging SN+MAC1+UUID service</t>
  </si>
  <si>
    <t>AY128AV + YT924AV</t>
  </si>
  <si>
    <t>Service de marquage Chassis SN+MAC1+MAC2 service</t>
  </si>
  <si>
    <t>HP Chassis Tagging SN+MAC1+MAC2 service</t>
  </si>
  <si>
    <t>AY129AV + YT925AV</t>
  </si>
  <si>
    <t>Service de marquage emballage SN+MAC1+MAC2+UUID SVC</t>
  </si>
  <si>
    <t>HP Packaging Tag SN+MAC1+MAC2+UUID SVC</t>
  </si>
  <si>
    <t>AY130AV + YT926AV</t>
  </si>
  <si>
    <t>Service d’étiquetage socredard  (voir 6.1.12 QS)</t>
  </si>
  <si>
    <t>HP Socredard Asset Tagging Service</t>
  </si>
  <si>
    <t>MAT230</t>
  </si>
  <si>
    <t xml:space="preserve">Service de gravure logo UV Printing </t>
  </si>
  <si>
    <t xml:space="preserve">Gravure Logo UV Printing </t>
  </si>
  <si>
    <t>AY158AV</t>
  </si>
  <si>
    <t>Prestations de gestion des emballages (évacuation et recyclage hors site de l'établissement...)</t>
  </si>
  <si>
    <t>HP Standalone Recycling 5-20units</t>
  </si>
  <si>
    <t>4WB13AA</t>
  </si>
  <si>
    <t>HP Standalone Recycling 21+units</t>
  </si>
  <si>
    <t>3AZ77AA</t>
  </si>
  <si>
    <t>HP Unpack &amp; Waste Removal</t>
  </si>
  <si>
    <t>W9G29AA</t>
  </si>
  <si>
    <t>Prestations transfert de données utilisateurs (transfert de données, destruction des disques dur, …)</t>
  </si>
  <si>
    <t xml:space="preserve">Service de destruction de données sur site de 5 à 20 unités </t>
  </si>
  <si>
    <t>HP Onsite Data Destruction 5-20units</t>
  </si>
  <si>
    <t>MAT106</t>
  </si>
  <si>
    <t xml:space="preserve">Service de destruction de données sur site plus de 21 unités </t>
  </si>
  <si>
    <t>HP Onsite Data Destruction 21+units</t>
  </si>
  <si>
    <t>MAT107</t>
  </si>
  <si>
    <t>Nettoyage des données sur site 5-20 unités</t>
  </si>
  <si>
    <t>HP Onsite Data Wipe 5-20 units</t>
  </si>
  <si>
    <t>MAT108</t>
  </si>
  <si>
    <t>Nettoyage des données sur site 21+ unités</t>
  </si>
  <si>
    <t>HP Onsite Data Wipe 21+ units</t>
  </si>
  <si>
    <t>MAT109</t>
  </si>
  <si>
    <t>Prestations de préparation des matériels en usine (bios, partitionnement, gestion des images d'OS, …)</t>
  </si>
  <si>
    <t>Service de chargement et modification d’image PC</t>
  </si>
  <si>
    <t>HP Imaging Service</t>
  </si>
  <si>
    <t>AY307AV</t>
  </si>
  <si>
    <t>HP Backup Media Design + Replication Svc</t>
  </si>
  <si>
    <t>AY107AV</t>
  </si>
  <si>
    <t>Service de construction et chargement d’image PC</t>
  </si>
  <si>
    <t>HP Advanced Imaging Service</t>
  </si>
  <si>
    <t>AY802AV</t>
  </si>
  <si>
    <t>Installation d’applications logicielles sur une image PC</t>
  </si>
  <si>
    <t>Application &amp; Package Installation Service</t>
  </si>
  <si>
    <t>AY709AV</t>
  </si>
  <si>
    <t>Service de paramètres BIOS (PC BIOS setting)</t>
  </si>
  <si>
    <t>HP PC BIOS Settings Service</t>
  </si>
  <si>
    <t>AY103AV</t>
  </si>
  <si>
    <t>Configuration et personnalisation de Intel® vPro®</t>
  </si>
  <si>
    <t>HP Intel vPro Setup + Configuration Svc</t>
  </si>
  <si>
    <t>AY106AV</t>
  </si>
  <si>
    <t>Service de contrôle de révision du BIOS (BIOS revision control)</t>
  </si>
  <si>
    <t>HP PC BIOS Revision Control Service</t>
  </si>
  <si>
    <t>AY108AV</t>
  </si>
  <si>
    <t>Inclusion du logo Client dans le BIOS (Customer logo bios settings)</t>
  </si>
  <si>
    <t>HP Custom Logo at Boot Service</t>
  </si>
  <si>
    <t>AY122AV</t>
  </si>
  <si>
    <t>Service d'intégration de produits dans le PC</t>
  </si>
  <si>
    <t xml:space="preserve">Hardware Integration and Management Service </t>
  </si>
  <si>
    <t>AY225AV</t>
  </si>
  <si>
    <t xml:space="preserve">Service d'intégration d'accessoires dans le carton </t>
  </si>
  <si>
    <t>HP Drop-in PC Packaging Service</t>
  </si>
  <si>
    <t>AY115AV</t>
  </si>
  <si>
    <t xml:space="preserve">Chargement de l'image Linux Ubuntu version 22.04 pour les plateformes certifiées </t>
  </si>
  <si>
    <t>Chargement de l'image Linux Ubuntu 22.04</t>
  </si>
  <si>
    <t xml:space="preserve">AY802AV </t>
  </si>
  <si>
    <t>Enregistrement du matériel (Device registration)</t>
  </si>
  <si>
    <t>Enregistrement des appareils avec le profil défini Intune du Client et gestion des Group Tag (enregistrement autopilot)</t>
  </si>
  <si>
    <t>AY777AV</t>
  </si>
  <si>
    <t>Support avec engagement</t>
  </si>
  <si>
    <t>Service de support d'assistance matérielle sur site avec engagement de délai de réparation pour différents besoins (ici 2 jours ouvrables max)</t>
  </si>
  <si>
    <t>HP 5y CTR 2BD Laptop High with Monitor (AN)</t>
  </si>
  <si>
    <t>MAT250</t>
  </si>
  <si>
    <t>HP 5y CTR 2BD Laptop Low with Monitor (6U)</t>
  </si>
  <si>
    <t>MAT251</t>
  </si>
  <si>
    <t>Collecte. logistique. audit. nettoyage certifié des données et traitement des équipements. avec un minimum de 60 unités par collecte (par unité) ET 20% de moniteurs par lot</t>
  </si>
  <si>
    <t>HP 5y Device Recovery Service</t>
  </si>
  <si>
    <t>MAT252</t>
  </si>
  <si>
    <t>Prestations d'installation physique (vérification de l'état des composants. déballage. installation. connexion réseau. contrôle du bon démarrage...)</t>
  </si>
  <si>
    <t>Déploiement sur site (plus de 10 équipements par jour sur un même site)
sans remplacement des anciens matériels et sans configuration des unités</t>
  </si>
  <si>
    <t>HP Deployment Services</t>
  </si>
  <si>
    <t>U49CTZ</t>
  </si>
  <si>
    <t>Extension de durée de 15 mn (prise en main du nouvel équipement, temps additionnel  requête supplémentaire)</t>
  </si>
  <si>
    <t>U49CVZ</t>
  </si>
  <si>
    <t>Extension de durée de 30 mn (transfer de données, temps additionel  requête supplémentaire)</t>
  </si>
  <si>
    <t>U49CWZ</t>
  </si>
  <si>
    <t>Prestations d'installation logicielle (préparation du support. installation système exploitations. vérification clé. pilotes. tests des fonctionnalités...)</t>
  </si>
  <si>
    <t>IMACD for activities with PCs (moins de 10 équipements par jour sur un même site)</t>
  </si>
  <si>
    <t>MAT234</t>
  </si>
  <si>
    <t>Extension de durée de 15 mn (temps additionel pour requête supplémentaire)</t>
  </si>
  <si>
    <t>MAT235</t>
  </si>
  <si>
    <t>Extension de durée de 30 mn (temps additionel pour requête supplémentaire)</t>
  </si>
  <si>
    <t>MAT236</t>
  </si>
  <si>
    <t>Autres prestations de services spécifiques (Coût journée : Chef de projet. Technicien de déploiement. …)</t>
  </si>
  <si>
    <t xml:space="preserve">Atelier de 2 heures par jour sur 6 jours pour l'analyse et usage de Personae. et de préparation à la conduite de changement pour création d’images. de conception et de planification de l'intégration </t>
  </si>
  <si>
    <t>HP Atelier de planification DDI (Discovery. Design and Integration</t>
  </si>
  <si>
    <t>MAT238</t>
  </si>
  <si>
    <t>Service de gestion des expériences numériques (Digital Experience) des employés. avec la technologie de Nexthink pour l’amélioration de ces expériences basé sur un projet d'implémentation de 5 000 à 10 000 équipements (prix par unité. par mois).</t>
  </si>
  <si>
    <t>HP Digital eXperience (HP DX) - 5k/10k devices</t>
  </si>
  <si>
    <t>MAT239</t>
  </si>
  <si>
    <t>Service de gestion des expériences numériques (Digital Experience) des employés. avec la technologie de Nexthink pour l’amélioration de ces expériences basé sur un projet d'implémentation de 10 000 à 15 000 équipements (prix par unité. par mois).</t>
  </si>
  <si>
    <t>HP Digital eXperience (HP DX) - 10k/15k devices</t>
  </si>
  <si>
    <t>MAT240</t>
  </si>
  <si>
    <t>Service de gestion des expériences numériques (Digital Experience) des employés. avec la technologie de Nexthink pour l’amélioration de ces expériences basé sur un projet d'implémentation de 15 000 à 20 000 équipements (prix par unité. par mois).</t>
  </si>
  <si>
    <t>HP Digital eXperience (HP DX) - 15k/20k devices</t>
  </si>
  <si>
    <t>MAT241</t>
  </si>
  <si>
    <t>Service de gestion des expériences numériques (Digital Experience) des employés. avec la technologie de Nexthink pour l’amélioration de ces expériences basé sur un projet d'implémentation de plus de 20 000 équipements (prix par unité. par mois).</t>
  </si>
  <si>
    <t>HP Digital eXperience (HP DX) - 20k+</t>
  </si>
  <si>
    <t>MAT242</t>
  </si>
  <si>
    <t>Solution certifiée de suppression de données sous license YouWipe. Licence annuelle par equipement. avec usage illimitépour un volume d'equipement entre 500 et 1 000.</t>
  </si>
  <si>
    <t>YouWipe Data erasure Premium edition 500/1k</t>
  </si>
  <si>
    <t>MAT243</t>
  </si>
  <si>
    <t>Solution certifiée de suppression de données sous license YouWipe. avec usage illimité (par unité). Le prix fourni est par équipements. par an et pour un volume entre 1 000 et 5 000.</t>
  </si>
  <si>
    <t>YouWipe Data erasure Premium edition 1k/5k</t>
  </si>
  <si>
    <t>MAT244</t>
  </si>
  <si>
    <t>Solution certifiée de suppression de données sous license YouWipe. avec usage illimité (par unité). Le prix fourni est par équipements. par an et pour un volume entre 5 000 et 10 000.</t>
  </si>
  <si>
    <t>YouWipe Data erasure Premium edition 5k/10k</t>
  </si>
  <si>
    <t>MAT245</t>
  </si>
  <si>
    <t>Solution certifiée de suppression de données sous license YouWipe. avec usage illimité (par unité). Le prix fourni est par équipements. par an et pour un volume entre 10 000 et 25 000.</t>
  </si>
  <si>
    <t>YouWipe Data erasure Premium edition 10k/25k</t>
  </si>
  <si>
    <t>MAT246</t>
  </si>
  <si>
    <t>Solution certifiée de suppression de données sous license YouWipe. avec usage illimité (par unité). Le prix fourni est par équipements. par an et pour un volume entre 25 000 et 50 000.</t>
  </si>
  <si>
    <t>YouWipe Data erasure Premium edition 25k/50k</t>
  </si>
  <si>
    <t>MAT247</t>
  </si>
  <si>
    <t>Service de configuration dynamique (voir 6.1.10 QS)</t>
  </si>
  <si>
    <t>HP Dynamic Configuration Service</t>
  </si>
  <si>
    <t>AY150AV</t>
  </si>
  <si>
    <t>Service optionnel de stockage pour les établissements :  en mode super express  (voir 6.2.1 QS)</t>
  </si>
  <si>
    <t>HP Stock Express</t>
  </si>
  <si>
    <t>AY200AV</t>
  </si>
  <si>
    <t xml:space="preserve">Service de palette personnalisée </t>
  </si>
  <si>
    <t>HP Custom Pallet Service</t>
  </si>
  <si>
    <t>W9G30AA</t>
  </si>
  <si>
    <t xml:space="preserve">Service d'équipement spécial </t>
  </si>
  <si>
    <t>HP Special Equipment Service</t>
  </si>
  <si>
    <t>W9G31AA</t>
  </si>
  <si>
    <t xml:space="preserve">Service de livraison jour non-ouvré </t>
  </si>
  <si>
    <t>HP Non-Work Day Delivery</t>
  </si>
  <si>
    <t>W9G32AA</t>
  </si>
  <si>
    <t xml:space="preserve">Service de livraison consolidée </t>
  </si>
  <si>
    <t>HP Consolidated Delivery</t>
  </si>
  <si>
    <t>V1H71AA</t>
  </si>
  <si>
    <t xml:space="preserve">Licence 5 ans Proactive Security </t>
  </si>
  <si>
    <t>HP 5y Proactive Security Svc E-LTU</t>
  </si>
  <si>
    <t>UB6R2AAE</t>
  </si>
  <si>
    <t xml:space="preserve">Service de livraison eco packaging par 5 unités </t>
  </si>
  <si>
    <t>MULTI-UNIT 5units Eco- Packaging</t>
  </si>
  <si>
    <t>19X65AV</t>
  </si>
  <si>
    <t>Service de destruction de données sur site de 5 à 20 unités (par occurrence)</t>
  </si>
  <si>
    <t>4WB12AA</t>
  </si>
  <si>
    <t>Service de destruction de données sur site plus de 21 unités (par occurrence)</t>
  </si>
  <si>
    <t>2ZW91AA</t>
  </si>
  <si>
    <t>Nettoyage des données sur site 5-20 unités (par occurrence)</t>
  </si>
  <si>
    <t>4WB11AA</t>
  </si>
  <si>
    <t>Nettoyage des données sur site 21+ unités (par occurrence)</t>
  </si>
  <si>
    <t>2ZW89AA</t>
  </si>
  <si>
    <t>Livraison à domicile  moniteur</t>
  </si>
  <si>
    <t>HP Home Delivery Svc Monitors</t>
  </si>
  <si>
    <t>1L1G4AA</t>
  </si>
  <si>
    <t>HP Home Delivery Svc Accessories</t>
  </si>
  <si>
    <t>1L1G5AA</t>
  </si>
  <si>
    <t>HP Pre-alert with Booking Slot Timed</t>
  </si>
  <si>
    <t>1K4R9A</t>
  </si>
  <si>
    <t>HP Forklift</t>
  </si>
  <si>
    <t>1S4Q7AA</t>
  </si>
  <si>
    <t>HP Delivery Site Not on Ground Floor</t>
  </si>
  <si>
    <t>1S4Q8AA</t>
  </si>
  <si>
    <t>HP Carrier Unloading Service</t>
  </si>
  <si>
    <t>1S4Q9AA</t>
  </si>
  <si>
    <t>HP Two People at Delivery</t>
  </si>
  <si>
    <t>1K4R2A</t>
  </si>
  <si>
    <t>Logiciels d'exploitation</t>
  </si>
  <si>
    <t>Système d'exploitation Windows 11 Professionnel (à commander obligatoirement avec la machine. OS OEM)</t>
  </si>
  <si>
    <t>Windows 11 Pro 64</t>
  </si>
  <si>
    <t>Acquisition de matériel informatique - MATINFO 5 LOT 2 - Postes de travail portables et leurs extensions</t>
  </si>
  <si>
    <t>Tarif HT
avec garantie 5 ans intervention sur site J+1 en France Métropolitaine</t>
  </si>
  <si>
    <t>Coefficient 
locatif</t>
  </si>
  <si>
    <t>Loyer trimestriel HT terme à échoir sans assurance</t>
  </si>
  <si>
    <t>Loyer trimestriel HT terme à échoir avec assurance</t>
  </si>
  <si>
    <t>4 trimestres</t>
  </si>
  <si>
    <t>8 trimestres</t>
  </si>
  <si>
    <t>815078 / 40Z29AA</t>
  </si>
  <si>
    <t>815079 / 40Z32AA</t>
  </si>
  <si>
    <t>Support de montage   ordinateurs B560 (pour écrans :   738 pu, 727 pq et serie E G5)</t>
  </si>
  <si>
    <t>Adaptateur HP USB-C to HDMI 2.0</t>
  </si>
  <si>
    <t>Adaptateur HP HDMI to VGA</t>
  </si>
  <si>
    <t>Adaptateur HP Display Port to VGA</t>
  </si>
  <si>
    <t>Adaptateur HP DP to HDMI 1.4</t>
  </si>
  <si>
    <t>Adaptateur HP Display Port to DVI SL</t>
  </si>
  <si>
    <t>Sac à dos HP Prelude 15.6 pouces</t>
  </si>
  <si>
    <t>Sacoche HP Business 16 pouces</t>
  </si>
  <si>
    <t xml:space="preserve">Sacoche HP Prelude 15.6 pouces gris foncé </t>
  </si>
  <si>
    <t>Sac à dos HP Prelude 15.6 pouces gris foncé</t>
  </si>
  <si>
    <t>Housse de protection HP 14.1</t>
  </si>
  <si>
    <t>Housse de protection HP 14.1 Business</t>
  </si>
  <si>
    <t>Saoche HP 14.1 Business ultra-mince avec chargement par le haut</t>
  </si>
  <si>
    <t>HP Executive Slim Top Load sacoche pour ordinateur</t>
  </si>
  <si>
    <t xml:space="preserve">HP Executive 14.1 Slim Top Load </t>
  </si>
  <si>
    <t>HP Executive sac à dos pour ordinateur portable 16 pouces</t>
  </si>
  <si>
    <t>Loyer trimestriel HT terme à échoir</t>
  </si>
  <si>
    <t>Les tarifs indiqués ci-après sont des prix plafonds et sont dégressifs selon les quantités approvisionnées sur une même commande. Le tarif indiqué correspond à un prix de transport DDP maritime.</t>
  </si>
  <si>
    <t>Guadeloupe</t>
  </si>
  <si>
    <t>Martinique</t>
  </si>
  <si>
    <t>Guyane</t>
  </si>
  <si>
    <t>Réunion</t>
  </si>
  <si>
    <t>Mayotte</t>
  </si>
  <si>
    <t>Polynésie</t>
  </si>
  <si>
    <t>Nouvelle Calédonie</t>
  </si>
  <si>
    <t>Frais Transport + Frais de Douane + Assurance</t>
  </si>
  <si>
    <t>Surcout HT 
en €</t>
  </si>
  <si>
    <t>Les tarifs indiqués ci-après sont des prix plafonds et sont dégressifs selon les quantités approvisionnées sur une même commande. Le tarif indiqué correspond à un prix de transport DDP maritime.  (le transport correspond en moyenne à 1/3 du prix). Les prix contractuels sont les prix des devis de transport fournis par IS2.</t>
  </si>
  <si>
    <t>Nouvelle 
Calédonie</t>
  </si>
  <si>
    <t>9SR37AA</t>
  </si>
  <si>
    <t>Nouvelle</t>
  </si>
  <si>
    <t>Calédonie</t>
  </si>
  <si>
    <t>Surcout HT</t>
  </si>
  <si>
    <t>en €</t>
  </si>
  <si>
    <t>SERVICE de SUPPORT OPTIONNELS DROM COM</t>
  </si>
  <si>
    <t>Unités D'œuvre</t>
  </si>
  <si>
    <t>Prestations</t>
  </si>
  <si>
    <t>Références</t>
  </si>
  <si>
    <t>UO STOCKAGE</t>
  </si>
  <si>
    <t>au produit</t>
  </si>
  <si>
    <t>STO01</t>
  </si>
  <si>
    <t>à la Palette</t>
  </si>
  <si>
    <t>STO02</t>
  </si>
  <si>
    <t>UO DESTRUCTION</t>
  </si>
  <si>
    <t>au kilo</t>
  </si>
  <si>
    <t>DES01</t>
  </si>
  <si>
    <t>UO ASSISTANCE sur site</t>
  </si>
  <si>
    <t>Technicien Installation /Jour</t>
  </si>
  <si>
    <t>ASS01</t>
  </si>
  <si>
    <t>Techncien Bureautique / Jour</t>
  </si>
  <si>
    <t>ASS02</t>
  </si>
  <si>
    <t>UO DRG à l'année *</t>
  </si>
  <si>
    <t>Portable</t>
  </si>
  <si>
    <t>DRG01</t>
  </si>
  <si>
    <t>Desktop</t>
  </si>
  <si>
    <t>DRG02</t>
  </si>
  <si>
    <t>Client Léger</t>
  </si>
  <si>
    <t>DRG03</t>
  </si>
  <si>
    <t>UO BACKUP à l'année*</t>
  </si>
  <si>
    <t>BCK01</t>
  </si>
  <si>
    <t>BCK02</t>
  </si>
  <si>
    <t>BCK03</t>
  </si>
  <si>
    <t>* Pour ces options, le pourcentage est à appliquer sur le prix rendu sur le territoire du matériel concerné.</t>
  </si>
  <si>
    <t>B95VLAA</t>
  </si>
  <si>
    <t>Clavier HP USB Slim avec lecteur de carte à puce + Touche Copilot</t>
  </si>
  <si>
    <t>A71J9AA</t>
  </si>
  <si>
    <t>Ecran Multimédia HP 327ph  27" - Full HD 1920 x 1080 - 1 HDMI + 1 VGA + 1 DP</t>
  </si>
  <si>
    <t>HP 327ph FHD Garantie 5 ans sur site en J+1</t>
  </si>
  <si>
    <t>Ecran Multimédia HP 324ph 23,8" - Full HD 1920 x 1080 - 1 HDMI + 1 VGA + 1 DP</t>
  </si>
  <si>
    <t>Ecran Multimédia HP 322ph  21,5" - Full HD 1920 x 1080 - 1 HDMI + 1 VGA + 1 DP</t>
  </si>
  <si>
    <t>HP 324ph FHD Garantie 5 ans sur site en J+1</t>
  </si>
  <si>
    <t>HP 322ph FHD Garantie 5 ans sur site en J+1</t>
  </si>
  <si>
    <t>B0CG8UT/TBC</t>
  </si>
  <si>
    <t>B0BU9UT/TBC</t>
  </si>
  <si>
    <t>B0BN7UT/TBC</t>
  </si>
  <si>
    <t xml:space="preserve">Module Wifi Intel BE201 Wi-Fi 7 +Bluetooth 5.4 vPro </t>
  </si>
  <si>
    <t>47 Tops</t>
  </si>
  <si>
    <t>HP IDS UMA Ultra 7 256V - mémoire soudée 16GB</t>
  </si>
  <si>
    <t xml:space="preserve"> HP Glacier Silver X Flip G1i HP IDS UMA Ultra 7 256V+16GB  Base NB PC</t>
  </si>
  <si>
    <t xml:space="preserve">HP IDS UMA Ultra 7 258V - mémoire soudée 32GB </t>
  </si>
  <si>
    <t>HP Glacier Silver X Flip G1i IDS UMA Ultra 7 258V+32GB  Base NB PC</t>
  </si>
  <si>
    <t>48 Tops</t>
  </si>
  <si>
    <t xml:space="preserve">HP IDS UMA Ultra 7 268V - compatible vPro - mémoire soudée 32GB </t>
  </si>
  <si>
    <t>HP Glacier Silver X G1i IDS UMA Ultra 7 268V+32GB Glacier Silver X G1i Base NB PC</t>
  </si>
  <si>
    <t>40 Tops</t>
  </si>
  <si>
    <t xml:space="preserve">HP IDS UMA Ultra 5 238V - compatible vPro - mémoire soudée 32GB </t>
  </si>
  <si>
    <t>A85MFAV</t>
  </si>
  <si>
    <t>A7PK1AV</t>
  </si>
  <si>
    <t>HP EliteBook 8 G1i 13 inch IDS UMA Ultra 5 235U 32GB Base NB PC</t>
  </si>
  <si>
    <t xml:space="preserve">HP IDS UMA Ultra 5 235U - compatible vPro - mémoire soudée  32GB </t>
  </si>
  <si>
    <t>11-12 Tops</t>
  </si>
  <si>
    <t xml:space="preserve">HP IDS UMA Ultra 5 235U  - compatible vPro </t>
  </si>
  <si>
    <t xml:space="preserve">HP IDS UMA Ultra 7 265U - compatible vPro </t>
  </si>
  <si>
    <t xml:space="preserve">HP IDS UMA Ultra 7 265H  - compatible vPro </t>
  </si>
  <si>
    <t>HP EliteBook 8 G1i 13 inch IDS UMA Ultra 7 265U 32GB Base NB PC</t>
  </si>
  <si>
    <t>HP IDS UMA Ultra 7 265U - compatible vPro - mémoire soudée  32GB</t>
  </si>
  <si>
    <t>HP IDS UMA U5 228V - mémoire soudée  32GB</t>
  </si>
  <si>
    <t xml:space="preserve">HP IDS UMA U5 236V - compatible vPro - mémoire soudée  16GB </t>
  </si>
  <si>
    <t xml:space="preserve">HP IDS UMA U5 238V - compatible vPro - mémoire soudée  32GB </t>
  </si>
  <si>
    <t xml:space="preserve">HP IDS UMA U7 256V - mémoire soudée  16GB </t>
  </si>
  <si>
    <t>HP IDS UMA U7 258V - mémoire soudée  32GB</t>
  </si>
  <si>
    <t xml:space="preserve">HP IDS UMA U7 266V - compatible vPro - mémoire soudée  16GB </t>
  </si>
  <si>
    <t xml:space="preserve">HP IDS UMA U7 268V - compatible vPro - mémoire soudée  32GB </t>
  </si>
  <si>
    <t>HP EliteBook 8 G1i 14 inch IDS UMA Ultra 5 235U  Base NB PC
HP EliteBook 8 G1i 16 inch IDS UMA Ultra 5 235U  Base NB PC</t>
  </si>
  <si>
    <t>HP EliteBook 8 G1i 14 inch IDS UMA Ultra 7 265U i Base NB PC
HP EliteBook 8 G1i 16 inch IDS UMA Ultra 7 265U i Base NB PC</t>
  </si>
  <si>
    <t>HP EliteBook 8 G1i 14 inch  IDS UMA Ultra 7 265H  Base NB PC
HP EliteBook 8 G1i 16 inch  IDS UMA Ultra 7 265H  Base NB PC</t>
  </si>
  <si>
    <t>HP EliteBook 8 G1i 14 inch IDS UMA U5 228V + 32GB  Base NB PC
HP EliteBook 8 G1i 16 inch IDS UMA U5 228V + 32GB  Base NB PC</t>
  </si>
  <si>
    <t>HP EliteBook 8 G1i 14 inch IDS UMA U5 236V + 16GB  Base NB PC
HP EliteBook 8 G1i 16 inch IDS UMA U5 236V + 16GB  Base NB PC</t>
  </si>
  <si>
    <t>HP EliteBook 8 G1i 14 inch  IDS UMA U5 238V + 32GB  Base NB PC
HP EliteBook 8 G1i 16 inch  IDS UMA U5 238V + 32GB  Base NB PC</t>
  </si>
  <si>
    <t>HP EliteBook 8 G1i 14 inch  IDS UMA U7 256V + 16GB  Base NB PC
HP EliteBook 8 G1i 16inch  IDS UMA U7 256V + 16GB  Base NB PC</t>
  </si>
  <si>
    <t>HP  EliteBook 8 G1i 14 inch  IDS UMA U7 258V + 32GB  Base NB PC
HP  EliteBook 8 G1i 16 inch  IDS UMA U7 258V + 32GB  Base NB PC</t>
  </si>
  <si>
    <t>HP EliteBook 8 G1i 14 inch IDS UMA U7 266V + 16GB  Base NB PC
HP EliteBook 8 G1i 16 inch IDS UMA U7 266V + 16GB  Base NB PC</t>
  </si>
  <si>
    <t>HP EliteBook 8 G1i 14 inch IDS UMA U7 268V + 32GB  Base NB PC
HP EliteBook 8 G1i 16 inch IDS UMA U7 268V + 32GB  Base NB PC</t>
  </si>
  <si>
    <t>16 Tops</t>
  </si>
  <si>
    <t>HP EliteBook 8G1a 13 inch IDS UMA Ryzen 5 PRO 230 32GB  Base NB PC</t>
  </si>
  <si>
    <t>HP EliteBook 8G1a 13 inch IDS UMA Ryzen 7 PRO 250 32GB Base NB PC</t>
  </si>
  <si>
    <t>HP EliteBook 8G1a 14 inch IDS UMA Ryzen 7 PRO 250  Base NB PC
HP EliteBook 8G1a 16 inch IDS UMA Ryzen 7 PRO 250  Base NB PC</t>
  </si>
  <si>
    <t xml:space="preserve">50 Tops </t>
  </si>
  <si>
    <t xml:space="preserve">HP IDS UMA Ryzen AI 7 350 </t>
  </si>
  <si>
    <t xml:space="preserve">HP IDS UMA Ryzen AI 7 350  - mémoire soudée 32GB </t>
  </si>
  <si>
    <t>HP EliteBook 8G1a 14 inch IDS UMA Ryzen AI 7 350  Base NB PC
HP EliteBook 8G1a 16inch IDS UMA Ryzen AI 7 350  Base NB PC</t>
  </si>
  <si>
    <t>HP EliteBook 8G1a 14 inch IDS UMA Ryzen AI 7 PRO 350  Base NB PC
HP EliteBook 8G1a 16 inch IDS UMA Ryzen AI 7 PRO 350  Base NB PC</t>
  </si>
  <si>
    <t>AP2A8AV</t>
  </si>
  <si>
    <t>AX0Y4AV</t>
  </si>
  <si>
    <t>AZ2M0AV</t>
  </si>
  <si>
    <t>AP9D1AV</t>
  </si>
  <si>
    <t>B0NX2AV</t>
  </si>
  <si>
    <t>AY0U3AV</t>
  </si>
  <si>
    <t>AX8R4AV</t>
  </si>
  <si>
    <t>AQ0V7AV</t>
  </si>
  <si>
    <t>B4CV9AV</t>
  </si>
  <si>
    <t>AZ4Z6AV</t>
  </si>
  <si>
    <t>AZ3P2AV</t>
  </si>
  <si>
    <r>
      <rPr>
        <b/>
        <sz val="11"/>
        <color theme="1"/>
        <rFont val="Arial"/>
        <family val="2"/>
      </rPr>
      <t xml:space="preserve">Cat3Conf2C_8_G1i_14_NGAI-WUXGA-300n_U5-16Go-512Go
Intel core U5-226V (16 cores - L3 cache 8MB - jusqu'à 4.5 Ghz) (40 NPU TOPS)
</t>
    </r>
    <r>
      <rPr>
        <sz val="11"/>
        <color theme="1"/>
        <rFont val="Arial"/>
        <family val="2"/>
      </rPr>
      <t>Écran non tactile, 14" (35,6cm, WUXGA (1920 x 1200), 16/10, IPS Mat, 300cd/m²
16Go 5600 SODIMM DDR5 (1x16Go) soudé
SSD 512Go M.2 TLC
 Intel BE201 Wi-Fi 7(2x2 antennes), Bluetooth 5.4
Clavier rétro éclairé - Sans lecteur d‘empreintes digitales et sans lecteur de cartes à puce
Camera 5MP Cache Mécanique
Batterie 3 cellules 62 Whr, HP Long Life 1000 Cycles
Chargeur 65W USB-C
FreeDOS</t>
    </r>
  </si>
  <si>
    <r>
      <rPr>
        <b/>
        <sz val="11"/>
        <color theme="1"/>
        <rFont val="Arial"/>
        <family val="2"/>
      </rPr>
      <t xml:space="preserve">Cat3Conf3A_8_G1i_16_AI-WUXGA-300n_U5-16Go-512Go
Intel core U5-225U (12 cores - L3 cache 12MB - jusqu'à 4.8 Ghz) (12NPU TOPS)
</t>
    </r>
    <r>
      <rPr>
        <sz val="11"/>
        <color theme="1"/>
        <rFont val="Arial"/>
        <family val="2"/>
      </rPr>
      <t>Écran non tactile, 16" (40,6cm, WUXGA (1920 x 1200), 16/10, IPS Mat, 300cd/m²
16Go 5600 SODIMM DDR5 (1x16Go) 
SSD 512Go M.2 TLC
Intel Wifi6 Ax211 (2x2 antennes), Bluetooth 5.3
Clavier rétro éclairé - Sans lecteur d‘empreintes digitales et sans lecteur de cartes à puce
Camera 5MP Cache Mécanique
Batterie 3 cellules 62 Whr, HP Long Life 1000 Cycles
Chargeur 65W USB-C
FreeDOS</t>
    </r>
  </si>
  <si>
    <r>
      <rPr>
        <b/>
        <sz val="11"/>
        <color theme="1"/>
        <rFont val="Arial"/>
        <family val="2"/>
      </rPr>
      <t xml:space="preserve">Cat3Conf2C_8_G1i_16_NGAI-WUXGA-300n_U5-16Go-512Go
Intel core U5-226V </t>
    </r>
    <r>
      <rPr>
        <b/>
        <sz val="11"/>
        <color rgb="FFFF0000"/>
        <rFont val="Arial"/>
        <family val="2"/>
      </rPr>
      <t xml:space="preserve"> </t>
    </r>
    <r>
      <rPr>
        <b/>
        <sz val="11"/>
        <color theme="1"/>
        <rFont val="Arial"/>
        <family val="2"/>
      </rPr>
      <t xml:space="preserve">(16 cores - L3 cache 8MB - jusqu'à 4.5 Ghz) (40 NPU TOPS) 
</t>
    </r>
    <r>
      <rPr>
        <sz val="11"/>
        <color theme="1"/>
        <rFont val="Arial"/>
        <family val="2"/>
      </rPr>
      <t>Écran non tactile, 16" (40,6 cm, WUXGA (1920 x 1200), 16/10, IPS Mat, 300cd/m²
16Go 5600 SODIMM DDR5 (1x16Go) soudé
SSD 512Go M.2 TLC
Intel BE201 Wi-Fi 7 (2x2 antennes), Bluetooth 5.4
Clavier rétro éclairé - Sans lecteur d‘empreintes digitales et sans lecteur de cartes à puce
Camera 5MP Cache Mécanique
Batterie 3 cellules 62 Whr, HP Long Life 1000 Cycles
Chargeur 65W USB-C
FreeDOS</t>
    </r>
  </si>
  <si>
    <r>
      <rPr>
        <b/>
        <sz val="11"/>
        <color theme="1"/>
        <rFont val="Arial"/>
        <family val="2"/>
      </rPr>
      <t>Cat3conf3B_8_G1a_16_AI_WUXGA-300n_r5-16Go-512Go
AMD Ryzen 5 230 (6 Cores / 12 Threads, 2,3Ghz - 4,9 Ghz, L3 12MB) (16 NPU TOPS)</t>
    </r>
    <r>
      <rPr>
        <b/>
        <sz val="11"/>
        <color rgb="FFFF0000"/>
        <rFont val="Arial"/>
        <family val="2"/>
      </rPr>
      <t xml:space="preserve"> </t>
    </r>
    <r>
      <rPr>
        <b/>
        <sz val="11"/>
        <color theme="1"/>
        <rFont val="Arial"/>
        <family val="2"/>
      </rPr>
      <t xml:space="preserve">                                                                                         
</t>
    </r>
    <r>
      <rPr>
        <sz val="11"/>
        <color theme="1"/>
        <rFont val="Arial"/>
        <family val="2"/>
      </rPr>
      <t>Écran non tactile, 16" (40,6cm) WUXGA (1920 x 1200), 16/10, IPS Mat, 300cd/m²
16Go 5600 SODIMM DDR5 (1x16Go) 
SSD 512Go M.2 TLC
Mediatek RZ616 Wi-Fi 6E (2x2 antennes), Bluetooth 5.3
Clavier rétro éclairé - Sans lecteur d‘empreintes digitales et sans lecteur de cartes à puce
Camera 5MP Cache Mécanique
Batterie 3 cellules 62 Whr, HP Long Life 1000 Cycles
Chargeur 65W USB-C
FreeDOS</t>
    </r>
  </si>
  <si>
    <r>
      <rPr>
        <b/>
        <sz val="11"/>
        <color rgb="FF000000"/>
        <rFont val="Arial"/>
        <family val="2"/>
      </rPr>
      <t xml:space="preserve">Cat3conf1D_8_G1a_13_NGAI-WUXGA-300n_r5-16Go-512Go
</t>
    </r>
    <r>
      <rPr>
        <b/>
        <sz val="11"/>
        <color theme="1"/>
        <rFont val="Arial"/>
        <family val="2"/>
      </rPr>
      <t>AMD Ryzen 5 PRO 340 (6 Cores / 50 Threads, 2,3Ghz - 4,8 Ghz, L3 12MB)</t>
    </r>
    <r>
      <rPr>
        <b/>
        <sz val="11"/>
        <color rgb="FF000000"/>
        <rFont val="Arial"/>
        <family val="2"/>
      </rPr>
      <t xml:space="preserve"> (50 NPU TOPS)                                                                                            
</t>
    </r>
    <r>
      <rPr>
        <sz val="11"/>
        <color rgb="FF000000"/>
        <rFont val="Arial"/>
        <family val="2"/>
      </rPr>
      <t>Écran non tactile, 13,3" (33,8cm), WUXGA (1920 x 1200), 16/10, IPS Mat, 300cd/m²
16Go 5600 SODIMM DDR5 (1x16Go) soudé
SSD 512Go M.2 TLC</t>
    </r>
    <r>
      <rPr>
        <sz val="11"/>
        <color theme="1"/>
        <rFont val="Arial"/>
        <family val="2"/>
      </rPr>
      <t xml:space="preserve">
Mediatek RZ616 Wi-Fi 6E  (2x2 antennes), Bluetooth 5.3</t>
    </r>
    <r>
      <rPr>
        <sz val="11"/>
        <color rgb="FFFF0000"/>
        <rFont val="Arial"/>
        <family val="2"/>
      </rPr>
      <t xml:space="preserve">
</t>
    </r>
    <r>
      <rPr>
        <sz val="11"/>
        <color rgb="FF000000"/>
        <rFont val="Arial"/>
        <family val="2"/>
      </rPr>
      <t>Clavier rétro éclairé - Sans lecteur d‘empreintes digitales et sans lecteur de cartes à puce
Camera 5MP Cache Mécanique
Batterie 3 cellules 62 Whr, HP Long Life 1000 Cycles
Chargeur 100W USB-C
FreeDOS</t>
    </r>
  </si>
  <si>
    <r>
      <rPr>
        <b/>
        <sz val="11"/>
        <color theme="1"/>
        <rFont val="Arial"/>
        <family val="2"/>
      </rPr>
      <t xml:space="preserve">Cat3conf2C_8_G1a_14_NGAI_WUXGA-300n_r5-16Go-512Go
AMD Ryzen 5 340 (6 Cores / 50 Threads, 2,3Ghz - 4,8 Ghz, L3 12MB) (50 NPU TOPS)                                                                                       
</t>
    </r>
    <r>
      <rPr>
        <sz val="11"/>
        <color theme="1"/>
        <rFont val="Arial"/>
        <family val="2"/>
      </rPr>
      <t>Écran non tactile, 14" (35,56cm) WUXGA (1920 x 1200), 16/10, IPS Mat, 300cd/m²
16Go 5600 SODIMM DDR5 (1x16Go) 
SSD 512Go M.2 TLC
Mediatek MT7925 Wi-Fi 7  (2x2 antennes), Bluetooth 5.4
Clavier rétro éclairé - Sans lecteur d‘empreintes digitales et sans lecteur de cartes à puce
Camera 5MP Cache Mécanique
Batterie 3 cellules 62 Whr, HP Long Life 1000 Cycles
Chargeur 100W USB-C
FreeDOS</t>
    </r>
  </si>
  <si>
    <r>
      <rPr>
        <b/>
        <sz val="11"/>
        <color theme="1"/>
        <rFont val="Arial"/>
        <family val="2"/>
      </rPr>
      <t xml:space="preserve">Cat3conf3D_8_G1a_16_NGAI_WUXGA-300n_r5-16Go-512Go
AMD Ryzen 5 340 (6 Cores / 50 Threads, 2,3Ghz - 4,8 Ghz, L3 12MB) (50 NPU TOPS)                                                                                          
</t>
    </r>
    <r>
      <rPr>
        <sz val="11"/>
        <color theme="1"/>
        <rFont val="Arial"/>
        <family val="2"/>
      </rPr>
      <t xml:space="preserve">Écran non tactile, 16" (40,6cm) WUXGA (1920 x 1200), 16/10, IPS Mat, 300cd/m²
16Go 5600 SODIMM DDR5 (1x16Go) 
SSD 512Go M.2 TLC
Mediatek MT7925 Wi-Fi 7  </t>
    </r>
    <r>
      <rPr>
        <sz val="11"/>
        <color rgb="FFFF0000"/>
        <rFont val="Arial"/>
        <family val="2"/>
      </rPr>
      <t>(</t>
    </r>
    <r>
      <rPr>
        <sz val="11"/>
        <color theme="1"/>
        <rFont val="Arial"/>
        <family val="2"/>
      </rPr>
      <t>2x2 antennes), Bluetooth 5.4
Clavier rétro éclairé - Sans lecteur d‘empreintes digitales et sans lecteur de cartes à puce
Camera 5MP Cache Mécanique
Batterie 3 cellules 62 Whr, HP Long Life 1000 Cycles
Chargeur 100W USB-C
FreeDOS</t>
    </r>
  </si>
  <si>
    <t xml:space="preserve">Passage à Ultra 5 235U compatible vPro </t>
  </si>
  <si>
    <t>Passage à Ultra 7 265U</t>
  </si>
  <si>
    <t>Passage à Ultra 7 265U - compatible vPro - mémoire soudée  32GB</t>
  </si>
  <si>
    <t xml:space="preserve">Passage à Ultra 5 235U - compatible vPro - mémoire soudée  32GB </t>
  </si>
  <si>
    <t>Passage à Ryzen 7 PRO 250 - compatible vPro</t>
  </si>
  <si>
    <t xml:space="preserve">Passage à Ryzen 7 PRO 250 - compatible vPro - mémoire soudée  32GB </t>
  </si>
  <si>
    <t xml:space="preserve">Passage à Ryzen 5 PRO 230 - compatible vPro - mémoire soudée 32GB </t>
  </si>
  <si>
    <t xml:space="preserve">Écran 13,3" WUXGA anti-reflets 300 nits, caméra 5MP Iinfrarouge </t>
  </si>
  <si>
    <t xml:space="preserve">Écran 13,3" WUXGA tactile anti-reflets 300 nits, caméra 5MP Infrarouge </t>
  </si>
  <si>
    <t>Écran 14" WUXGA anti-reflets LED 300 nits, 60 Hz, caméra 5MP, Infrarouge</t>
  </si>
  <si>
    <t>Écran 14" WUXGA tactile anti-reflets LED 300 nits, 60 Hz, caméra 5MP, Infrarouge</t>
  </si>
  <si>
    <t>Écran 16" WUXGA anti-reflets LED 300 nits, 60 Hz, caméra 5MP Infrarouge</t>
  </si>
  <si>
    <t>Écran 16" 2.5K anti-reflets, 120Hz, 400 nits, lumière bleue réduite, caméra 5MP Infrarouge</t>
  </si>
  <si>
    <t>Écran 14" WUXGA anti-reflets 800 nits, lumière bleue réduite, caméra 5MP, avec filtre de confidentialité intégré</t>
  </si>
  <si>
    <t>Écran 13,3" WUXGA anti-reflets 800 nits, caméra 5MP Infrarouge,  lumière bleue réduite, avec filtre de confidentialité intégré</t>
  </si>
  <si>
    <t>Écran 13,3" WUXGA anti-reflets 800 nits, caméra 5MP, lumière bleue réduite, avec filtre de confidentialité intégré</t>
  </si>
  <si>
    <t xml:space="preserve">Écran 13,3" WUXGA anti-reflets 400 nits, faible consommation , lumière bleue réduite, caméra 5MP Infrarouge </t>
  </si>
  <si>
    <t>Écran 13,3" WUXGA anti-reflets 400 nits, faible consommation , lumière bleue réduite, caméra 5MP</t>
  </si>
  <si>
    <t>Écran 14" Anti-Reflets 2.5K 400 nits, lumière bleue réduite, 120Hz,</t>
  </si>
  <si>
    <t>V17</t>
  </si>
  <si>
    <t>Proposition de nouvellles platefomes en Next Gen AI pour les catégories 3 et 4</t>
  </si>
  <si>
    <t>Demande de retrait / remplacement des références obsolètes pour les Extensions Communes</t>
  </si>
  <si>
    <t>HP EliteBook 6 G1i 13 AI</t>
  </si>
  <si>
    <t>HP EliteBook 6 G1i 14AI</t>
  </si>
  <si>
    <t>HP EliteBook 6 G1a 14 AI</t>
  </si>
  <si>
    <t>HP EliteBook 6 G1i 16 AI</t>
  </si>
  <si>
    <t>HP EliteBook 6 G1a 16 AI</t>
  </si>
  <si>
    <t>6 G1i 13 AI</t>
  </si>
  <si>
    <t>AU8U7AV</t>
  </si>
  <si>
    <t>AU8V0AV</t>
  </si>
  <si>
    <t>6 G1i 14 AI</t>
  </si>
  <si>
    <t>AW2U7AV</t>
  </si>
  <si>
    <t>AW2U5AV</t>
  </si>
  <si>
    <t>AW2V0AV</t>
  </si>
  <si>
    <t>6 G1a 14 AI</t>
  </si>
  <si>
    <t>AY6H2AV</t>
  </si>
  <si>
    <t>AY6H4AV</t>
  </si>
  <si>
    <t>6 G1i 16AI</t>
  </si>
  <si>
    <t>AV7M6AV</t>
  </si>
  <si>
    <t>AV7M4AV</t>
  </si>
  <si>
    <t>AV7M9AV</t>
  </si>
  <si>
    <t>6 G1a 16AI</t>
  </si>
  <si>
    <t>B00C4AV</t>
  </si>
  <si>
    <t>B00C2AV</t>
  </si>
  <si>
    <t>B00C7AV</t>
  </si>
  <si>
    <t>AU8X0AV</t>
  </si>
  <si>
    <t>AU8V8AV</t>
  </si>
  <si>
    <t>AW2X0AV</t>
  </si>
  <si>
    <t>AW2V8AV</t>
  </si>
  <si>
    <t>AY6K9AV</t>
  </si>
  <si>
    <t>AY6J5AV</t>
  </si>
  <si>
    <t>AV7Q1AV</t>
  </si>
  <si>
    <t>AV7N7AV</t>
  </si>
  <si>
    <t>B00CYAV</t>
  </si>
  <si>
    <t>B00CHAV</t>
  </si>
  <si>
    <t>AZ9Y5AV</t>
  </si>
  <si>
    <t>AV7F5AV</t>
  </si>
  <si>
    <t>AY6B0AV</t>
  </si>
  <si>
    <t>AW2N4AV</t>
  </si>
  <si>
    <t>AU8P0AV</t>
  </si>
  <si>
    <t>AU9D8AV</t>
  </si>
  <si>
    <t>AU9E0AV</t>
  </si>
  <si>
    <t>AU9E1AV</t>
  </si>
  <si>
    <t>AW3J8AV</t>
  </si>
  <si>
    <t>AW3J4AV</t>
  </si>
  <si>
    <t>AW3J6AV</t>
  </si>
  <si>
    <t>AZ0W9AV#</t>
  </si>
  <si>
    <t>AZ0W6AV</t>
  </si>
  <si>
    <t>AZ0W8AV</t>
  </si>
  <si>
    <t>AV7Z0AV</t>
  </si>
  <si>
    <t>AV7Z1AV</t>
  </si>
  <si>
    <t>B05QBAV</t>
  </si>
  <si>
    <t>B05Q9AV</t>
  </si>
  <si>
    <t>AU8V5AV</t>
  </si>
  <si>
    <t>AU8V6AV</t>
  </si>
  <si>
    <t>AW2V5AV</t>
  </si>
  <si>
    <t>AW2V6AV</t>
  </si>
  <si>
    <t>AY6J2AV</t>
  </si>
  <si>
    <t>AY6J3AV</t>
  </si>
  <si>
    <t>AV7N4AV</t>
  </si>
  <si>
    <t>AV7N5AV</t>
  </si>
  <si>
    <t>B00CDAV</t>
  </si>
  <si>
    <t>B00CFAV</t>
  </si>
  <si>
    <t>AU8S0AV</t>
  </si>
  <si>
    <t>Intel BE201 Wi-Fi 7 +Bluetooth 5.4 non-vPro WW WLAN</t>
  </si>
  <si>
    <t>AU8Y0AV</t>
  </si>
  <si>
    <t>AW2R9AV</t>
  </si>
  <si>
    <t>AW2X9AV</t>
  </si>
  <si>
    <t>HP R15 4G LTE-Advanced WWAN</t>
  </si>
  <si>
    <t>AW2Y3AV</t>
  </si>
  <si>
    <t>AU8Y3AV</t>
  </si>
  <si>
    <t>AY6E4AV</t>
  </si>
  <si>
    <t>AY6L9AV</t>
  </si>
  <si>
    <t>AY6L5AV</t>
  </si>
  <si>
    <t>AV7J8AV</t>
  </si>
  <si>
    <t>AV7Q8AV</t>
  </si>
  <si>
    <t>AV7R2AV</t>
  </si>
  <si>
    <t>B00B6AV</t>
  </si>
  <si>
    <t>B00D4AV</t>
  </si>
  <si>
    <t>B00D8AV</t>
  </si>
  <si>
    <t>AU8Q2AV</t>
  </si>
  <si>
    <t>AU8Q3AV</t>
  </si>
  <si>
    <t>AU8Q4AV</t>
  </si>
  <si>
    <t>AU8Q5AV</t>
  </si>
  <si>
    <t>AU8Q8AV</t>
  </si>
  <si>
    <t>AU8Q9AV</t>
  </si>
  <si>
    <t>AU8R0AV</t>
  </si>
  <si>
    <t>AU8Q6AV</t>
  </si>
  <si>
    <t>AU8Q7AV</t>
  </si>
  <si>
    <t>AW2P4AV</t>
  </si>
  <si>
    <t>AW2P8AV</t>
  </si>
  <si>
    <t>AW2P9AV</t>
  </si>
  <si>
    <t>AW2Q0AV</t>
  </si>
  <si>
    <t>AW2Q2AV</t>
  </si>
  <si>
    <t>AW2Q6AV</t>
  </si>
  <si>
    <t>AW2Q7AV</t>
  </si>
  <si>
    <t>AW2Q8AV</t>
  </si>
  <si>
    <t>AW2Q3AV</t>
  </si>
  <si>
    <t>AW2Q4AV</t>
  </si>
  <si>
    <t>AY6C0AV</t>
  </si>
  <si>
    <t>AY6C4AV</t>
  </si>
  <si>
    <t>AY6C5AV</t>
  </si>
  <si>
    <t>AY6C6AV</t>
  </si>
  <si>
    <t>AY6C8AV</t>
  </si>
  <si>
    <t>AY6D2AV</t>
  </si>
  <si>
    <t>AY6D3AV</t>
  </si>
  <si>
    <t>AY6D4AV</t>
  </si>
  <si>
    <t>AY6C9AV</t>
  </si>
  <si>
    <t>AY6D0AV</t>
  </si>
  <si>
    <t>AV7G5AV</t>
  </si>
  <si>
    <t>AV7G7AV</t>
  </si>
  <si>
    <t>AV7G9AV</t>
  </si>
  <si>
    <t>AV7H1AV</t>
  </si>
  <si>
    <t>AV7H2AV</t>
  </si>
  <si>
    <t>AV7H6AV</t>
  </si>
  <si>
    <t>AV7H7AV</t>
  </si>
  <si>
    <t>AV7H4AV</t>
  </si>
  <si>
    <t>AV7H5AV</t>
  </si>
  <si>
    <t>AZ9Z5AV</t>
  </si>
  <si>
    <t>AZ9Z7AV</t>
  </si>
  <si>
    <t>B00A1AV</t>
  </si>
  <si>
    <t>B00A2AV</t>
  </si>
  <si>
    <t>B00A5AV</t>
  </si>
  <si>
    <t>B00A6AV</t>
  </si>
  <si>
    <t>B00A3AV</t>
  </si>
  <si>
    <t>B00A4AV</t>
  </si>
  <si>
    <t>AU7N9AV</t>
  </si>
  <si>
    <t>AU7N8AV</t>
  </si>
  <si>
    <t>AU7P0AV</t>
  </si>
  <si>
    <t>AU7P1AV</t>
  </si>
  <si>
    <t xml:space="preserve">HP IDS UMA Ultra 7 255U </t>
  </si>
  <si>
    <t>AU7P2AV</t>
  </si>
  <si>
    <t>AU7P3AV</t>
  </si>
  <si>
    <t>AU7P4AV</t>
  </si>
  <si>
    <t>AV3P8AV</t>
  </si>
  <si>
    <t>AV3Q0AV</t>
  </si>
  <si>
    <t>AV3Q1AV</t>
  </si>
  <si>
    <t>AV3Q3AV</t>
  </si>
  <si>
    <t>AV3Q4AV</t>
  </si>
  <si>
    <t>AV3Q7AV</t>
  </si>
  <si>
    <t>AV3Q8AV</t>
  </si>
  <si>
    <t>AV3Y5AV</t>
  </si>
  <si>
    <t>HP EliteBook 6 G1i 13 inch IDS UMA Ultra 5 225U  Base NB PC
HP EliteBook 6 G1i 14 inch IDS UMA Ultra 5 225U  Base NB PC
HP EliteBook 6 G1i 16 inch IDS UMA Ultra 5 225U  Base NB PC</t>
  </si>
  <si>
    <t>AV3Y8AV</t>
  </si>
  <si>
    <t>HP EliteBook 6 G1i 13 inch IDS UMA Ultra 5 235U  Base NB PC
HP EliteBook 6 G1i 14 inch IDS UMA Ultra 5 235U  Base NB PC
HP EliteBook 6 G1i 16 inch IDS UMA Ultra 5 235U  Base NB PC</t>
  </si>
  <si>
    <t>AV3Y9AV</t>
  </si>
  <si>
    <t>AV3Z0AV</t>
  </si>
  <si>
    <t>HP EliteBook 6 G1i 13 inch IDS UMA Ultra 7 255U  Base NB PC
HP EliteBook 6 G1i 14 inch IDS UMA Ultra 7 255U  Base NB PC
HP EliteBook 6 G1i 16 inch IDS UMA Ultra 7 255U  Base NB PC</t>
  </si>
  <si>
    <t>AV3Z1AV</t>
  </si>
  <si>
    <t>AV3Z3AV</t>
  </si>
  <si>
    <t>HP EliteBook 6 G1i 13 inch IDS UMA Ultra 7 265U  Base NB PC
HP EliteBook 6 G1i 14 inch IDS UMA Ultra 7 265U  Base NB PC
HP EliteBook 6 G1i 16 inch IDS UMA Ultra 7 265U  Base NB PC</t>
  </si>
  <si>
    <t>AV3Z4AV</t>
  </si>
  <si>
    <t>HP EliteBook 6 G1i 13 inch IDS UMA Ultra 7 265U  Base NB PC
HP EliteBook 6 G1i 14 inch IDS UMA Ultra 7 265U  Base NB PC
HP EliteBook 6 G1i 16inch IDS UMA Ultra 7 265U  Base NB PC</t>
  </si>
  <si>
    <t>HP EliteBook 6 G1i 16inch IDS UMA Ultra 7 265H  Base NB PC</t>
  </si>
  <si>
    <t>AV3Z5AV</t>
  </si>
  <si>
    <t>AY4Z4AV</t>
  </si>
  <si>
    <t>B4YC3AV</t>
  </si>
  <si>
    <t>B4YC4AV</t>
  </si>
  <si>
    <t>HP IDS UMA Ryzen 7 250 6 14 inch G1a Base NB PC</t>
  </si>
  <si>
    <t>AY4Z7AV</t>
  </si>
  <si>
    <t>AY4Z8AV</t>
  </si>
  <si>
    <t>B88M9AV</t>
  </si>
  <si>
    <t>HP EliteBook 6G1a 14 inch IDS UMA Ryzen 5  220  for WWAN  Base NB PC
HP EliteBook 6G1a 16 inch IDS UMA Ryzen 5  220  for WWAN  Base NB PC</t>
  </si>
  <si>
    <t>AZ8Z2AV</t>
  </si>
  <si>
    <t>HP EliteBook 6G1a 14 inch IDS UMA Ryzen 5  PRO 230  Base NB PC
HP EliteBook 6G1a 16 inch IDS UMA Ryzen 5  PRO 230  Base NB PC</t>
  </si>
  <si>
    <t>B4XZ2AV</t>
  </si>
  <si>
    <t>HP EliteBook 6G1a 14 inch IDS UMA Ryzen 5  PRO 230 for WWAN   Base NB PC
HP EliteBook 6G1a 16 inch IDS UMA Ryzen 5  PRO 230 for WWAN   Base NB PC</t>
  </si>
  <si>
    <t>B4XZ3AV</t>
  </si>
  <si>
    <t>HP EliteBook 6G1a 14 inch IDS UMA Ryzen 7 250  Base NB PC
HP EliteBook 6G1a 16 inch IDS UMA Ryzen 7 250  Base NB PC</t>
  </si>
  <si>
    <t>AZ8Z5AV</t>
  </si>
  <si>
    <t>HP EliteBook 6G1a 14 inch IDS UMA Ryzen 7 250  for WWAN   Base NB PC
HP EliteBook 6G1a 16 inch IDS UMA Ryzen 7 250  for WWAN   Base NB PC</t>
  </si>
  <si>
    <t>AZ8Z6AV</t>
  </si>
  <si>
    <t>B88M6AV</t>
  </si>
  <si>
    <t xml:space="preserve">Ecran 13,3" WUXGA Anti-reflets LED 800 nits pour Caméra 5MP Infrarouge avec filtre de confidentalité intégré </t>
  </si>
  <si>
    <t>Ecran 13,3" WUXGA Anti-reflets LED 800 nits compatible 4G pour Caméra 5MP Infrarouge avec filtre de confidentalité intégré</t>
  </si>
  <si>
    <t>13.3 inch AG WUXGA (1920x1200) WLED+LBL UWVA 800 f5MP IR 60Hz Sure View 5 bnt LCD Panel</t>
  </si>
  <si>
    <t>13.3 inch AG WUXGA (1920x1200) WLED+LBL UWVA 800 for WWAN f5MP IR 60Hz Sure View 5 bnt LCD Panel</t>
  </si>
  <si>
    <t xml:space="preserve">Ecran 14" WUXGA Anti-reflets LED 800 nits pour Caméra 5MP Infrarouge avec filtre de confidentialité intégré </t>
  </si>
  <si>
    <t>Ecran 16" WUXGA Anti-reflets LED 800 nits pour Caméra 5MP Infrarouge avec filtre de confidentialité intégré</t>
  </si>
  <si>
    <t>16.0 inch AG WUXGA (1920x1200) WLED+LBL UWVA 800 f5MP IR 60Hz Sure View 5 bnt LCD Panel</t>
  </si>
  <si>
    <t>14.0 inch AG WUXGA (1920x1200) WLED+LBL UWVA 800 f5MP IR 60Hz Sure View 5 bnt LCD Panel</t>
  </si>
  <si>
    <t>14.0 inch AG WUXGA (1920x1200) WLED+LBL UWVA 800 for WWAN f5MP IR 60Hz Sure View 5 bnt LCD Panel</t>
  </si>
  <si>
    <t>16.0 inch AG WUXGA (1920x1200) WLED+LBL UWVA 800 for WWAN f5MP IR 60Hz Sure View 5 bnt LCD Panel</t>
  </si>
  <si>
    <r>
      <rPr>
        <b/>
        <sz val="11"/>
        <rFont val="Arial"/>
        <family val="2"/>
      </rPr>
      <t>Cat2Conf2A_6G1i_14-WUXGA-300n_U5-16Go-256Go</t>
    </r>
    <r>
      <rPr>
        <sz val="11"/>
        <rFont val="Arial"/>
        <family val="2"/>
      </rPr>
      <t xml:space="preserve">
</t>
    </r>
    <r>
      <rPr>
        <b/>
        <sz val="11"/>
        <rFont val="Arial"/>
        <family val="2"/>
      </rPr>
      <t xml:space="preserve">Intel core U5-225U (12 cores - L3 cache 12MB - jusqu'à 4.8 Ghz) (12NPU TOPS)
 </t>
    </r>
    <r>
      <rPr>
        <sz val="11"/>
        <rFont val="Arial"/>
        <family val="2"/>
      </rPr>
      <t>Écran non tactile, 14' (35,56 cm), WUXGA (1920 x 1200), 16/10, IPS Mat, 300 cd/m²
16Go 5600 SODIMM DDR5 (1x16Go)
SSD 256Go M.2 PCIe
Intel Wifi6 Ax211 (2x2 antennes), Bluetooth 5.3
Clavier rétro éclairé - Sans lecteur d‘empreintes digitales et sans lecteur de cartes à puce
Camera 1080p Cache Physique
Batterie 3 cellules 56 Whr, HP Long Life 1000 Cycles
Chargeur 65W USB-C
FreeDOS</t>
    </r>
  </si>
  <si>
    <r>
      <rPr>
        <b/>
        <sz val="11"/>
        <rFont val="Arial"/>
        <family val="2"/>
      </rPr>
      <t xml:space="preserve">Cat2Conf3A_6G1i_16-WUXGA-300n_U5-16Go-256Go
Intel core U5-225U (12 cores - L3 cache 12MB - jusqu'à 4.8 Ghz) (12NPU TOPS)
</t>
    </r>
    <r>
      <rPr>
        <sz val="11"/>
        <rFont val="Arial"/>
        <family val="2"/>
      </rPr>
      <t>Écran non tactile, 16.0' (40,6cm), WUXGA (1920 x 1200), 16/10, IPS Mat, 300 cd/m²
16Go 5600 SODIMM DDR5 (1x16Go)
SSD 256Go M.2 PCIe
Intel Wifi6 Ax211 (2x2 antennes), Bluetooth 5.3
Clavier rétro éclairé - Sans lecteur d‘empreintes digitales et sans lecteur de cartes à puce
Camera 1080p Cache Physique
Batterie 3 cellules 56 Whr, HP Long Life 1000 Cycles
Chargeur 65W USB-C
FreeDOS</t>
    </r>
  </si>
  <si>
    <r>
      <rPr>
        <b/>
        <sz val="11"/>
        <rFont val="Arial"/>
        <family val="2"/>
      </rPr>
      <t>Cat2Conf2B_6G1a_14-WUXGA-300n_r5-16Go-256Go</t>
    </r>
    <r>
      <rPr>
        <sz val="11"/>
        <rFont val="Arial"/>
        <family val="2"/>
      </rPr>
      <t xml:space="preserve">
</t>
    </r>
    <r>
      <rPr>
        <b/>
        <sz val="11"/>
        <rFont val="Arial"/>
        <family val="2"/>
      </rPr>
      <t xml:space="preserve">AMD Ryzen 5 220  (6 Cores / 12 Threads, 3,2 Ghz - 4,9 Ghz, L3 16 MB)
</t>
    </r>
    <r>
      <rPr>
        <sz val="11"/>
        <rFont val="Arial"/>
        <family val="2"/>
      </rPr>
      <t>Écran non tactile, 14' (35,56 cm), WUXGA (1920 x 1200), 16/10, IPS Mat, 300 cd/m²
16Go 5600 SODIMM DDR5 (1x16Go)
SSD 256Go M.2 PCIe
Mediatek RZ616 Wi-Fi 6E  (2x2 antennes), Bluetooth 5.3
Clavier rétro éclairé - Sans lecteur d‘empreintes digitales et sans lecteur de cartes à puce
Camera 1080p Cache Physique
Batterie 3 cellules 56 Whr, HP Long Life 1000 Cycles
Chargeur 65W USB-C
FreeDOS</t>
    </r>
  </si>
  <si>
    <r>
      <rPr>
        <b/>
        <sz val="11"/>
        <rFont val="Arial"/>
        <family val="2"/>
      </rPr>
      <t>Cat2Conf3B_6G1a_16-WUXGA-300n_r5-16Go-256Go</t>
    </r>
    <r>
      <rPr>
        <sz val="11"/>
        <rFont val="Arial"/>
        <family val="2"/>
      </rPr>
      <t xml:space="preserve">
</t>
    </r>
    <r>
      <rPr>
        <b/>
        <sz val="11"/>
        <rFont val="Arial"/>
        <family val="2"/>
      </rPr>
      <t xml:space="preserve">AMD Ryzen 5 220  (6 Cores / 12 Threads, 3,2 Ghz - 4,9 Ghz, L3 16 MB)                                                                        
</t>
    </r>
    <r>
      <rPr>
        <sz val="11"/>
        <rFont val="Arial"/>
        <family val="2"/>
      </rPr>
      <t>Écran non tactile, 16.0" (40,6 cm), WUXGA (1920 x 1200), 16/10, IPS Mat, 300 cd/m²
16Go 5600 SODIMM DDR5 (1x16Go)
SSD 256Go M.2 PCIe
Mediatek RZ616 Wi-Fi 6E  (2x2 antennes), Bluetooth 5.3
Clavier rétro éclairé - Sans lecteur d‘empreintes digitales et sans lecteur de cartes à puce
Camera 1080p Cache Physique
Batterie 3 cellules 56 Whr, HP Long Life 1000 Cycles
Chargeur 65W USB-C
FreeDOS</t>
    </r>
  </si>
  <si>
    <t xml:space="preserve">Passage à Ultra 7 255U </t>
  </si>
  <si>
    <t>Passage à Ryzen 5 PRO 230 - compatible vPro</t>
  </si>
  <si>
    <t>Passage à Ryzen 7 250</t>
  </si>
  <si>
    <r>
      <t xml:space="preserve">717Y1AV
71A04AV
72F47AV
719N5AV
71C79AV
909S9AV
90C56AV
8Z4F0AV
90G84AV
8Z7N8AV
8M339AV
8Q614AV
8M540AV
8R697AV
8N3C9AV
8T6A1AV
8Y2B3AV
8Y8R1AV
AX1D3AV
AP3Q2AV
AY0Z9AV
AP6R7AV
AZ5E6AV
AQ0P9AV
AL9N5AV
</t>
    </r>
    <r>
      <rPr>
        <sz val="10"/>
        <color rgb="FFFF0000"/>
        <rFont val="Arial"/>
        <family val="2"/>
      </rPr>
      <t>A87NXAV</t>
    </r>
    <r>
      <rPr>
        <sz val="10"/>
        <rFont val="Arial"/>
        <family val="2"/>
      </rPr>
      <t xml:space="preserve">
</t>
    </r>
    <r>
      <rPr>
        <sz val="10"/>
        <color rgb="FFFF0000"/>
        <rFont val="Arial"/>
        <family val="2"/>
      </rPr>
      <t>B4CT1AV</t>
    </r>
    <r>
      <rPr>
        <sz val="10"/>
        <rFont val="Arial"/>
        <family val="2"/>
      </rPr>
      <t xml:space="preserve">
</t>
    </r>
    <r>
      <rPr>
        <sz val="10"/>
        <color rgb="FFFF0000"/>
        <rFont val="Arial"/>
        <family val="2"/>
      </rPr>
      <t>B21PBAV</t>
    </r>
    <r>
      <rPr>
        <sz val="10"/>
        <rFont val="Arial"/>
        <family val="2"/>
      </rPr>
      <t xml:space="preserve">
</t>
    </r>
    <r>
      <rPr>
        <sz val="10"/>
        <color rgb="FFFF0000"/>
        <rFont val="Arial"/>
        <family val="2"/>
      </rPr>
      <t>B21N8AV</t>
    </r>
    <r>
      <rPr>
        <sz val="10"/>
        <rFont val="Arial"/>
        <family val="2"/>
      </rPr>
      <t xml:space="preserve">
</t>
    </r>
    <r>
      <rPr>
        <sz val="10"/>
        <color rgb="FFFF0000"/>
        <rFont val="Arial"/>
        <family val="2"/>
      </rPr>
      <t>A7QJ1AV</t>
    </r>
    <r>
      <rPr>
        <sz val="10"/>
        <rFont val="Arial"/>
        <family val="2"/>
      </rPr>
      <t xml:space="preserve">
</t>
    </r>
    <r>
      <rPr>
        <sz val="10"/>
        <color rgb="FFFF0000"/>
        <rFont val="Arial"/>
        <family val="2"/>
      </rPr>
      <t xml:space="preserve">B0KL7AV
AU8T8AV
</t>
    </r>
    <r>
      <rPr>
        <sz val="10"/>
        <rFont val="Arial"/>
        <family val="2"/>
      </rPr>
      <t xml:space="preserve">AW2T8AV
</t>
    </r>
    <r>
      <rPr>
        <sz val="10"/>
        <color rgb="FFFF0000"/>
        <rFont val="Arial"/>
        <family val="2"/>
      </rPr>
      <t xml:space="preserve">B21LCAV
</t>
    </r>
    <r>
      <rPr>
        <sz val="10"/>
        <rFont val="Arial"/>
        <family val="2"/>
      </rPr>
      <t>AY6G4AV
B00BTAV
AV7L7AV</t>
    </r>
  </si>
  <si>
    <t>Écran 14" WUXGA anti-reflets 800 nits, lumière bleue réduite, caméra 5MP Infrarouge, avec  filtre de confidentialité intégré</t>
  </si>
  <si>
    <t>A7QG2AV</t>
  </si>
  <si>
    <t>A7JK5AV</t>
  </si>
  <si>
    <t>Module Wi-Fi Intel BE201 Wi-Fi 7 +Bluetooth 5.4 non-vPro WW WLAN</t>
  </si>
  <si>
    <t>Module Wi-Fi Mediatek MT7925 Wi-Fi 7 +Bluetooth 5.4 AIM-T WW WLAN</t>
  </si>
  <si>
    <t>AZ7B1AA#ABB</t>
  </si>
  <si>
    <t>HP 705 Rechargeable Wireless Mouse EURO</t>
  </si>
  <si>
    <t>HP 705 Souris  bluetooth multi surface Rechargeable</t>
  </si>
  <si>
    <t xml:space="preserve">Transition des plateformes 800 G11 en 8 G1 pour la catégorie 3 </t>
  </si>
  <si>
    <t>Transition des plateformes 600 G11 en 6 G1 pour la catégorie 2</t>
  </si>
  <si>
    <t>Retrait de références obsolètes dans les extensions pour la catégorie 2 et 3</t>
  </si>
  <si>
    <t>Rajout de références dans les extensions pour la catégorie 2,3 et 4</t>
  </si>
  <si>
    <t>Retrait des références obsolètes dans les clients Légers mobiles</t>
  </si>
  <si>
    <t xml:space="preserve">Passage à Ultra U5 236V - compatible vPro - mémoire soudée  16GB </t>
  </si>
  <si>
    <t xml:space="preserve">Passage à Ultra U5 238V - compatible vPro - mémoire soudée  32GB </t>
  </si>
  <si>
    <t xml:space="preserve">Passage à Ultra U7 256V - mémoire soudée  16GB </t>
  </si>
  <si>
    <t>Passage à Ultra U7 258V - mémoire soudée  32GB</t>
  </si>
  <si>
    <t xml:space="preserve">Passage à Ultra U7 266V - compatible vPro - mémoire soudée  16GB </t>
  </si>
  <si>
    <t xml:space="preserve">Passage à Ultra U7 268V - compatible vPro - mémoire soudée  32GB </t>
  </si>
  <si>
    <t>Passage à Ryzen AI 5 PRO 340 - compatible vPro</t>
  </si>
  <si>
    <t xml:space="preserve">Passage à Ryzen AI 7 350 </t>
  </si>
  <si>
    <t>Passage à Ryzen AI 7 PRO 350 - compatible vPro</t>
  </si>
  <si>
    <t xml:space="preserve">Passage à Ryzen AI 5 PRO 340 - compatible vPro - mémoire soudée  32GB </t>
  </si>
  <si>
    <t xml:space="preserve">Passage à Ryzen AI 7 350  - mémoire soudée 32GB </t>
  </si>
  <si>
    <t xml:space="preserve">Passage à Ryzen AI 7 PRO 350 - compatible vPro - mémoire soudée  32GB </t>
  </si>
  <si>
    <t>Écran 14" WUXGA anti-reflets LED 400 nits, lumière bleue réduite, caméra 5MP</t>
  </si>
  <si>
    <t>Écran 14" WUXGA anti-reflets LED 400 nits, lumière bleue réduite, caméra 5MP Infrarouge</t>
  </si>
  <si>
    <t>Écran 14" WUXGA tactile anti-reflets 800 nits, lumière bleue réduite, caméra 5MP Infrarouge, avec filtre de confidentialité intégré</t>
  </si>
  <si>
    <t>Écran 14" WUXGA tactile anti-reflets 800 nits, lumière bleue réduite, caméra 5MP Infrarouge, compatible 4G/5G,  avec filtre de confidentialité intégré</t>
  </si>
  <si>
    <t>Écran 14" 2.5K anti-reflets 120 Hz, 400 nits,lumière bleue réduite, caméra 5MP, Infrarouge</t>
  </si>
  <si>
    <t>Écran 16" WUXGA tactile anti-reflets LED 300 nits, 60 Hz, caméra 5MP Infrarouge, compatible 4G/5G</t>
  </si>
  <si>
    <t>Écran 16" WUXGA tactile anti-reflets LED 300 nits, 60 Hz, caméra 5MP Infrarouge</t>
  </si>
  <si>
    <t>Écran 16" WUXGA anti-reflets  LED 300 nits, 60 Hz, caméra 5MP, compatible 4G/5G</t>
  </si>
  <si>
    <t>Écran 16" WUXGA anti-reflets LED 300 nits, 60 Hz, caméra 5MP Infrarouge, compatible 4G/5G</t>
  </si>
  <si>
    <t>Écran 16" WUXGA anti-reflets LED 400 nits, lumière bleue réduite, caméra 5MP Infrarouge</t>
  </si>
  <si>
    <t>Écran 16" WUXGA anti-reflets 800 nits, lumière bleue réduite, caméra 5MP, avec filtre de confidentialité intégré</t>
  </si>
  <si>
    <t>Écran 16" WUXGA anti-reflets 800 nits, lumière bleue réduite, caméra 5MP Infrarouge, avec filtre de confidentialité intégré</t>
  </si>
  <si>
    <t>Écran 16" WUXGA anti-reflets 800 nits, lumière bleue réduite, caméra 5MP Infrarouge, compatible 4G/5G, avec filtre de confidentialité intégré</t>
  </si>
  <si>
    <t>Écran 16" 2.5K anti-reflets, 120Hz, 400 nits, lumière bleue réduite, caméra 5MP, Infrarouge, compatible 4G/5G</t>
  </si>
  <si>
    <t>Écran 14" tactile WUXGA anti-reflets, 800 nits, caméra 5MP, Infrarouge, avec filtre de confidentialité intégré</t>
  </si>
  <si>
    <t>Écran 14" Anti-Reflets WUXGA 400 nits, lumière bleue réduite, compatible 4G/5G</t>
  </si>
  <si>
    <t>Écran 14" Anti-Reflets WUXGA tactile 800 nits, lumière bleue réduite, compatible 4G/5G, avec filtre de confidentialité intégré</t>
  </si>
  <si>
    <t>HP IDS UMA Ultra 5 225U - compatible 4G</t>
  </si>
  <si>
    <t>HP IDS UMA Ultra 5 235U compatible 4G -compatible Vpro</t>
  </si>
  <si>
    <t>HP IDS UMA Ultra 7 255U compatible 4G</t>
  </si>
  <si>
    <t>HP IDS UMA Ultra 7 265U compatible Vpro</t>
  </si>
  <si>
    <t>HP IDS UMA Ultra 7 265U compatible 4G -compatible Vpro</t>
  </si>
  <si>
    <t>HP IDS UMA Ultra 7 265H compatible Vpro</t>
  </si>
  <si>
    <t>HP IDS UMA Ryzen 5 220 compatible 4G</t>
  </si>
  <si>
    <t>HP IDS UMA Ryzen 7 250 compatible 4G</t>
  </si>
  <si>
    <t>Ecran 14" WUXGA Anti-reflets LED 300 nits compatible 4G pour Caméra FHD</t>
  </si>
  <si>
    <t>Ecran 14" WUXGA Anti-reflets LED Tactile 300 nits compatible 4G pour Caméra 5MP Infrarouge</t>
  </si>
  <si>
    <t>Ecran 14" WUXGA Anti-reflets LED 400 nits compatible 4G pour Caméra 5MP Infrarouge</t>
  </si>
  <si>
    <t xml:space="preserve">Ecran 14" WUXGA Anti-reflets LED 1000 nits compatible 4G pour Caméra 5MP Infrarouge avec filtre de confidentialité intégré </t>
  </si>
  <si>
    <t xml:space="preserve">Ecran 14" WUXGA Anti-reflets LED 800 nits compatible 4G pour Caméra 5MP Infrarouge avec filtre de confidentialité intégré </t>
  </si>
  <si>
    <t>Ecran 16" WUXGA Anti-reflets LED 300 nits compatible 4G pour Caméra 5MP Infrarouge</t>
  </si>
  <si>
    <t>Ecran 16" WUXGA Anti-reflets LED Tactile 300 nits compatible 4G pour Caméra 5MP Infrarouge</t>
  </si>
  <si>
    <t>Ecran 16" WUXGA Anti-reflets LED 400 nits compatible 4G pour Caméra 5MP Infrarouge</t>
  </si>
  <si>
    <t>Ecran 16" WUXGA Anti-reflets LED 1000 nits compatible 4G pour Caméra 5MP Infrarouge avec filtre de confidentialité intégré</t>
  </si>
  <si>
    <t>Ecran 16" WUXGA Anti-reflets LED 800 nits compatible 4G pour Caméra 5MP Infrarouge avec filtre de confidentialité intégré</t>
  </si>
  <si>
    <t>Écran 13,3" WUXGA anti-reflets 300 nits, caméra 5MP, compatible 4G/5G</t>
  </si>
  <si>
    <t>Écran 13,3" WUXGA anti-reflets 300 nits, caméra 5MP Infrarouge, compatible 4G/5G</t>
  </si>
  <si>
    <t>Écran 13,3" WUXGA tactile anti-reflets 300 nits, caméra 5MP Infrarouge, compatible  4G/5G</t>
  </si>
  <si>
    <t>Écran 13,3" WUXGA anti-reflets 800 nits, caméra 5MP Infrarouge, compatible  4G/5G, lumière bleue réduite, avec filtre de confidentialité intégré</t>
  </si>
  <si>
    <t>Écran 13,3" WUXGA anti-reflets 400 nits, faible consommation, lumière bleue réduite, caméra 5MP Infrarouge, compatible 4G/5G</t>
  </si>
  <si>
    <t>Écran 14" WUXGA anti-reflets LED 300 nits, 60 Hz, caméra 5MP, compatible 4G/5G</t>
  </si>
  <si>
    <t>Écran 14" WUXGA anti-reflets LED 300 nits, 60 Hz, caméra 5MP Infrarouge, compatible  4G/5G</t>
  </si>
  <si>
    <t>Écran 14" WUXGA tactile anti-reflets LED 300 nits, 60 Hz, caméra 5MP Infrarouge, compatible  4G/5G</t>
  </si>
  <si>
    <t>Écran 14" WUXGA anti-reflets LED 400 nits, lumière bleue réduite, caméra 5MP Infrarouge, compatible 4G/5G</t>
  </si>
  <si>
    <t>Écran 14" WUXGA anti-reflets 800 nits, lumière bleue réduite, caméra 5MP Infrarouge, compatible 4G/5G,  avec filtre de confidentialité intégré</t>
  </si>
  <si>
    <t>Écran 14" 2.5K anti-reflets 120 Hz, 400 nits, lumière bleue réduite, caméra 5MP Infrarouge, compatible 4G/5G</t>
  </si>
  <si>
    <t>Écran 16" WUXGA anti-reflst LED 400 nits, lumière bleue réduite, caméra 5MP Infrarouge, compatible  4G/5G</t>
  </si>
  <si>
    <t>Écran 14" tactile WUXGA anti-reflets, 400 nits, faible consommation, lumière réduite, caméra 5MP, infrarouge, compatible 4G/5G</t>
  </si>
  <si>
    <t>Écran 14" tactile WUXGA anti-reflets, 800 nits, caméra 5MP, Infrarouge, compatible 4G/5G, avec filtre de confidentialité intégré</t>
  </si>
  <si>
    <t>Écran 14" tactile WUXGA dalle brillante, 800 nits, caméra 5MP, Infrarouge, compatible 4G/5G,  avec filtre de confidentialité intégré</t>
  </si>
  <si>
    <t>Écran 14" Anti-Reflets  2.5K 400 nits, lumière bleue réduite, 120Hz compatible 4G/5G</t>
  </si>
  <si>
    <t>Écran 14" tactile WUXGA dalle brillante, 800 nits, caméra 5MP, Infrarouge,  avec filtre de confidentialité intégré</t>
  </si>
  <si>
    <t>Écran 14" Anti-Reflets WUXGA 800 nits, lumière bleue réduite, compatible 4G/5G, avec filtre de confidentialité intégré</t>
  </si>
  <si>
    <t>Écran 14" Anti-Reflets WUXGA tactile 500 nits, compatible 4G/5G</t>
  </si>
  <si>
    <t>Écran 14" Anti-Reflets WUXGA tactile 500 nits</t>
  </si>
  <si>
    <t>A85LNAV</t>
  </si>
  <si>
    <t>A85LPAV</t>
  </si>
  <si>
    <t>HP Glacier Silver X G1i IDS UMA Ultra 5 228V+32GB Base NB PC
HP Glacier Silver X Flip G1i IDS UMA Ultra 5 228V+32GB  Base NB PC</t>
  </si>
  <si>
    <t>HP Glacier Silver X G1i IDS UMA Ultra 5 238V+32GB Base NB PC
HP Glacier Silver X Flip G1i IDS UMA Ultra 5 238V+32GBBase NB PC</t>
  </si>
  <si>
    <t>Passage à Ultra U5 228V - mémoire soudée  32GB</t>
  </si>
  <si>
    <t xml:space="preserve">Passage à Ultra 7 265H  - compatible vPro </t>
  </si>
  <si>
    <t xml:space="preserve">HP IDS UMA Ryzen 5 PRO 230 </t>
  </si>
  <si>
    <t xml:space="preserve">HP IDS UMA Ryzen 7 PRO 250 compatible 4G </t>
  </si>
  <si>
    <t xml:space="preserve">HP IDS UMA Ryzen 5 PRO 230 compatible 4G </t>
  </si>
  <si>
    <t>HP IDS UMA Ryzen 7 PRO 250</t>
  </si>
  <si>
    <t>HP IDS UMA Ryzen AI 7 PRO 350</t>
  </si>
  <si>
    <t xml:space="preserve">HP IDS UMA Ryzen 5 PRO 230 -  mémoire soudée 32GB </t>
  </si>
  <si>
    <t xml:space="preserve">HP IDS UMA Ryzen 7 PRO 250 -  mémoire soudée  32GB </t>
  </si>
  <si>
    <t xml:space="preserve">HP IDS UMA Ryzen AI 7 PRO 350 -  mémoire soudée  32GB </t>
  </si>
  <si>
    <r>
      <rPr>
        <b/>
        <sz val="11"/>
        <color theme="1"/>
        <rFont val="Arial"/>
        <family val="2"/>
      </rPr>
      <t xml:space="preserve">Cat3conf2B_8_G1a_14_AI_WUXGA-300n_r5-16Go-512Go
AMD Ryzen 5 Pro 230 (6 Cores / 12 Threads, 3.5 Ghz - 4,9 Ghz, L3 12MB) (16 NPU TOPS)                                                                                            
</t>
    </r>
    <r>
      <rPr>
        <sz val="11"/>
        <color theme="1"/>
        <rFont val="Arial"/>
        <family val="2"/>
      </rPr>
      <t>Écran non tactile, 14" (35,56cm) WUXGA (1920 x 1200), 16/10, IPS Mat, 300cd/m²
16Go 5600 SODIMM DDR5 (1x16Go) 
SSD 512Go M.2 TLC
Mediatek RZ616 Wi-Fi 6E (2x2 antennes), Bluetooth 5.3
Clavier rétro éclairé - Sans lecteur d‘empreintes digitales et sans lecteur de cartes à puce
Camera 5MP Cache Mécanique
Batterie 3 cellules 62 Whr, HP Long Life 1000 Cycles
Chargeur 65W USB-C
FreeDOS</t>
    </r>
  </si>
  <si>
    <r>
      <rPr>
        <b/>
        <sz val="11"/>
        <rFont val="Arial"/>
        <family val="2"/>
      </rPr>
      <t>Cat2Conf1A_6G1i_13-WUXGA-300n_U5-16Go-256Go</t>
    </r>
    <r>
      <rPr>
        <sz val="11"/>
        <rFont val="Arial"/>
        <family val="2"/>
      </rPr>
      <t xml:space="preserve">
</t>
    </r>
    <r>
      <rPr>
        <b/>
        <sz val="11"/>
        <rFont val="Arial"/>
        <family val="2"/>
      </rPr>
      <t xml:space="preserve">Intel core U5-225U (12 cores - L3 cache 12MB - jusqu'à 4.8 Ghz) (12NPU TOPS) 
</t>
    </r>
    <r>
      <rPr>
        <sz val="11"/>
        <rFont val="Arial"/>
        <family val="2"/>
      </rPr>
      <t>Écran non tactile, 13,3" (33,8cm), WUXGA (1920 x 1200), 16/10, IPS Mat, 300 cd/m²
16Go 5600 SODIMM DDR5 (1x16Go)
SSD 256Go M.2 PCIe
Intel Wifi6 Ax211 (2x2 antennes), Bluetooth 5.3
Clavier rétro éclairé - Sans lecteur d‘empreintes digitales et sans lecteur de cartes à puce
Camera 1080p Cache Mécanique
Batterie 3 cellules 56 Whr, HP Long Life 1000 Cycles
Chargeur 65W USB-C
FreeDOS</t>
    </r>
  </si>
  <si>
    <r>
      <rPr>
        <b/>
        <sz val="11"/>
        <color theme="1"/>
        <rFont val="Arial"/>
        <family val="2"/>
      </rPr>
      <t xml:space="preserve">Cat4Conf2A_X_G1i_NGAI_WUXGA-400n_U5-16Go-512Go
Intel Core U5-226V (14 cores - jusqu'à 4,5Ghz TurboBoost, 18MB L3 cache)
</t>
    </r>
    <r>
      <rPr>
        <sz val="11"/>
        <color theme="1"/>
        <rFont val="Arial"/>
        <family val="2"/>
      </rPr>
      <t>FreeDos
Écran non tactile, 14" (35,6cm), WUXGA (1920 x 1200), 16/10, IPS MAT, 400 cd/m²
16Go LPDDR5X-7467 MT/s soudé
SSD 512Go M.2 TLC
 Intel BE201 Wi-Fi 7 (2x2 antennes), Bluetooth 5.4
Clavier premium rétro éclairé - Sans lecteur d‘empreintes digitales et sans lecteur de cartes à puce
Camera 5MP Infrarouge
65W nPFC USB-C
Batterie 6 cellules 68 Whr, HP Long Life 1000 Cycles</t>
    </r>
  </si>
  <si>
    <t xml:space="preserve">HP IDS UMA Ultra 5 228V - mémoire soudée 32GB </t>
  </si>
  <si>
    <t>Ecrans 14'' (passages) - X Flip NGAI - X360 1040</t>
  </si>
  <si>
    <t>Ecrans 14'' (passages) - 1040 - X G1i  NGAI</t>
  </si>
  <si>
    <t xml:space="preserve">Stylets (ajouts) - X360 1040 -  X Flip NGAI </t>
  </si>
  <si>
    <t>Extensions de garantie acquises lors de l'achat initial - X360 1040 - X Flip NGAI - 1040 - X G1i</t>
  </si>
  <si>
    <t>Ecran 16" WUXGA Anti-reflets LED 300 nits compatible 4G pour Caméra FHD</t>
  </si>
  <si>
    <t xml:space="preserve">HP IDS UMA Ryzen AI 7 PRO 350 -  mémoire soudée  64GB </t>
  </si>
  <si>
    <t xml:space="preserve">HP IDS UMA Ryzen AI 5 340 -  mémoire soudée  32GB </t>
  </si>
  <si>
    <t xml:space="preserve">HP IDS UMA Ryzen AI 5 340 -  mémoire soudée  64GB </t>
  </si>
  <si>
    <t>AZ2H8AV</t>
  </si>
  <si>
    <t>AZ2J0AV</t>
  </si>
  <si>
    <t>HP IDS UMA Ryzen AI 7 350 64GB 8 13 inch G1a Base NB PC</t>
  </si>
  <si>
    <t>AZ2K5AV</t>
  </si>
  <si>
    <t>AZ2L3AV</t>
  </si>
  <si>
    <t>HP IDS UMA Ryzen AI 5 340 32GB 8 13 inch G1a Base NB PC</t>
  </si>
  <si>
    <t>HP IDS UMA Ryzen AI 5 340 64GB 8 13 inch G1a Base NB PC</t>
  </si>
  <si>
    <t>HP IDS UMA Ryzen AI 7 PRO 640 64GB 8 13 inch G1a Base NB PC</t>
  </si>
  <si>
    <t xml:space="preserve">HP IDS UMA Ryzen AI 7 350  - mémoire soudée 64GB </t>
  </si>
  <si>
    <t>Ecran 14" WUXGA Anti-reflets LED 300 nits compatible 4G pour Caméra 5MP Infrarouge</t>
  </si>
  <si>
    <t>AY6H7AV</t>
  </si>
  <si>
    <t>AU8X9AV</t>
  </si>
  <si>
    <r>
      <rPr>
        <b/>
        <sz val="11"/>
        <color theme="1"/>
        <rFont val="Arial"/>
        <family val="2"/>
      </rPr>
      <t xml:space="preserve">Cat4Conf2A_1040G11_14-WUXGA-400n_U5-16Go-512Go
Intel Core U5-125H (14 cores - jusqu'à 4,5Ghz TurboBoost, 18MB L3 cache)
</t>
    </r>
    <r>
      <rPr>
        <sz val="11"/>
        <color theme="1"/>
        <rFont val="Arial"/>
        <family val="2"/>
      </rPr>
      <t>FreeDos
Écran non tactile, 14" (35,6cm), WUXGA (1920 x 1200), 16/10, IPS MAT, 400 cd/m²
16Go LPDDR5X-7467 MT/s soudé
SSD 512Go M.2 TLC
Intel Wifi6 Ax211 (2x2 antennes), Bluetooth 5.3
Clavier premium rétro éclairé - Sans lecteur d‘empreintes digitales et sans lecteur de cartes à puce
Camera 5MP Infrarouge
65W nPFC USB-C
Batterie 3 cellules 56 Whr, HP Long Life 1000 Cycles</t>
    </r>
  </si>
  <si>
    <r>
      <rPr>
        <b/>
        <sz val="11"/>
        <color theme="1"/>
        <rFont val="Arial"/>
        <family val="2"/>
      </rPr>
      <t xml:space="preserve">Cat4Conf1A_X_Flip__NGAI-WUXGA-400n_U5-16Go-512Go
Intel Core U5-226V (14 cores - jusqu'à 4,5Ghz TurboBoost, 18MB L3 cache)
</t>
    </r>
    <r>
      <rPr>
        <sz val="11"/>
        <color theme="1"/>
        <rFont val="Arial"/>
        <family val="2"/>
      </rPr>
      <t>FreeDos
Écran tactile réversible à 360°, 14" (35,6cm), WUXGA (1920 x 1200), 16/10, IPS MAT, 400 cd/m²
16Go LPDDR5X-7467 MT/s soudé
SSD 512Go M.2 TLC
 Intel BE201 Wi-Fi 7 (2x2 antennes), Bluetooth 5.4
Clavier premium rétro éclairé - Sans lecteur d‘empreintes digitales et sans lecteur de cartes à puce
Camera 5MP Infrarouge
65W nPFC USB-C
Batterie 3 cellules 56 Whr, HP Long Life 1000 Cycles</t>
    </r>
  </si>
  <si>
    <r>
      <rPr>
        <b/>
        <sz val="11"/>
        <color theme="1"/>
        <rFont val="Arial"/>
        <family val="2"/>
      </rPr>
      <t xml:space="preserve">Cat4Conf1A_X360_1040G11_14-WUXGA-400n_U5-16Go-512Go
Intel Core U5-125H (14 cores - jusqu'à 4,5Ghz TurboBoost, 18MB L3 cache)
</t>
    </r>
    <r>
      <rPr>
        <sz val="11"/>
        <color theme="1"/>
        <rFont val="Arial"/>
        <family val="2"/>
      </rPr>
      <t>FreeDos
Écran tactile réversible à 360°, 14" (35,6cm), WUXGA (1920 x 1200), 16/10, IPS MAT, 400 cd/m²
16Go LPDDR5X-7467 MT/s soudé
SSD 512Go M.2 TLC
Intel Wifi6 Ax211 (2x2 antennes), Bluetooth 5.3
Clavier premium rétro éclairé - Sans lecteur d‘empreintes digitales et sans lecteur de cartes à puce
Camera 5MP Infrarouge
65W nPFC USB-C
Batterie 3 cellules 56 Whr, HP Long Life 1000 Cycles</t>
    </r>
  </si>
  <si>
    <t>717Y1AV
71A04AV
72F47AV
719N5AV
71C79AV
909S9AV
90C56AV
8Z4F0AV
90G84AV
8Z7N8AV
8M339AV
8Q614AV
8M540AV
8R697AV
8N3C9AV
8T6A1AV
8Y2B3AV
8Y8R1AV
AX1D3AV
AP3Q2AV
AY0Z9AV
AP6R7AV
AZ5E6AV
AQ0P9AV
AL9N5AV
A87NXAV
B4CT1AV
B21PBAV
B21N8AV
A7QJ1AV
B0KL7AV
AU8T8AV
AW2T8AV
B21LCAV
AY6G4AV
B00BTAV
AV7L7AV</t>
  </si>
  <si>
    <t xml:space="preserve">
Dalle matte 76€</t>
  </si>
  <si>
    <t xml:space="preserve">Passage à Ryzen AI 5 340 -  mémoire soudée  64GB </t>
  </si>
  <si>
    <t xml:space="preserve">Passage à Ryzen AI 7 350  - mémoire soudée 64GB </t>
  </si>
  <si>
    <t xml:space="preserve">Passage à Ryzen AI 7 PRO 350 -  mémoire soudée  64GB </t>
  </si>
  <si>
    <r>
      <rPr>
        <b/>
        <sz val="11"/>
        <color rgb="FF000000"/>
        <rFont val="Arial"/>
        <family val="2"/>
      </rPr>
      <t xml:space="preserve">Cat3conf1D_8_G1a_13_NGAI-WUXGA-300n_r5-16Go-512Go
</t>
    </r>
    <r>
      <rPr>
        <b/>
        <sz val="11"/>
        <color theme="1"/>
        <rFont val="Arial"/>
        <family val="2"/>
      </rPr>
      <t>AMD Ryzen 5 PRO 340 (6 Cores, 2,3Ghz - 4,8 Ghz, L3 12MB)</t>
    </r>
    <r>
      <rPr>
        <b/>
        <sz val="11"/>
        <color rgb="FF000000"/>
        <rFont val="Arial"/>
        <family val="2"/>
      </rPr>
      <t xml:space="preserve"> (50 NPU TOPS)                                                                                            
</t>
    </r>
    <r>
      <rPr>
        <sz val="11"/>
        <color rgb="FF000000"/>
        <rFont val="Arial"/>
        <family val="2"/>
      </rPr>
      <t>Écran non tactile, 13,3" (33,8cm), WUXGA (1920 x 1200), 16/10, IPS Mat, 300cd/m²
16Go 5600 SODIMM DDR5 (1x16Go) soudé
SSD 512Go M.2 TLC</t>
    </r>
    <r>
      <rPr>
        <sz val="11"/>
        <color theme="1"/>
        <rFont val="Arial"/>
        <family val="2"/>
      </rPr>
      <t xml:space="preserve">
Mediatek RZ616 Wi-Fi 6E  (2x2 antennes), Bluetooth 5.3</t>
    </r>
    <r>
      <rPr>
        <sz val="11"/>
        <color rgb="FFFF0000"/>
        <rFont val="Arial"/>
        <family val="2"/>
      </rPr>
      <t xml:space="preserve">
</t>
    </r>
    <r>
      <rPr>
        <sz val="11"/>
        <color rgb="FF000000"/>
        <rFont val="Arial"/>
        <family val="2"/>
      </rPr>
      <t>Clavier rétro éclairé - Sans lecteur d‘empreintes digitales et sans lecteur de cartes à puce
Camera 5MP Cache Mécanique
Batterie 3 cellules 62 Whr, HP Long Life 1000 Cycles
Chargeur 100W USB-C
FreeDOS</t>
    </r>
  </si>
  <si>
    <r>
      <rPr>
        <b/>
        <sz val="11"/>
        <color theme="1"/>
        <rFont val="Arial"/>
        <family val="2"/>
      </rPr>
      <t xml:space="preserve">Cat3conf2C_8_G1a_14_NGAI_WUXGA-300n_r5-16Go-512Go
AMD Ryzen 5 340 (6 Cores, 2,3Ghz - 4,8 Ghz, L3 12MB) (50 NPU TOPS)                                                                                       
</t>
    </r>
    <r>
      <rPr>
        <sz val="11"/>
        <color theme="1"/>
        <rFont val="Arial"/>
        <family val="2"/>
      </rPr>
      <t>Écran non tactile, 14" (35,56cm) WUXGA (1920 x 1200), 16/10, IPS Mat, 300cd/m²
16Go 5600 SODIMM DDR5 (1x16Go) 
SSD 512Go M.2 TLC
Mediatek MT7925 Wi-Fi 7  (2x2 antennes), Bluetooth 5.4
Clavier rétro éclairé - Sans lecteur d‘empreintes digitales et sans lecteur de cartes à puce
Camera 5MP Cache Mécanique
Batterie 3 cellules 62 Whr, HP Long Life 1000 Cycles
Chargeur 100W USB-C
FreeDOS</t>
    </r>
  </si>
  <si>
    <r>
      <rPr>
        <b/>
        <sz val="11"/>
        <color theme="1"/>
        <rFont val="Arial"/>
        <family val="2"/>
      </rPr>
      <t xml:space="preserve">Cat3conf3D_8_G1a_16_NGAI_WUXGA-300n_r5-16Go-512Go
AMD Ryzen 5 340 (6 Cores, 2,3Ghz - 4,8 Ghz, L3 12MB) (50 NPU TOPS)                                                                                          
</t>
    </r>
    <r>
      <rPr>
        <sz val="11"/>
        <color theme="1"/>
        <rFont val="Arial"/>
        <family val="2"/>
      </rPr>
      <t xml:space="preserve">Écran non tactile, 16" (40,6cm) WUXGA (1920 x 1200), 16/10, IPS Mat, 300cd/m²
16Go 5600 SODIMM DDR5 (1x16Go) 
SSD 512Go M.2 TLC
Mediatek MT7925 Wi-Fi 7  </t>
    </r>
    <r>
      <rPr>
        <sz val="11"/>
        <color rgb="FFFF0000"/>
        <rFont val="Arial"/>
        <family val="2"/>
      </rPr>
      <t>(</t>
    </r>
    <r>
      <rPr>
        <sz val="11"/>
        <color theme="1"/>
        <rFont val="Arial"/>
        <family val="2"/>
      </rPr>
      <t>2x2 antennes), Bluetooth 5.4
Clavier rétro éclairé - Sans lecteur d‘empreintes digitales et sans lecteur de cartes à puce
Camera 5MP Cache Mécanique
Batterie 3 cellules 62 Whr, HP Long Life 1000 Cycles
Chargeur 100W USB-C
FreeDOS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</si>
</sst>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7">
    <numFmt numFmtId="6" formatCode="#,##0\ &quot;€&quot;;[Red]\-#,##0\ &quot;€&quot;"/>
    <numFmt numFmtId="44" formatCode="_-* #,##0.00\ &quot;€&quot;_-;\-* #,##0.00\ &quot;€&quot;_-;_-* &quot;-&quot;??\ &quot;€&quot;_-;_-@_-"/>
    <numFmt numFmtId="43" formatCode="_-* #,##0.00_-;\-* #,##0.00_-;_-* &quot;-&quot;??_-;_-@_-"/>
    <numFmt numFmtId="164" formatCode="_(&quot;$&quot;* #,##0.00_);_(&quot;$&quot;* \(#,##0.00\);_(&quot;$&quot;* &quot;-&quot;??_);_(@_)"/>
    <numFmt numFmtId="165" formatCode="_(* #,##0.00_);_(* \(#,##0.00\);_(* &quot;-&quot;??_);_(@_)"/>
    <numFmt numFmtId="166" formatCode="dd/mm/yy;@"/>
    <numFmt numFmtId="167" formatCode="0.000%"/>
    <numFmt numFmtId="168" formatCode="0.0000"/>
    <numFmt numFmtId="169" formatCode="_-* #,##0.00\ [$€-40C]_-;\-* #,##0.00\ [$€-40C]_-;_-* &quot;-&quot;??\ [$€-40C]_-;_-@_-"/>
    <numFmt numFmtId="170" formatCode="_(&quot;€&quot;* #,##0.00_);_(&quot;€&quot;* \(#,##0.00\);_(&quot;€&quot;* &quot;-&quot;??_);_(@_)"/>
    <numFmt numFmtId="171" formatCode="[$$-409]#,##0.00;[Red]\-[$$-409]#,##0.00"/>
    <numFmt numFmtId="172" formatCode="#,##0\ [$€-1];[Red]\-#,##0\ [$€-1]"/>
    <numFmt numFmtId="173" formatCode="#,##0.00\ [$€-1];[Red]\-#,##0.00\ [$€-1]"/>
    <numFmt numFmtId="174" formatCode="#,##0\ &quot;€&quot;"/>
    <numFmt numFmtId="175" formatCode="_([$€-2]\ * #,##0.00_);_([$€-2]\ * \(#,##0.00\);_([$€-2]\ * &quot;-&quot;??_);_(@_)"/>
    <numFmt numFmtId="176" formatCode="[$-409]d\-mmm\-yy;@"/>
    <numFmt numFmtId="177" formatCode="[$-409]dd\-mmm\-yy;@"/>
  </numFmts>
  <fonts count="79">
    <font>
      <sz val="11"/>
      <color theme="1"/>
      <name val="Calibri"/>
      <family val="2"/>
      <scheme val="minor"/>
    </font>
    <font>
      <sz val="11"/>
      <color theme="1"/>
      <name val="Calibri"/>
      <family val="2"/>
      <scheme val="minor"/>
    </font>
    <font>
      <sz val="11"/>
      <color theme="1"/>
      <name val="Arial"/>
      <family val="2"/>
    </font>
    <font>
      <sz val="10"/>
      <color theme="1"/>
      <name val="Arial"/>
      <family val="2"/>
    </font>
    <font>
      <sz val="10"/>
      <name val="Arial"/>
      <family val="2"/>
    </font>
    <font>
      <sz val="10"/>
      <color rgb="FF000000"/>
      <name val="Arial"/>
      <family val="2"/>
    </font>
    <font>
      <sz val="10"/>
      <color rgb="FFFF0000"/>
      <name val="Arial"/>
      <family val="2"/>
    </font>
    <font>
      <sz val="11"/>
      <color rgb="FF9C6500"/>
      <name val="Calibri"/>
      <family val="2"/>
      <scheme val="minor"/>
    </font>
    <font>
      <b/>
      <sz val="12"/>
      <color indexed="12"/>
      <name val="Arial"/>
      <family val="2"/>
    </font>
    <font>
      <sz val="28"/>
      <color theme="1"/>
      <name val="Calibri"/>
      <family val="2"/>
      <scheme val="minor"/>
    </font>
    <font>
      <sz val="8"/>
      <name val="Calibri"/>
      <family val="2"/>
      <scheme val="minor"/>
    </font>
    <font>
      <b/>
      <sz val="11"/>
      <color theme="1"/>
      <name val="Arial"/>
      <family val="2"/>
    </font>
    <font>
      <sz val="10"/>
      <color rgb="FF000000"/>
      <name val="Times New Roman"/>
      <family val="1"/>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sz val="11"/>
      <color indexed="62"/>
      <name val="Calibri"/>
      <family val="2"/>
    </font>
    <font>
      <sz val="11"/>
      <color indexed="52"/>
      <name val="Calibri"/>
      <family val="2"/>
    </font>
    <font>
      <sz val="11"/>
      <color indexed="60"/>
      <name val="Calibri"/>
      <family val="2"/>
    </font>
    <font>
      <b/>
      <sz val="11"/>
      <color indexed="63"/>
      <name val="Calibri"/>
      <family val="2"/>
    </font>
    <font>
      <sz val="12"/>
      <name val="Times New Roman"/>
      <family val="1"/>
    </font>
    <font>
      <b/>
      <sz val="18"/>
      <color indexed="56"/>
      <name val="Cambria"/>
      <family val="2"/>
    </font>
    <font>
      <b/>
      <sz val="11"/>
      <color indexed="8"/>
      <name val="Calibri"/>
      <family val="2"/>
    </font>
    <font>
      <sz val="11"/>
      <color indexed="10"/>
      <name val="Calibri"/>
      <family val="2"/>
    </font>
    <font>
      <sz val="11"/>
      <color rgb="FFC00000"/>
      <name val="Arial"/>
      <family val="2"/>
    </font>
    <font>
      <sz val="18"/>
      <color theme="3"/>
      <name val="Calibri Light"/>
      <family val="2"/>
      <scheme val="major"/>
    </font>
    <font>
      <sz val="11"/>
      <color rgb="FF3F3F76"/>
      <name val="Calibri"/>
      <family val="2"/>
      <scheme val="minor"/>
    </font>
    <font>
      <sz val="11"/>
      <color indexed="64"/>
      <name val="Calibri"/>
      <family val="2"/>
    </font>
    <font>
      <sz val="11"/>
      <color indexed="65"/>
      <name val="Calibri"/>
      <family val="2"/>
    </font>
    <font>
      <u/>
      <sz val="10"/>
      <color theme="10"/>
      <name val="Arial"/>
      <family val="2"/>
    </font>
    <font>
      <u/>
      <sz val="10"/>
      <color indexed="4"/>
      <name val="Arial"/>
      <family val="2"/>
    </font>
    <font>
      <b/>
      <sz val="18"/>
      <color indexed="56"/>
      <name val="Cambria"/>
      <family val="1"/>
    </font>
    <font>
      <b/>
      <sz val="11"/>
      <color indexed="65"/>
      <name val="Calibri"/>
      <family val="2"/>
    </font>
    <font>
      <sz val="11"/>
      <name val="Arial"/>
      <family val="2"/>
    </font>
    <font>
      <sz val="11"/>
      <color rgb="FF000000"/>
      <name val="Arial"/>
      <family val="2"/>
    </font>
    <font>
      <b/>
      <sz val="11"/>
      <name val="Arial"/>
      <family val="2"/>
    </font>
    <font>
      <sz val="11"/>
      <color theme="9"/>
      <name val="Arial"/>
      <family val="2"/>
    </font>
    <font>
      <b/>
      <sz val="11"/>
      <color indexed="12"/>
      <name val="Arial"/>
      <family val="2"/>
    </font>
    <font>
      <b/>
      <sz val="11"/>
      <color rgb="FF000000"/>
      <name val="Arial"/>
      <family val="2"/>
    </font>
    <font>
      <b/>
      <sz val="11"/>
      <color indexed="64"/>
      <name val="Arial"/>
      <family val="2"/>
    </font>
    <font>
      <sz val="11"/>
      <color indexed="64"/>
      <name val="Arial"/>
      <family val="2"/>
    </font>
    <font>
      <sz val="11"/>
      <color rgb="FFFF0000"/>
      <name val="Arial"/>
      <family val="2"/>
    </font>
    <font>
      <b/>
      <sz val="11"/>
      <color rgb="FFFF0000"/>
      <name val="Arial"/>
      <family val="2"/>
    </font>
    <font>
      <sz val="11"/>
      <color rgb="FF9C6500"/>
      <name val="Arial"/>
      <family val="2"/>
    </font>
    <font>
      <b/>
      <sz val="11"/>
      <color rgb="FF0000FF"/>
      <name val="Arial"/>
      <family val="2"/>
    </font>
    <font>
      <sz val="11"/>
      <color rgb="FF000000"/>
      <name val="Calibri"/>
      <family val="2"/>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1"/>
      <name val="Forma DJR Micro"/>
      <family val="2"/>
    </font>
    <font>
      <sz val="9"/>
      <name val="Arial"/>
      <family val="2"/>
    </font>
    <font>
      <sz val="10"/>
      <name val="Helv"/>
      <family val="2"/>
    </font>
    <font>
      <sz val="12"/>
      <color theme="1"/>
      <name val="Calibri"/>
      <family val="2"/>
      <charset val="136"/>
      <scheme val="minor"/>
    </font>
    <font>
      <sz val="11"/>
      <color rgb="FF000000"/>
      <name val="Calibri"/>
      <family val="2"/>
      <scheme val="minor"/>
    </font>
    <font>
      <sz val="11"/>
      <color rgb="FF000000"/>
      <name val="Aptos Narrow"/>
      <family val="2"/>
    </font>
    <font>
      <sz val="12"/>
      <color rgb="FF000000"/>
      <name val="Forma DJR Micro"/>
    </font>
    <font>
      <sz val="11"/>
      <color rgb="FF000000"/>
      <name val="Aptos Narrow"/>
      <family val="2"/>
      <charset val="1"/>
    </font>
    <font>
      <sz val="11"/>
      <name val="Calibri"/>
      <family val="2"/>
      <scheme val="minor"/>
    </font>
    <font>
      <sz val="11"/>
      <color rgb="FF000000"/>
      <name val="Arial"/>
      <family val="2"/>
    </font>
  </fonts>
  <fills count="107">
    <fill>
      <patternFill patternType="none"/>
    </fill>
    <fill>
      <patternFill patternType="gray125"/>
    </fill>
    <fill>
      <patternFill patternType="solid">
        <fgColor rgb="FFFFEB9C"/>
      </patternFill>
    </fill>
    <fill>
      <patternFill patternType="solid">
        <fgColor theme="8" tint="-0.249977111117893"/>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theme="0"/>
        <bgColor indexed="64"/>
      </patternFill>
    </fill>
    <fill>
      <patternFill patternType="solid">
        <fgColor theme="7" tint="0.59999389629810485"/>
        <bgColor indexed="13"/>
      </patternFill>
    </fill>
    <fill>
      <patternFill patternType="solid">
        <fgColor theme="7" tint="0.59999389629810485"/>
        <bgColor indexed="22"/>
      </patternFill>
    </fill>
    <fill>
      <patternFill patternType="solid">
        <fgColor theme="7" tint="0.59999389629810485"/>
        <bgColor indexed="64"/>
      </patternFill>
    </fill>
    <fill>
      <patternFill patternType="solid">
        <fgColor rgb="FFD8D8D8"/>
        <bgColor indexed="64"/>
      </patternFill>
    </fill>
    <fill>
      <patternFill patternType="solid">
        <fgColor theme="8" tint="0.59999389629810485"/>
        <bgColor indexed="13"/>
      </patternFill>
    </fill>
    <fill>
      <patternFill patternType="solid">
        <fgColor theme="8" tint="0.59999389629810485"/>
        <bgColor indexed="22"/>
      </patternFill>
    </fill>
    <fill>
      <patternFill patternType="solid">
        <fgColor theme="8" tint="0.59999389629810485"/>
        <bgColor indexed="64"/>
      </patternFill>
    </fill>
    <fill>
      <patternFill patternType="solid">
        <fgColor theme="9" tint="0.59999389629810485"/>
        <bgColor indexed="13"/>
      </patternFill>
    </fill>
    <fill>
      <patternFill patternType="solid">
        <fgColor theme="9" tint="0.59999389629810485"/>
        <bgColor indexed="22"/>
      </patternFill>
    </fill>
    <fill>
      <patternFill patternType="solid">
        <fgColor theme="9" tint="0.59999389629810485"/>
        <bgColor indexed="64"/>
      </patternFill>
    </fill>
    <fill>
      <patternFill patternType="solid">
        <fgColor theme="5" tint="0.59999389629810485"/>
        <bgColor indexed="13"/>
      </patternFill>
    </fill>
    <fill>
      <patternFill patternType="solid">
        <fgColor theme="5" tint="0.59999389629810485"/>
        <bgColor indexed="22"/>
      </patternFill>
    </fill>
    <fill>
      <patternFill patternType="solid">
        <fgColor theme="5" tint="0.59999389629810485"/>
        <bgColor indexed="64"/>
      </patternFill>
    </fill>
    <fill>
      <patternFill patternType="solid">
        <fgColor rgb="FFFFFFFF"/>
        <bgColor indexed="64"/>
      </patternFill>
    </fill>
    <fill>
      <patternFill patternType="solid">
        <fgColor rgb="FFFFFFFF"/>
        <bgColor rgb="FFFFFFFF"/>
      </patternFill>
    </fill>
    <fill>
      <patternFill patternType="solid">
        <fgColor theme="4" tint="0.79998168889431442"/>
        <bgColor indexed="64"/>
      </patternFill>
    </fill>
    <fill>
      <patternFill patternType="solid">
        <fgColor rgb="FFFFFF00"/>
        <bgColor indexed="64"/>
      </patternFill>
    </fill>
    <fill>
      <patternFill patternType="solid">
        <fgColor theme="0"/>
        <bgColor rgb="FFFFFFFF"/>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0" tint="-0.14996795556505021"/>
        <bgColor indexed="64"/>
      </patternFill>
    </fill>
    <fill>
      <patternFill patternType="solid">
        <fgColor indexed="31"/>
        <bgColor indexed="31"/>
      </patternFill>
    </fill>
    <fill>
      <patternFill patternType="solid">
        <fgColor indexed="45"/>
        <bgColor indexed="45"/>
      </patternFill>
    </fill>
    <fill>
      <patternFill patternType="solid">
        <fgColor indexed="42"/>
        <bgColor indexed="42"/>
      </patternFill>
    </fill>
    <fill>
      <patternFill patternType="solid">
        <fgColor indexed="46"/>
        <bgColor indexed="46"/>
      </patternFill>
    </fill>
    <fill>
      <patternFill patternType="solid">
        <fgColor indexed="27"/>
        <bgColor indexed="27"/>
      </patternFill>
    </fill>
    <fill>
      <patternFill patternType="solid">
        <fgColor indexed="47"/>
        <bgColor indexed="47"/>
      </patternFill>
    </fill>
    <fill>
      <patternFill patternType="solid">
        <fgColor indexed="44"/>
        <bgColor indexed="44"/>
      </patternFill>
    </fill>
    <fill>
      <patternFill patternType="solid">
        <fgColor indexed="29"/>
        <bgColor indexed="29"/>
      </patternFill>
    </fill>
    <fill>
      <patternFill patternType="solid">
        <fgColor indexed="3"/>
        <bgColor indexed="3"/>
      </patternFill>
    </fill>
    <fill>
      <patternFill patternType="solid">
        <fgColor indexed="51"/>
        <bgColor indexed="51"/>
      </patternFill>
    </fill>
    <fill>
      <patternFill patternType="solid">
        <fgColor indexed="30"/>
        <bgColor indexed="30"/>
      </patternFill>
    </fill>
    <fill>
      <patternFill patternType="solid">
        <fgColor indexed="20"/>
        <bgColor indexed="20"/>
      </patternFill>
    </fill>
    <fill>
      <patternFill patternType="solid">
        <fgColor indexed="49"/>
        <bgColor indexed="49"/>
      </patternFill>
    </fill>
    <fill>
      <patternFill patternType="solid">
        <fgColor indexed="52"/>
        <bgColor indexed="52"/>
      </patternFill>
    </fill>
    <fill>
      <patternFill patternType="solid">
        <fgColor indexed="62"/>
        <bgColor indexed="62"/>
      </patternFill>
    </fill>
    <fill>
      <patternFill patternType="solid">
        <fgColor indexed="2"/>
        <bgColor indexed="2"/>
      </patternFill>
    </fill>
    <fill>
      <patternFill patternType="solid">
        <fgColor indexed="57"/>
        <bgColor indexed="57"/>
      </patternFill>
    </fill>
    <fill>
      <patternFill patternType="solid">
        <fgColor indexed="53"/>
        <bgColor indexed="53"/>
      </patternFill>
    </fill>
    <fill>
      <patternFill patternType="solid">
        <fgColor indexed="22"/>
        <bgColor indexed="22"/>
      </patternFill>
    </fill>
    <fill>
      <patternFill patternType="solid">
        <fgColor indexed="43"/>
        <bgColor indexed="43"/>
      </patternFill>
    </fill>
    <fill>
      <patternFill patternType="solid">
        <fgColor rgb="FFA6A6A6"/>
        <bgColor rgb="FF000000"/>
      </patternFill>
    </fill>
    <fill>
      <patternFill patternType="solid">
        <fgColor theme="2" tint="-0.249977111117893"/>
        <bgColor indexed="64"/>
      </patternFill>
    </fill>
    <fill>
      <patternFill patternType="solid">
        <fgColor rgb="FFD8D8D8"/>
        <bgColor rgb="FF000000"/>
      </patternFill>
    </fill>
    <fill>
      <patternFill patternType="solid">
        <fgColor rgb="FFFFE699"/>
        <bgColor rgb="FF000000"/>
      </patternFill>
    </fill>
    <fill>
      <patternFill patternType="solid">
        <fgColor rgb="FFFFE699"/>
        <bgColor rgb="FFC0C0C0"/>
      </patternFill>
    </fill>
    <fill>
      <patternFill patternType="solid">
        <fgColor rgb="FF92D050"/>
        <bgColor indexed="64"/>
      </patternFill>
    </fill>
    <fill>
      <patternFill patternType="solid">
        <fgColor rgb="FFDBDBDB"/>
        <bgColor rgb="FF000000"/>
      </patternFill>
    </fill>
    <fill>
      <patternFill patternType="solid">
        <fgColor rgb="FFC6EFCE"/>
      </patternFill>
    </fill>
    <fill>
      <patternFill patternType="solid">
        <fgColor rgb="FFFFC7CE"/>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FF"/>
        <bgColor rgb="FF000000"/>
      </patternFill>
    </fill>
    <fill>
      <patternFill patternType="solid">
        <fgColor theme="0"/>
        <bgColor indexed="22"/>
      </patternFill>
    </fill>
  </fills>
  <borders count="42">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rgb="FFD3D3D3"/>
      </left>
      <right style="thin">
        <color rgb="FFD3D3D3"/>
      </right>
      <top/>
      <bottom style="thin">
        <color rgb="FFD3D3D3"/>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thin">
        <color indexed="64"/>
      </top>
      <bottom/>
      <diagonal/>
    </border>
    <border>
      <left/>
      <right/>
      <top style="thin">
        <color indexed="64"/>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rgb="FF7F7F7F"/>
      </left>
      <right style="thin">
        <color rgb="FF7F7F7F"/>
      </right>
      <top style="thin">
        <color rgb="FF7F7F7F"/>
      </top>
      <bottom style="thin">
        <color rgb="FF7F7F7F"/>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D3D3D3"/>
      </right>
      <top/>
      <bottom style="thin">
        <color rgb="FFD3D3D3"/>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bottom style="thin">
        <color indexed="64"/>
      </bottom>
      <diagonal/>
    </border>
    <border>
      <left style="thin">
        <color indexed="64"/>
      </left>
      <right/>
      <top style="thin">
        <color indexed="64"/>
      </top>
      <bottom/>
      <diagonal/>
    </border>
    <border>
      <left style="thin">
        <color rgb="FFBFBFBF"/>
      </left>
      <right style="thin">
        <color rgb="FFBFBFBF"/>
      </right>
      <top/>
      <bottom style="thin">
        <color rgb="FF9BC2E6"/>
      </bottom>
      <diagonal/>
    </border>
    <border>
      <left style="medium">
        <color indexed="64"/>
      </left>
      <right style="thin">
        <color rgb="FFBFBFBF"/>
      </right>
      <top/>
      <bottom style="thin">
        <color rgb="FF9BC2E6"/>
      </bottom>
      <diagonal/>
    </border>
  </borders>
  <cellStyleXfs count="1201">
    <xf numFmtId="0" fontId="0" fillId="0" borderId="0"/>
    <xf numFmtId="0" fontId="4" fillId="0" borderId="0"/>
    <xf numFmtId="0" fontId="3" fillId="0" borderId="0"/>
    <xf numFmtId="0" fontId="7" fillId="2" borderId="0" applyNumberFormat="0" applyBorder="0" applyAlignment="0" applyProtection="0"/>
    <xf numFmtId="0" fontId="7" fillId="2" borderId="0" applyNumberFormat="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12" fillId="0" borderId="0"/>
    <xf numFmtId="0" fontId="13" fillId="0" borderId="0"/>
    <xf numFmtId="0" fontId="4" fillId="0" borderId="0"/>
    <xf numFmtId="0" fontId="4" fillId="0" borderId="0"/>
    <xf numFmtId="0" fontId="4" fillId="0" borderId="0"/>
    <xf numFmtId="0" fontId="4" fillId="0" borderId="0"/>
    <xf numFmtId="0" fontId="4" fillId="0" borderId="0"/>
    <xf numFmtId="0" fontId="14" fillId="25" borderId="0" applyNumberFormat="0" applyBorder="0" applyAlignment="0" applyProtection="0"/>
    <xf numFmtId="0" fontId="14" fillId="25" borderId="0" applyNumberFormat="0" applyBorder="0" applyAlignment="0" applyProtection="0"/>
    <xf numFmtId="0" fontId="14" fillId="25" borderId="0" applyNumberFormat="0" applyBorder="0" applyAlignment="0" applyProtection="0"/>
    <xf numFmtId="0" fontId="14" fillId="26" borderId="0" applyNumberFormat="0" applyBorder="0" applyAlignment="0" applyProtection="0"/>
    <xf numFmtId="0" fontId="14" fillId="26" borderId="0" applyNumberFormat="0" applyBorder="0" applyAlignment="0" applyProtection="0"/>
    <xf numFmtId="0" fontId="14" fillId="26" borderId="0" applyNumberFormat="0" applyBorder="0" applyAlignment="0" applyProtection="0"/>
    <xf numFmtId="0" fontId="14" fillId="27" borderId="0" applyNumberFormat="0" applyBorder="0" applyAlignment="0" applyProtection="0"/>
    <xf numFmtId="0" fontId="14" fillId="27" borderId="0" applyNumberFormat="0" applyBorder="0" applyAlignment="0" applyProtection="0"/>
    <xf numFmtId="0" fontId="14" fillId="27" borderId="0" applyNumberFormat="0" applyBorder="0" applyAlignment="0" applyProtection="0"/>
    <xf numFmtId="0" fontId="14" fillId="28" borderId="0" applyNumberFormat="0" applyBorder="0" applyAlignment="0" applyProtection="0"/>
    <xf numFmtId="0" fontId="14" fillId="28" borderId="0" applyNumberFormat="0" applyBorder="0" applyAlignment="0" applyProtection="0"/>
    <xf numFmtId="0" fontId="14" fillId="28" borderId="0" applyNumberFormat="0" applyBorder="0" applyAlignment="0" applyProtection="0"/>
    <xf numFmtId="0" fontId="14" fillId="29" borderId="0" applyNumberFormat="0" applyBorder="0" applyAlignment="0" applyProtection="0"/>
    <xf numFmtId="0" fontId="14" fillId="29" borderId="0" applyNumberFormat="0" applyBorder="0" applyAlignment="0" applyProtection="0"/>
    <xf numFmtId="0" fontId="14" fillId="29" borderId="0" applyNumberFormat="0" applyBorder="0" applyAlignment="0" applyProtection="0"/>
    <xf numFmtId="0" fontId="14" fillId="30" borderId="0" applyNumberFormat="0" applyBorder="0" applyAlignment="0" applyProtection="0"/>
    <xf numFmtId="0" fontId="14" fillId="30" borderId="0" applyNumberFormat="0" applyBorder="0" applyAlignment="0" applyProtection="0"/>
    <xf numFmtId="0" fontId="14" fillId="30" borderId="0" applyNumberFormat="0" applyBorder="0" applyAlignment="0" applyProtection="0"/>
    <xf numFmtId="0" fontId="14" fillId="31" borderId="0" applyNumberFormat="0" applyBorder="0" applyAlignment="0" applyProtection="0"/>
    <xf numFmtId="0" fontId="14" fillId="31" borderId="0" applyNumberFormat="0" applyBorder="0" applyAlignment="0" applyProtection="0"/>
    <xf numFmtId="0" fontId="14" fillId="31" borderId="0" applyNumberFormat="0" applyBorder="0" applyAlignment="0" applyProtection="0"/>
    <xf numFmtId="0" fontId="14" fillId="32" borderId="0" applyNumberFormat="0" applyBorder="0" applyAlignment="0" applyProtection="0"/>
    <xf numFmtId="0" fontId="14" fillId="32" borderId="0" applyNumberFormat="0" applyBorder="0" applyAlignment="0" applyProtection="0"/>
    <xf numFmtId="0" fontId="14" fillId="32" borderId="0" applyNumberFormat="0" applyBorder="0" applyAlignment="0" applyProtection="0"/>
    <xf numFmtId="0" fontId="14" fillId="33" borderId="0" applyNumberFormat="0" applyBorder="0" applyAlignment="0" applyProtection="0"/>
    <xf numFmtId="0" fontId="14" fillId="33" borderId="0" applyNumberFormat="0" applyBorder="0" applyAlignment="0" applyProtection="0"/>
    <xf numFmtId="0" fontId="14" fillId="33" borderId="0" applyNumberFormat="0" applyBorder="0" applyAlignment="0" applyProtection="0"/>
    <xf numFmtId="0" fontId="14" fillId="28" borderId="0" applyNumberFormat="0" applyBorder="0" applyAlignment="0" applyProtection="0"/>
    <xf numFmtId="0" fontId="14" fillId="28" borderId="0" applyNumberFormat="0" applyBorder="0" applyAlignment="0" applyProtection="0"/>
    <xf numFmtId="0" fontId="14" fillId="28" borderId="0" applyNumberFormat="0" applyBorder="0" applyAlignment="0" applyProtection="0"/>
    <xf numFmtId="0" fontId="14" fillId="31" borderId="0" applyNumberFormat="0" applyBorder="0" applyAlignment="0" applyProtection="0"/>
    <xf numFmtId="0" fontId="14" fillId="31" borderId="0" applyNumberFormat="0" applyBorder="0" applyAlignment="0" applyProtection="0"/>
    <xf numFmtId="0" fontId="14" fillId="31" borderId="0" applyNumberFormat="0" applyBorder="0" applyAlignment="0" applyProtection="0"/>
    <xf numFmtId="0" fontId="14" fillId="34" borderId="0" applyNumberFormat="0" applyBorder="0" applyAlignment="0" applyProtection="0"/>
    <xf numFmtId="0" fontId="14" fillId="34" borderId="0" applyNumberFormat="0" applyBorder="0" applyAlignment="0" applyProtection="0"/>
    <xf numFmtId="0" fontId="14" fillId="34"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2" borderId="0" applyNumberFormat="0" applyBorder="0" applyAlignment="0" applyProtection="0"/>
    <xf numFmtId="0" fontId="15" fillId="32" borderId="0" applyNumberFormat="0" applyBorder="0" applyAlignment="0" applyProtection="0"/>
    <xf numFmtId="0" fontId="15" fillId="32" borderId="0" applyNumberFormat="0" applyBorder="0" applyAlignment="0" applyProtection="0"/>
    <xf numFmtId="0" fontId="15" fillId="33" borderId="0" applyNumberFormat="0" applyBorder="0" applyAlignment="0" applyProtection="0"/>
    <xf numFmtId="0" fontId="15" fillId="33" borderId="0" applyNumberFormat="0" applyBorder="0" applyAlignment="0" applyProtection="0"/>
    <xf numFmtId="0" fontId="15" fillId="33" borderId="0" applyNumberFormat="0" applyBorder="0" applyAlignment="0" applyProtection="0"/>
    <xf numFmtId="0" fontId="15" fillId="36" borderId="0" applyNumberFormat="0" applyBorder="0" applyAlignment="0" applyProtection="0"/>
    <xf numFmtId="0" fontId="15" fillId="36" borderId="0" applyNumberFormat="0" applyBorder="0" applyAlignment="0" applyProtection="0"/>
    <xf numFmtId="0" fontId="15" fillId="36"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1" borderId="0" applyNumberFormat="0" applyBorder="0" applyAlignment="0" applyProtection="0"/>
    <xf numFmtId="0" fontId="15" fillId="41" borderId="0" applyNumberFormat="0" applyBorder="0" applyAlignment="0" applyProtection="0"/>
    <xf numFmtId="0" fontId="15" fillId="41" borderId="0" applyNumberFormat="0" applyBorder="0" applyAlignment="0" applyProtection="0"/>
    <xf numFmtId="0" fontId="15" fillId="36" borderId="0" applyNumberFormat="0" applyBorder="0" applyAlignment="0" applyProtection="0"/>
    <xf numFmtId="0" fontId="15" fillId="36" borderId="0" applyNumberFormat="0" applyBorder="0" applyAlignment="0" applyProtection="0"/>
    <xf numFmtId="0" fontId="15" fillId="36"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37"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16" fillId="26" borderId="0" applyNumberFormat="0" applyBorder="0" applyAlignment="0" applyProtection="0"/>
    <xf numFmtId="0" fontId="16" fillId="26" borderId="0" applyNumberFormat="0" applyBorder="0" applyAlignment="0" applyProtection="0"/>
    <xf numFmtId="0" fontId="16" fillId="26" borderId="0" applyNumberFormat="0" applyBorder="0" applyAlignment="0" applyProtection="0"/>
    <xf numFmtId="0" fontId="17" fillId="43" borderId="15" applyNumberFormat="0" applyAlignment="0" applyProtection="0"/>
    <xf numFmtId="0" fontId="17" fillId="43" borderId="15" applyNumberFormat="0" applyAlignment="0" applyProtection="0"/>
    <xf numFmtId="0" fontId="17" fillId="43" borderId="15" applyNumberFormat="0" applyAlignment="0" applyProtection="0"/>
    <xf numFmtId="0" fontId="18" fillId="44" borderId="16" applyNumberFormat="0" applyAlignment="0" applyProtection="0"/>
    <xf numFmtId="0" fontId="18" fillId="44" borderId="16" applyNumberFormat="0" applyAlignment="0" applyProtection="0"/>
    <xf numFmtId="0" fontId="18" fillId="44" borderId="16" applyNumberFormat="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20" fillId="27" borderId="0" applyNumberFormat="0" applyBorder="0" applyAlignment="0" applyProtection="0"/>
    <xf numFmtId="0" fontId="20" fillId="27" borderId="0" applyNumberFormat="0" applyBorder="0" applyAlignment="0" applyProtection="0"/>
    <xf numFmtId="0" fontId="20" fillId="27" borderId="0" applyNumberFormat="0" applyBorder="0" applyAlignment="0" applyProtection="0"/>
    <xf numFmtId="0" fontId="21" fillId="0" borderId="17" applyNumberFormat="0" applyFill="0" applyAlignment="0" applyProtection="0"/>
    <xf numFmtId="0" fontId="21" fillId="0" borderId="17" applyNumberFormat="0" applyFill="0" applyAlignment="0" applyProtection="0"/>
    <xf numFmtId="0" fontId="21" fillId="0" borderId="17" applyNumberFormat="0" applyFill="0" applyAlignment="0" applyProtection="0"/>
    <xf numFmtId="0" fontId="22" fillId="0" borderId="18" applyNumberFormat="0" applyFill="0" applyAlignment="0" applyProtection="0"/>
    <xf numFmtId="0" fontId="22" fillId="0" borderId="18" applyNumberFormat="0" applyFill="0" applyAlignment="0" applyProtection="0"/>
    <xf numFmtId="0" fontId="22" fillId="0" borderId="18" applyNumberFormat="0" applyFill="0" applyAlignment="0" applyProtection="0"/>
    <xf numFmtId="0" fontId="23" fillId="0" borderId="19" applyNumberFormat="0" applyFill="0" applyAlignment="0" applyProtection="0"/>
    <xf numFmtId="0" fontId="23" fillId="0" borderId="19" applyNumberFormat="0" applyFill="0" applyAlignment="0" applyProtection="0"/>
    <xf numFmtId="0" fontId="23" fillId="0" borderId="19" applyNumberFormat="0" applyFill="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alignment vertical="top"/>
      <protection locked="0"/>
    </xf>
    <xf numFmtId="0" fontId="24" fillId="0" borderId="0" applyNumberFormat="0" applyFill="0" applyBorder="0" applyAlignment="0" applyProtection="0">
      <alignment vertical="top"/>
      <protection locked="0"/>
    </xf>
    <xf numFmtId="0" fontId="25" fillId="30" borderId="15" applyNumberFormat="0" applyAlignment="0" applyProtection="0"/>
    <xf numFmtId="0" fontId="25" fillId="30" borderId="15" applyNumberFormat="0" applyAlignment="0" applyProtection="0"/>
    <xf numFmtId="0" fontId="25" fillId="30" borderId="15" applyNumberFormat="0" applyAlignment="0" applyProtection="0"/>
    <xf numFmtId="0" fontId="26" fillId="0" borderId="20" applyNumberFormat="0" applyFill="0" applyAlignment="0" applyProtection="0"/>
    <xf numFmtId="0" fontId="26" fillId="0" borderId="20" applyNumberFormat="0" applyFill="0" applyAlignment="0" applyProtection="0"/>
    <xf numFmtId="0" fontId="26" fillId="0" borderId="20" applyNumberFormat="0" applyFill="0" applyAlignment="0" applyProtection="0"/>
    <xf numFmtId="0" fontId="27" fillId="45" borderId="0" applyNumberFormat="0" applyBorder="0" applyAlignment="0" applyProtection="0"/>
    <xf numFmtId="0" fontId="27" fillId="45" borderId="0" applyNumberFormat="0" applyBorder="0" applyAlignment="0" applyProtection="0"/>
    <xf numFmtId="0" fontId="27" fillId="45" borderId="0" applyNumberFormat="0" applyBorder="0" applyAlignment="0" applyProtection="0"/>
    <xf numFmtId="0" fontId="4" fillId="0" borderId="0"/>
    <xf numFmtId="0" fontId="4" fillId="0" borderId="0"/>
    <xf numFmtId="0" fontId="1" fillId="0" borderId="0"/>
    <xf numFmtId="0" fontId="4" fillId="46" borderId="21" applyNumberFormat="0" applyFont="0" applyAlignment="0" applyProtection="0"/>
    <xf numFmtId="0" fontId="4" fillId="46" borderId="21" applyNumberFormat="0" applyFont="0" applyAlignment="0" applyProtection="0"/>
    <xf numFmtId="0" fontId="4" fillId="46" borderId="21" applyNumberFormat="0" applyFont="0" applyAlignment="0" applyProtection="0"/>
    <xf numFmtId="0" fontId="28" fillId="43" borderId="22" applyNumberFormat="0" applyAlignment="0" applyProtection="0"/>
    <xf numFmtId="0" fontId="28" fillId="43" borderId="22" applyNumberFormat="0" applyAlignment="0" applyProtection="0"/>
    <xf numFmtId="0" fontId="28" fillId="43" borderId="22" applyNumberFormat="0" applyAlignment="0" applyProtection="0"/>
    <xf numFmtId="0" fontId="29" fillId="0" borderId="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1" fillId="0" borderId="23" applyNumberFormat="0" applyFill="0" applyAlignment="0" applyProtection="0"/>
    <xf numFmtId="0" fontId="31" fillId="0" borderId="23" applyNumberFormat="0" applyFill="0" applyAlignment="0" applyProtection="0"/>
    <xf numFmtId="0" fontId="31" fillId="0" borderId="23" applyNumberFormat="0" applyFill="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1"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17" fillId="43" borderId="15" applyNumberFormat="0" applyAlignment="0" applyProtection="0"/>
    <xf numFmtId="0" fontId="17" fillId="43" borderId="15" applyNumberFormat="0" applyAlignment="0" applyProtection="0"/>
    <xf numFmtId="0" fontId="17" fillId="43" borderId="15" applyNumberFormat="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21" fillId="0" borderId="17" applyNumberFormat="0" applyFill="0" applyAlignment="0" applyProtection="0"/>
    <xf numFmtId="0" fontId="21" fillId="0" borderId="17" applyNumberFormat="0" applyFill="0" applyAlignment="0" applyProtection="0"/>
    <xf numFmtId="0" fontId="21" fillId="0" borderId="17" applyNumberFormat="0" applyFill="0" applyAlignment="0" applyProtection="0"/>
    <xf numFmtId="0" fontId="22" fillId="0" borderId="18" applyNumberFormat="0" applyFill="0" applyAlignment="0" applyProtection="0"/>
    <xf numFmtId="0" fontId="22" fillId="0" borderId="18" applyNumberFormat="0" applyFill="0" applyAlignment="0" applyProtection="0"/>
    <xf numFmtId="0" fontId="22" fillId="0" borderId="18" applyNumberFormat="0" applyFill="0" applyAlignment="0" applyProtection="0"/>
    <xf numFmtId="0" fontId="23" fillId="0" borderId="19" applyNumberFormat="0" applyFill="0" applyAlignment="0" applyProtection="0"/>
    <xf numFmtId="0" fontId="23" fillId="0" borderId="19" applyNumberFormat="0" applyFill="0" applyAlignment="0" applyProtection="0"/>
    <xf numFmtId="0" fontId="23" fillId="0" borderId="19" applyNumberFormat="0" applyFill="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alignment vertical="top"/>
      <protection locked="0"/>
    </xf>
    <xf numFmtId="0" fontId="24" fillId="0" borderId="0" applyNumberFormat="0" applyFill="0" applyBorder="0" applyAlignment="0" applyProtection="0">
      <alignment vertical="top"/>
      <protection locked="0"/>
    </xf>
    <xf numFmtId="0" fontId="26" fillId="0" borderId="20" applyNumberFormat="0" applyFill="0" applyAlignment="0" applyProtection="0"/>
    <xf numFmtId="0" fontId="26" fillId="0" borderId="20" applyNumberFormat="0" applyFill="0" applyAlignment="0" applyProtection="0"/>
    <xf numFmtId="0" fontId="26" fillId="0" borderId="20" applyNumberFormat="0" applyFill="0" applyAlignment="0" applyProtection="0"/>
    <xf numFmtId="0" fontId="4" fillId="0" borderId="0"/>
    <xf numFmtId="0" fontId="4" fillId="0" borderId="0"/>
    <xf numFmtId="0" fontId="1" fillId="0" borderId="0"/>
    <xf numFmtId="0" fontId="4" fillId="46" borderId="21" applyNumberFormat="0" applyFont="0" applyAlignment="0" applyProtection="0"/>
    <xf numFmtId="0" fontId="4" fillId="46" borderId="21" applyNumberFormat="0" applyFont="0" applyAlignment="0" applyProtection="0"/>
    <xf numFmtId="0" fontId="28" fillId="43" borderId="22" applyNumberFormat="0" applyAlignment="0" applyProtection="0"/>
    <xf numFmtId="0" fontId="28" fillId="43" borderId="22" applyNumberFormat="0" applyAlignment="0" applyProtection="0"/>
    <xf numFmtId="0" fontId="28" fillId="43" borderId="22" applyNumberFormat="0" applyAlignment="0" applyProtection="0"/>
    <xf numFmtId="0" fontId="29" fillId="0" borderId="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1" fillId="0" borderId="23" applyNumberFormat="0" applyFill="0" applyAlignment="0" applyProtection="0"/>
    <xf numFmtId="0" fontId="31" fillId="0" borderId="23" applyNumberFormat="0" applyFill="0" applyAlignment="0" applyProtection="0"/>
    <xf numFmtId="0" fontId="31" fillId="0" borderId="23" applyNumberFormat="0" applyFill="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1" fillId="0" borderId="0"/>
    <xf numFmtId="164" fontId="13" fillId="0" borderId="0" applyFont="0" applyFill="0" applyBorder="0" applyAlignment="0" applyProtection="0"/>
    <xf numFmtId="0" fontId="35" fillId="47" borderId="24" applyAlignment="0">
      <alignment horizontal="center" vertical="top" wrapText="1"/>
    </xf>
    <xf numFmtId="0" fontId="34" fillId="0" borderId="0" applyNumberFormat="0" applyFill="0" applyBorder="0" applyAlignment="0" applyProtection="0"/>
    <xf numFmtId="171" fontId="4" fillId="0" borderId="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36" fillId="48" borderId="0" applyNumberFormat="0" applyBorder="0"/>
    <xf numFmtId="0" fontId="36" fillId="49" borderId="0" applyNumberFormat="0" applyBorder="0"/>
    <xf numFmtId="0" fontId="36" fillId="50" borderId="0" applyNumberFormat="0" applyBorder="0"/>
    <xf numFmtId="0" fontId="36" fillId="51" borderId="0" applyNumberFormat="0" applyBorder="0"/>
    <xf numFmtId="0" fontId="36" fillId="52" borderId="0" applyNumberFormat="0" applyBorder="0"/>
    <xf numFmtId="0" fontId="36" fillId="53" borderId="0" applyNumberFormat="0" applyBorder="0"/>
    <xf numFmtId="0" fontId="36" fillId="54" borderId="0" applyNumberFormat="0" applyBorder="0"/>
    <xf numFmtId="0" fontId="36" fillId="55" borderId="0" applyNumberFormat="0" applyBorder="0"/>
    <xf numFmtId="0" fontId="36" fillId="56" borderId="0" applyNumberFormat="0" applyBorder="0"/>
    <xf numFmtId="0" fontId="36" fillId="51" borderId="0" applyNumberFormat="0" applyBorder="0"/>
    <xf numFmtId="0" fontId="36" fillId="54" borderId="0" applyNumberFormat="0" applyBorder="0"/>
    <xf numFmtId="0" fontId="36" fillId="57" borderId="0" applyNumberFormat="0" applyBorder="0"/>
    <xf numFmtId="0" fontId="37" fillId="58" borderId="0" applyNumberFormat="0" applyBorder="0"/>
    <xf numFmtId="0" fontId="37" fillId="55" borderId="0" applyNumberFormat="0" applyBorder="0"/>
    <xf numFmtId="0" fontId="37" fillId="56" borderId="0" applyNumberFormat="0" applyBorder="0"/>
    <xf numFmtId="0" fontId="37" fillId="59" borderId="0" applyNumberFormat="0" applyBorder="0"/>
    <xf numFmtId="0" fontId="37" fillId="60" borderId="0" applyNumberFormat="0" applyBorder="0"/>
    <xf numFmtId="0" fontId="37" fillId="61" borderId="0" applyNumberFormat="0" applyBorder="0"/>
    <xf numFmtId="0" fontId="37" fillId="62" borderId="0" applyNumberFormat="0" applyBorder="0"/>
    <xf numFmtId="0" fontId="37" fillId="63" borderId="0" applyNumberFormat="0" applyBorder="0"/>
    <xf numFmtId="0" fontId="37" fillId="64" borderId="0" applyNumberFormat="0" applyBorder="0"/>
    <xf numFmtId="0" fontId="37" fillId="59" borderId="0" applyNumberFormat="0" applyBorder="0"/>
    <xf numFmtId="0" fontId="37" fillId="60" borderId="0" applyNumberFormat="0" applyBorder="0"/>
    <xf numFmtId="0" fontId="37" fillId="65" borderId="0" applyNumberFormat="0" applyBorder="0"/>
    <xf numFmtId="0" fontId="17" fillId="66" borderId="15" applyNumberFormat="0"/>
    <xf numFmtId="0" fontId="25" fillId="53" borderId="15" applyNumberFormat="0"/>
    <xf numFmtId="0" fontId="38" fillId="0" borderId="0" applyNumberFormat="0" applyFill="0" applyBorder="0"/>
    <xf numFmtId="0" fontId="16" fillId="49" borderId="0" applyNumberFormat="0" applyBorder="0"/>
    <xf numFmtId="0" fontId="39" fillId="0" borderId="0" applyNumberFormat="0" applyFill="0" applyBorder="0">
      <alignment vertical="top"/>
    </xf>
    <xf numFmtId="0" fontId="27" fillId="67" borderId="0" applyNumberFormat="0" applyBorder="0"/>
    <xf numFmtId="0" fontId="1" fillId="0" borderId="0"/>
    <xf numFmtId="0" fontId="20" fillId="50" borderId="0" applyNumberFormat="0" applyBorder="0"/>
    <xf numFmtId="0" fontId="28" fillId="66" borderId="22" applyNumberFormat="0"/>
    <xf numFmtId="0" fontId="40" fillId="0" borderId="0" applyNumberFormat="0" applyFill="0" applyBorder="0"/>
    <xf numFmtId="0" fontId="41" fillId="0" borderId="0" applyFont="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12" fillId="0" borderId="0"/>
    <xf numFmtId="0" fontId="4" fillId="0" borderId="0"/>
    <xf numFmtId="0" fontId="15" fillId="39" borderId="0" applyNumberFormat="0" applyBorder="0" applyAlignment="0" applyProtection="0"/>
    <xf numFmtId="0" fontId="15" fillId="40" borderId="0" applyNumberFormat="0" applyBorder="0" applyAlignment="0" applyProtection="0"/>
    <xf numFmtId="0" fontId="15" fillId="41" borderId="0" applyNumberFormat="0" applyBorder="0" applyAlignment="0" applyProtection="0"/>
    <xf numFmtId="0" fontId="15" fillId="36" borderId="0" applyNumberFormat="0" applyBorder="0" applyAlignment="0" applyProtection="0"/>
    <xf numFmtId="0" fontId="15" fillId="37" borderId="0" applyNumberFormat="0" applyBorder="0" applyAlignment="0" applyProtection="0"/>
    <xf numFmtId="0" fontId="15" fillId="42" borderId="0" applyNumberFormat="0" applyBorder="0" applyAlignment="0" applyProtection="0"/>
    <xf numFmtId="0" fontId="24" fillId="0" borderId="0" applyNumberFormat="0" applyFill="0" applyBorder="0" applyAlignment="0" applyProtection="0">
      <alignment vertical="top"/>
      <protection locked="0"/>
    </xf>
    <xf numFmtId="0" fontId="29" fillId="0" borderId="0"/>
    <xf numFmtId="0" fontId="30" fillId="0" borderId="0" applyNumberFormat="0" applyFill="0" applyBorder="0" applyAlignment="0" applyProtection="0"/>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54" fillId="0" borderId="0" applyBorder="0"/>
    <xf numFmtId="0" fontId="4" fillId="0" borderId="0"/>
    <xf numFmtId="0" fontId="4" fillId="0" borderId="0"/>
    <xf numFmtId="0" fontId="34" fillId="0" borderId="0" applyNumberFormat="0" applyFill="0" applyBorder="0" applyAlignment="0" applyProtection="0"/>
    <xf numFmtId="0" fontId="55" fillId="0" borderId="30" applyNumberFormat="0" applyFill="0" applyAlignment="0" applyProtection="0"/>
    <xf numFmtId="0" fontId="56" fillId="0" borderId="31" applyNumberFormat="0" applyFill="0" applyAlignment="0" applyProtection="0"/>
    <xf numFmtId="0" fontId="57" fillId="0" borderId="32" applyNumberFormat="0" applyFill="0" applyAlignment="0" applyProtection="0"/>
    <xf numFmtId="0" fontId="57" fillId="0" borderId="0" applyNumberFormat="0" applyFill="0" applyBorder="0" applyAlignment="0" applyProtection="0"/>
    <xf numFmtId="0" fontId="58" fillId="75" borderId="0" applyNumberFormat="0" applyBorder="0" applyAlignment="0" applyProtection="0"/>
    <xf numFmtId="0" fontId="59" fillId="76" borderId="0" applyNumberFormat="0" applyBorder="0" applyAlignment="0" applyProtection="0"/>
    <xf numFmtId="0" fontId="60" fillId="2" borderId="0" applyNumberFormat="0" applyBorder="0" applyAlignment="0" applyProtection="0"/>
    <xf numFmtId="0" fontId="35" fillId="77" borderId="24" applyNumberFormat="0" applyAlignment="0" applyProtection="0"/>
    <xf numFmtId="0" fontId="61" fillId="78" borderId="33" applyNumberFormat="0" applyAlignment="0" applyProtection="0"/>
    <xf numFmtId="0" fontId="62" fillId="78" borderId="24" applyNumberFormat="0" applyAlignment="0" applyProtection="0"/>
    <xf numFmtId="0" fontId="63" fillId="0" borderId="34" applyNumberFormat="0" applyFill="0" applyAlignment="0" applyProtection="0"/>
    <xf numFmtId="0" fontId="64" fillId="79" borderId="35" applyNumberFormat="0" applyAlignment="0" applyProtection="0"/>
    <xf numFmtId="0" fontId="65" fillId="0" borderId="0" applyNumberFormat="0" applyFill="0" applyBorder="0" applyAlignment="0" applyProtection="0"/>
    <xf numFmtId="0" fontId="1" fillId="80" borderId="36" applyNumberFormat="0" applyFont="0" applyAlignment="0" applyProtection="0"/>
    <xf numFmtId="0" fontId="66" fillId="0" borderId="0" applyNumberFormat="0" applyFill="0" applyBorder="0" applyAlignment="0" applyProtection="0"/>
    <xf numFmtId="0" fontId="67" fillId="0" borderId="37" applyNumberFormat="0" applyFill="0" applyAlignment="0" applyProtection="0"/>
    <xf numFmtId="0" fontId="68" fillId="81" borderId="0" applyNumberFormat="0" applyBorder="0" applyAlignment="0" applyProtection="0"/>
    <xf numFmtId="0" fontId="1" fillId="82" borderId="0" applyNumberFormat="0" applyBorder="0" applyAlignment="0" applyProtection="0"/>
    <xf numFmtId="0" fontId="1" fillId="83" borderId="0" applyNumberFormat="0" applyBorder="0" applyAlignment="0" applyProtection="0"/>
    <xf numFmtId="0" fontId="1" fillId="84" borderId="0" applyNumberFormat="0" applyBorder="0" applyAlignment="0" applyProtection="0"/>
    <xf numFmtId="0" fontId="68" fillId="85" borderId="0" applyNumberFormat="0" applyBorder="0" applyAlignment="0" applyProtection="0"/>
    <xf numFmtId="0" fontId="1" fillId="86" borderId="0" applyNumberFormat="0" applyBorder="0" applyAlignment="0" applyProtection="0"/>
    <xf numFmtId="0" fontId="1" fillId="87" borderId="0" applyNumberFormat="0" applyBorder="0" applyAlignment="0" applyProtection="0"/>
    <xf numFmtId="0" fontId="1" fillId="88" borderId="0" applyNumberFormat="0" applyBorder="0" applyAlignment="0" applyProtection="0"/>
    <xf numFmtId="0" fontId="68" fillId="89" borderId="0" applyNumberFormat="0" applyBorder="0" applyAlignment="0" applyProtection="0"/>
    <xf numFmtId="0" fontId="1" fillId="90" borderId="0" applyNumberFormat="0" applyBorder="0" applyAlignment="0" applyProtection="0"/>
    <xf numFmtId="0" fontId="1" fillId="91" borderId="0" applyNumberFormat="0" applyBorder="0" applyAlignment="0" applyProtection="0"/>
    <xf numFmtId="0" fontId="1" fillId="92" borderId="0" applyNumberFormat="0" applyBorder="0" applyAlignment="0" applyProtection="0"/>
    <xf numFmtId="0" fontId="68" fillId="93" borderId="0" applyNumberFormat="0" applyBorder="0" applyAlignment="0" applyProtection="0"/>
    <xf numFmtId="0" fontId="1" fillId="94" borderId="0" applyNumberFormat="0" applyBorder="0" applyAlignment="0" applyProtection="0"/>
    <xf numFmtId="0" fontId="1" fillId="95" borderId="0" applyNumberFormat="0" applyBorder="0" applyAlignment="0" applyProtection="0"/>
    <xf numFmtId="0" fontId="1" fillId="96" borderId="0" applyNumberFormat="0" applyBorder="0" applyAlignment="0" applyProtection="0"/>
    <xf numFmtId="0" fontId="68" fillId="97" borderId="0" applyNumberFormat="0" applyBorder="0" applyAlignment="0" applyProtection="0"/>
    <xf numFmtId="0" fontId="1" fillId="98" borderId="0" applyNumberFormat="0" applyBorder="0" applyAlignment="0" applyProtection="0"/>
    <xf numFmtId="0" fontId="1" fillId="99" borderId="0" applyNumberFormat="0" applyBorder="0" applyAlignment="0" applyProtection="0"/>
    <xf numFmtId="0" fontId="1" fillId="100" borderId="0" applyNumberFormat="0" applyBorder="0" applyAlignment="0" applyProtection="0"/>
    <xf numFmtId="0" fontId="68" fillId="101" borderId="0" applyNumberFormat="0" applyBorder="0" applyAlignment="0" applyProtection="0"/>
    <xf numFmtId="0" fontId="1" fillId="102" borderId="0" applyNumberFormat="0" applyBorder="0" applyAlignment="0" applyProtection="0"/>
    <xf numFmtId="0" fontId="1" fillId="103" borderId="0" applyNumberFormat="0" applyBorder="0" applyAlignment="0" applyProtection="0"/>
    <xf numFmtId="0" fontId="1" fillId="104" borderId="0" applyNumberFormat="0" applyBorder="0" applyAlignment="0" applyProtection="0"/>
    <xf numFmtId="0" fontId="4" fillId="0" borderId="0"/>
    <xf numFmtId="176" fontId="71" fillId="0" borderId="0"/>
    <xf numFmtId="0" fontId="70" fillId="0" borderId="0"/>
    <xf numFmtId="177" fontId="4" fillId="0" borderId="0"/>
    <xf numFmtId="177" fontId="4" fillId="0" borderId="0"/>
    <xf numFmtId="43" fontId="1" fillId="0" borderId="0" applyFont="0" applyFill="0" applyBorder="0" applyAlignment="0" applyProtection="0"/>
    <xf numFmtId="0" fontId="70" fillId="0" borderId="0"/>
    <xf numFmtId="0" fontId="72" fillId="0" borderId="0">
      <alignment vertical="center"/>
    </xf>
    <xf numFmtId="0" fontId="73"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0" fontId="4" fillId="0" borderId="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0" fontId="54" fillId="0" borderId="0" applyBorder="0"/>
    <xf numFmtId="0" fontId="72" fillId="0" borderId="0">
      <alignment vertical="center"/>
    </xf>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0" fontId="1" fillId="0" borderId="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165" fontId="1" fillId="0" borderId="0" applyFont="0" applyFill="0" applyBorder="0" applyAlignment="0" applyProtection="0"/>
    <xf numFmtId="0" fontId="69" fillId="0" borderId="0"/>
    <xf numFmtId="44" fontId="1" fillId="0" borderId="0" applyFont="0" applyFill="0" applyBorder="0" applyAlignment="0" applyProtection="0"/>
    <xf numFmtId="0" fontId="7" fillId="2" borderId="0" applyNumberFormat="0" applyBorder="0" applyAlignment="0" applyProtection="0"/>
  </cellStyleXfs>
  <cellXfs count="405">
    <xf numFmtId="0" fontId="0" fillId="0" borderId="0" xfId="0"/>
    <xf numFmtId="0" fontId="8" fillId="0" borderId="2" xfId="0" applyFont="1" applyBorder="1" applyAlignment="1">
      <alignment horizontal="center" vertical="center" wrapText="1"/>
    </xf>
    <xf numFmtId="0" fontId="0" fillId="0" borderId="0" xfId="0" applyAlignment="1">
      <alignment horizontal="center"/>
    </xf>
    <xf numFmtId="0" fontId="0" fillId="0" borderId="2" xfId="0" applyBorder="1" applyAlignment="1">
      <alignment horizontal="center" vertical="center"/>
    </xf>
    <xf numFmtId="44" fontId="0" fillId="0" borderId="2" xfId="5" applyFont="1" applyBorder="1" applyAlignment="1">
      <alignment vertical="center"/>
    </xf>
    <xf numFmtId="9" fontId="0" fillId="0" borderId="2" xfId="0" applyNumberFormat="1" applyBorder="1" applyAlignment="1">
      <alignment horizontal="center"/>
    </xf>
    <xf numFmtId="175" fontId="43" fillId="74" borderId="2" xfId="0" applyNumberFormat="1" applyFont="1" applyFill="1" applyBorder="1" applyAlignment="1">
      <alignment wrapText="1"/>
    </xf>
    <xf numFmtId="0" fontId="11" fillId="6" borderId="0" xfId="0" applyFont="1" applyFill="1" applyAlignment="1">
      <alignment horizontal="center" vertical="center" wrapText="1" readingOrder="1"/>
    </xf>
    <xf numFmtId="0" fontId="11" fillId="0" borderId="0" xfId="0" applyFont="1" applyAlignment="1">
      <alignment horizontal="center" vertical="center" wrapText="1" readingOrder="1"/>
    </xf>
    <xf numFmtId="0" fontId="11" fillId="6" borderId="0" xfId="0" applyFont="1" applyFill="1" applyAlignment="1">
      <alignment horizontal="center" vertical="center"/>
    </xf>
    <xf numFmtId="0" fontId="11" fillId="0" borderId="0" xfId="0" applyFont="1" applyAlignment="1">
      <alignment horizontal="center" vertical="center"/>
    </xf>
    <xf numFmtId="175" fontId="11" fillId="13" borderId="2" xfId="0" applyNumberFormat="1" applyFont="1" applyFill="1" applyBorder="1" applyAlignment="1">
      <alignment horizontal="center" vertical="center"/>
    </xf>
    <xf numFmtId="175" fontId="11" fillId="16" borderId="2" xfId="0" applyNumberFormat="1" applyFont="1" applyFill="1" applyBorder="1" applyAlignment="1">
      <alignment horizontal="center" vertical="center"/>
    </xf>
    <xf numFmtId="175" fontId="44" fillId="19" borderId="2" xfId="0" applyNumberFormat="1" applyFont="1" applyFill="1" applyBorder="1" applyAlignment="1">
      <alignment horizontal="center" vertical="center"/>
    </xf>
    <xf numFmtId="0" fontId="45" fillId="68" borderId="2" xfId="0" applyFont="1" applyFill="1" applyBorder="1" applyAlignment="1">
      <alignment vertical="center"/>
    </xf>
    <xf numFmtId="0" fontId="48" fillId="10" borderId="2" xfId="0" applyFont="1" applyFill="1" applyBorder="1" applyAlignment="1">
      <alignment horizontal="left" vertical="center" wrapText="1"/>
    </xf>
    <xf numFmtId="0" fontId="44" fillId="8" borderId="2" xfId="1" applyFont="1" applyFill="1" applyBorder="1" applyAlignment="1">
      <alignment horizontal="center" vertical="center" wrapText="1"/>
    </xf>
    <xf numFmtId="10" fontId="11" fillId="9" borderId="6" xfId="0" applyNumberFormat="1" applyFont="1" applyFill="1" applyBorder="1" applyAlignment="1">
      <alignment horizontal="center" vertical="center"/>
    </xf>
    <xf numFmtId="169" fontId="2" fillId="0" borderId="3" xfId="0" applyNumberFormat="1" applyFont="1" applyBorder="1" applyAlignment="1">
      <alignment vertical="center"/>
    </xf>
    <xf numFmtId="0" fontId="47" fillId="13" borderId="2" xfId="0" applyFont="1" applyFill="1" applyBorder="1" applyAlignment="1">
      <alignment horizontal="center" vertical="center" wrapText="1"/>
    </xf>
    <xf numFmtId="0" fontId="45" fillId="5" borderId="3" xfId="0" applyFont="1" applyFill="1" applyBorder="1" applyAlignment="1">
      <alignment horizontal="center" vertical="center"/>
    </xf>
    <xf numFmtId="0" fontId="42" fillId="0" borderId="13" xfId="2" applyFont="1" applyBorder="1" applyAlignment="1">
      <alignment vertical="center" wrapText="1"/>
    </xf>
    <xf numFmtId="0" fontId="2" fillId="6" borderId="2" xfId="0" applyFont="1" applyFill="1" applyBorder="1" applyAlignment="1">
      <alignment vertical="center"/>
    </xf>
    <xf numFmtId="175" fontId="44" fillId="0" borderId="2" xfId="1" applyNumberFormat="1" applyFont="1" applyBorder="1" applyAlignment="1">
      <alignment horizontal="right" vertical="center"/>
    </xf>
    <xf numFmtId="2" fontId="52" fillId="0" borderId="0" xfId="3" applyNumberFormat="1" applyFont="1" applyFill="1" applyBorder="1" applyAlignment="1">
      <alignment horizontal="right" vertical="center" wrapText="1"/>
    </xf>
    <xf numFmtId="6" fontId="45" fillId="69" borderId="2" xfId="0" applyNumberFormat="1" applyFont="1" applyFill="1" applyBorder="1" applyAlignment="1">
      <alignment horizontal="center" vertical="center" wrapText="1"/>
    </xf>
    <xf numFmtId="0" fontId="2" fillId="0" borderId="2" xfId="0" applyFont="1" applyBorder="1" applyAlignment="1">
      <alignment horizontal="center" wrapText="1"/>
    </xf>
    <xf numFmtId="0" fontId="44" fillId="18" borderId="2" xfId="1" applyFont="1" applyFill="1" applyBorder="1" applyAlignment="1">
      <alignment horizontal="center" vertical="center" wrapText="1"/>
    </xf>
    <xf numFmtId="175" fontId="44" fillId="6" borderId="2" xfId="1" applyNumberFormat="1" applyFont="1" applyFill="1" applyBorder="1" applyAlignment="1">
      <alignment horizontal="right" vertical="center"/>
    </xf>
    <xf numFmtId="0" fontId="43" fillId="0" borderId="1" xfId="0" applyFont="1" applyBorder="1" applyAlignment="1">
      <alignment vertical="center" wrapText="1"/>
    </xf>
    <xf numFmtId="0" fontId="47" fillId="0" borderId="2" xfId="0" applyFont="1" applyBorder="1" applyAlignment="1">
      <alignment horizontal="left" vertical="center" wrapText="1"/>
    </xf>
    <xf numFmtId="0" fontId="44" fillId="7" borderId="4" xfId="1" applyFont="1" applyFill="1" applyBorder="1" applyAlignment="1">
      <alignment vertical="center" wrapText="1"/>
    </xf>
    <xf numFmtId="0" fontId="44" fillId="17" borderId="2" xfId="1" applyFont="1" applyFill="1" applyBorder="1" applyAlignment="1">
      <alignment horizontal="left" vertical="center"/>
    </xf>
    <xf numFmtId="0" fontId="2" fillId="73" borderId="0" xfId="0" applyFont="1" applyFill="1" applyAlignment="1">
      <alignment vertical="center" wrapText="1"/>
    </xf>
    <xf numFmtId="2" fontId="43" fillId="6" borderId="2" xfId="0" applyNumberFormat="1" applyFont="1" applyFill="1" applyBorder="1" applyAlignment="1">
      <alignment horizontal="center" vertical="center" wrapText="1"/>
    </xf>
    <xf numFmtId="175" fontId="44" fillId="6" borderId="2" xfId="0" applyNumberFormat="1" applyFont="1" applyFill="1" applyBorder="1" applyAlignment="1">
      <alignment horizontal="right" vertical="center"/>
    </xf>
    <xf numFmtId="0" fontId="42" fillId="3" borderId="2" xfId="0" applyFont="1" applyFill="1" applyBorder="1" applyAlignment="1">
      <alignment vertical="center"/>
    </xf>
    <xf numFmtId="0" fontId="43" fillId="0" borderId="1" xfId="0" applyFont="1" applyBorder="1" applyAlignment="1">
      <alignment horizontal="left" vertical="center" wrapText="1"/>
    </xf>
    <xf numFmtId="0" fontId="46" fillId="0" borderId="0" xfId="0" applyFont="1" applyAlignment="1">
      <alignment horizontal="center" vertical="center" wrapText="1"/>
    </xf>
    <xf numFmtId="0" fontId="44" fillId="14" borderId="2" xfId="1" applyFont="1" applyFill="1" applyBorder="1" applyAlignment="1">
      <alignment horizontal="center" vertical="center"/>
    </xf>
    <xf numFmtId="0" fontId="43" fillId="0" borderId="2" xfId="0" applyFont="1" applyBorder="1" applyAlignment="1">
      <alignment horizontal="center" vertical="center" wrapText="1"/>
    </xf>
    <xf numFmtId="0" fontId="48" fillId="10" borderId="2" xfId="0" applyFont="1" applyFill="1" applyBorder="1" applyAlignment="1">
      <alignment horizontal="center" vertical="center" wrapText="1"/>
    </xf>
    <xf numFmtId="0" fontId="43" fillId="0" borderId="2" xfId="2" applyFont="1" applyBorder="1" applyAlignment="1">
      <alignment vertical="center" wrapText="1"/>
    </xf>
    <xf numFmtId="0" fontId="2" fillId="0" borderId="2" xfId="2" applyFont="1" applyBorder="1" applyAlignment="1">
      <alignment vertical="center" wrapText="1"/>
    </xf>
    <xf numFmtId="0" fontId="2" fillId="0" borderId="0" xfId="0" applyFont="1" applyAlignment="1">
      <alignment horizontal="center" vertical="center" wrapText="1"/>
    </xf>
    <xf numFmtId="49" fontId="44" fillId="6" borderId="2" xfId="1" applyNumberFormat="1" applyFont="1" applyFill="1" applyBorder="1" applyAlignment="1">
      <alignment horizontal="left" vertical="center"/>
    </xf>
    <xf numFmtId="0" fontId="2" fillId="6" borderId="2" xfId="0" applyFont="1" applyFill="1" applyBorder="1" applyAlignment="1">
      <alignment horizontal="center" vertical="center" wrapText="1"/>
    </xf>
    <xf numFmtId="175" fontId="2" fillId="0" borderId="2" xfId="0" applyNumberFormat="1" applyFont="1" applyBorder="1" applyAlignment="1">
      <alignment vertical="center" wrapText="1"/>
    </xf>
    <xf numFmtId="0" fontId="43" fillId="0" borderId="2" xfId="0" applyFont="1" applyBorder="1" applyAlignment="1">
      <alignment horizontal="left" vertical="center" wrapText="1"/>
    </xf>
    <xf numFmtId="0" fontId="43" fillId="0" borderId="7" xfId="0" applyFont="1" applyBorder="1" applyAlignment="1">
      <alignment horizontal="center" vertical="center" wrapText="1"/>
    </xf>
    <xf numFmtId="0" fontId="11" fillId="0" borderId="2" xfId="0" applyFont="1" applyBorder="1" applyAlignment="1">
      <alignment horizontal="center" vertical="center" wrapText="1"/>
    </xf>
    <xf numFmtId="175" fontId="2" fillId="0" borderId="5" xfId="0" applyNumberFormat="1" applyFont="1" applyBorder="1" applyAlignment="1">
      <alignment vertical="center" wrapText="1"/>
    </xf>
    <xf numFmtId="0" fontId="44" fillId="0" borderId="2" xfId="1" applyFont="1" applyBorder="1" applyAlignment="1">
      <alignment vertical="center" wrapText="1"/>
    </xf>
    <xf numFmtId="49" fontId="42" fillId="6" borderId="2" xfId="1" applyNumberFormat="1" applyFont="1" applyFill="1" applyBorder="1" applyAlignment="1">
      <alignment horizontal="left" vertical="center"/>
    </xf>
    <xf numFmtId="0" fontId="11" fillId="0" borderId="2" xfId="0" applyFont="1" applyBorder="1" applyAlignment="1">
      <alignment horizontal="left" vertical="center" wrapText="1" readingOrder="1"/>
    </xf>
    <xf numFmtId="0" fontId="2" fillId="0" borderId="13" xfId="2" applyFont="1" applyBorder="1" applyAlignment="1">
      <alignment vertical="center" wrapText="1"/>
    </xf>
    <xf numFmtId="0" fontId="42" fillId="5" borderId="3" xfId="0" applyFont="1" applyFill="1" applyBorder="1" applyAlignment="1">
      <alignment vertical="center"/>
    </xf>
    <xf numFmtId="0" fontId="43" fillId="20" borderId="2" xfId="2" applyFont="1" applyFill="1" applyBorder="1" applyAlignment="1">
      <alignment vertical="center" wrapText="1"/>
    </xf>
    <xf numFmtId="0" fontId="44" fillId="23" borderId="28" xfId="0" applyFont="1" applyFill="1" applyBorder="1" applyAlignment="1">
      <alignment horizontal="center" vertical="center"/>
    </xf>
    <xf numFmtId="0" fontId="43" fillId="0" borderId="0" xfId="0" applyFont="1" applyAlignment="1">
      <alignment horizontal="left" vertical="center" wrapText="1"/>
    </xf>
    <xf numFmtId="175" fontId="44" fillId="0" borderId="2" xfId="0" applyNumberFormat="1" applyFont="1" applyBorder="1" applyAlignment="1">
      <alignment horizontal="right" vertical="center"/>
    </xf>
    <xf numFmtId="6" fontId="42" fillId="0" borderId="5" xfId="0" applyNumberFormat="1" applyFont="1" applyBorder="1" applyAlignment="1">
      <alignment horizontal="center" vertical="center" wrapText="1"/>
    </xf>
    <xf numFmtId="0" fontId="44" fillId="4" borderId="2" xfId="0" applyFont="1" applyFill="1" applyBorder="1" applyAlignment="1">
      <alignment vertical="center" wrapText="1"/>
    </xf>
    <xf numFmtId="0" fontId="11" fillId="6" borderId="2" xfId="0" applyFont="1" applyFill="1" applyBorder="1" applyAlignment="1">
      <alignment horizontal="left" vertical="center"/>
    </xf>
    <xf numFmtId="0" fontId="42" fillId="0" borderId="0" xfId="2" applyFont="1" applyAlignment="1">
      <alignment vertical="center" wrapText="1"/>
    </xf>
    <xf numFmtId="0" fontId="2" fillId="6" borderId="0" xfId="0" applyFont="1" applyFill="1" applyAlignment="1">
      <alignment horizontal="left" vertical="center"/>
    </xf>
    <xf numFmtId="0" fontId="2" fillId="0" borderId="2" xfId="0" applyFont="1" applyBorder="1" applyAlignment="1">
      <alignment horizontal="left" vertical="center" wrapText="1" readingOrder="1"/>
    </xf>
    <xf numFmtId="0" fontId="2" fillId="0" borderId="2" xfId="0" applyFont="1" applyBorder="1" applyAlignment="1">
      <alignment vertical="center"/>
    </xf>
    <xf numFmtId="0" fontId="42" fillId="0" borderId="2" xfId="0" applyFont="1" applyBorder="1" applyAlignment="1">
      <alignment horizontal="left" vertical="center" wrapText="1"/>
    </xf>
    <xf numFmtId="0" fontId="43" fillId="0" borderId="2" xfId="0" applyFont="1" applyBorder="1" applyAlignment="1">
      <alignment vertical="center" wrapText="1"/>
    </xf>
    <xf numFmtId="0" fontId="44" fillId="23" borderId="29" xfId="0" applyFont="1" applyFill="1" applyBorder="1" applyAlignment="1">
      <alignment horizontal="center" vertical="center"/>
    </xf>
    <xf numFmtId="0" fontId="2" fillId="0" borderId="2" xfId="0" applyFont="1" applyBorder="1" applyAlignment="1">
      <alignment vertical="center" wrapText="1"/>
    </xf>
    <xf numFmtId="0" fontId="47" fillId="6" borderId="2" xfId="0" applyFont="1" applyFill="1" applyBorder="1" applyAlignment="1">
      <alignment horizontal="left" vertical="center" wrapText="1"/>
    </xf>
    <xf numFmtId="175" fontId="44" fillId="12" borderId="2" xfId="1" applyNumberFormat="1" applyFont="1" applyFill="1" applyBorder="1" applyAlignment="1">
      <alignment horizontal="center" vertical="center" wrapText="1"/>
    </xf>
    <xf numFmtId="0" fontId="43" fillId="0" borderId="2" xfId="0" applyFont="1" applyBorder="1" applyAlignment="1">
      <alignment wrapText="1"/>
    </xf>
    <xf numFmtId="0" fontId="42" fillId="8" borderId="2" xfId="1" applyFont="1" applyFill="1" applyBorder="1" applyAlignment="1">
      <alignment horizontal="center" vertical="center" wrapText="1"/>
    </xf>
    <xf numFmtId="0" fontId="42" fillId="0" borderId="2" xfId="0" applyFont="1" applyBorder="1" applyAlignment="1">
      <alignment wrapText="1"/>
    </xf>
    <xf numFmtId="175" fontId="2" fillId="0" borderId="2" xfId="5" applyNumberFormat="1" applyFont="1" applyFill="1" applyBorder="1" applyAlignment="1">
      <alignment wrapText="1"/>
    </xf>
    <xf numFmtId="0" fontId="42" fillId="0" borderId="2" xfId="2" applyFont="1" applyBorder="1" applyAlignment="1">
      <alignment vertical="center" wrapText="1"/>
    </xf>
    <xf numFmtId="0" fontId="47" fillId="9" borderId="2" xfId="0" applyFont="1" applyFill="1" applyBorder="1" applyAlignment="1">
      <alignment vertical="center" wrapText="1"/>
    </xf>
    <xf numFmtId="0" fontId="43" fillId="0" borderId="1" xfId="0" applyFont="1" applyBorder="1" applyAlignment="1">
      <alignment horizontal="center" vertical="center" wrapText="1"/>
    </xf>
    <xf numFmtId="0" fontId="44" fillId="23" borderId="10" xfId="0" applyFont="1" applyFill="1" applyBorder="1" applyAlignment="1">
      <alignment horizontal="center" vertical="center"/>
    </xf>
    <xf numFmtId="0" fontId="11" fillId="9" borderId="6" xfId="0" applyFont="1" applyFill="1" applyBorder="1" applyAlignment="1">
      <alignment horizontal="center" vertical="center"/>
    </xf>
    <xf numFmtId="10" fontId="11" fillId="9" borderId="2" xfId="0" applyNumberFormat="1" applyFont="1" applyFill="1" applyBorder="1" applyAlignment="1">
      <alignment horizontal="center" vertical="center"/>
    </xf>
    <xf numFmtId="0" fontId="43" fillId="0" borderId="2" xfId="2" applyFont="1" applyBorder="1" applyAlignment="1">
      <alignment horizontal="left" vertical="center" wrapText="1"/>
    </xf>
    <xf numFmtId="0" fontId="44" fillId="11" borderId="2" xfId="1" applyFont="1" applyFill="1" applyBorder="1" applyAlignment="1">
      <alignment horizontal="center" vertical="center"/>
    </xf>
    <xf numFmtId="0" fontId="43" fillId="20" borderId="2" xfId="0" applyFont="1" applyFill="1" applyBorder="1" applyAlignment="1">
      <alignment horizontal="left" vertical="center" wrapText="1"/>
    </xf>
    <xf numFmtId="0" fontId="44" fillId="7" borderId="4" xfId="1" applyFont="1" applyFill="1" applyBorder="1" applyAlignment="1">
      <alignment horizontal="center" vertical="center" wrapText="1"/>
    </xf>
    <xf numFmtId="0" fontId="2" fillId="0" borderId="2" xfId="0" applyFont="1" applyBorder="1" applyAlignment="1">
      <alignment horizontal="center" vertical="center" wrapText="1"/>
    </xf>
    <xf numFmtId="0" fontId="11" fillId="9" borderId="1" xfId="0" applyFont="1" applyFill="1" applyBorder="1" applyAlignment="1">
      <alignment horizontal="center" vertical="center"/>
    </xf>
    <xf numFmtId="0" fontId="2" fillId="0" borderId="14" xfId="2" applyFont="1" applyBorder="1" applyAlignment="1">
      <alignment vertical="center" wrapText="1"/>
    </xf>
    <xf numFmtId="0" fontId="11" fillId="22" borderId="3" xfId="0" applyFont="1" applyFill="1" applyBorder="1" applyAlignment="1">
      <alignment horizontal="left" vertical="center"/>
    </xf>
    <xf numFmtId="169" fontId="2" fillId="0" borderId="2" xfId="0" applyNumberFormat="1" applyFont="1" applyBorder="1" applyAlignment="1">
      <alignment vertical="center"/>
    </xf>
    <xf numFmtId="0" fontId="44" fillId="0" borderId="28" xfId="0" applyFont="1" applyBorder="1" applyAlignment="1">
      <alignment horizontal="center" vertical="center"/>
    </xf>
    <xf numFmtId="0" fontId="44" fillId="4" borderId="2" xfId="0" applyFont="1" applyFill="1" applyBorder="1" applyAlignment="1">
      <alignment vertical="center"/>
    </xf>
    <xf numFmtId="0" fontId="2" fillId="0" borderId="2" xfId="0" applyFont="1" applyBorder="1" applyAlignment="1">
      <alignment horizontal="left" vertical="center"/>
    </xf>
    <xf numFmtId="0" fontId="2" fillId="6" borderId="2" xfId="0" applyFont="1" applyFill="1" applyBorder="1" applyAlignment="1">
      <alignment wrapText="1"/>
    </xf>
    <xf numFmtId="6" fontId="42" fillId="5" borderId="3" xfId="0" applyNumberFormat="1" applyFont="1" applyFill="1" applyBorder="1" applyAlignment="1">
      <alignment horizontal="center" vertical="center" wrapText="1"/>
    </xf>
    <xf numFmtId="0" fontId="48" fillId="10" borderId="2" xfId="0" applyFont="1" applyFill="1" applyBorder="1" applyAlignment="1">
      <alignment vertical="center"/>
    </xf>
    <xf numFmtId="0" fontId="42" fillId="6" borderId="2" xfId="0" applyFont="1" applyFill="1" applyBorder="1" applyAlignment="1">
      <alignment vertical="center" wrapText="1"/>
    </xf>
    <xf numFmtId="0" fontId="44" fillId="12" borderId="2" xfId="1" applyFont="1" applyFill="1" applyBorder="1" applyAlignment="1">
      <alignment horizontal="center" vertical="center" wrapText="1"/>
    </xf>
    <xf numFmtId="0" fontId="44" fillId="0" borderId="10" xfId="0" applyFont="1" applyBorder="1" applyAlignment="1">
      <alignment horizontal="center" vertical="center"/>
    </xf>
    <xf numFmtId="0" fontId="52" fillId="0" borderId="0" xfId="3" applyFont="1" applyFill="1" applyBorder="1" applyAlignment="1">
      <alignment horizontal="center" vertical="center" wrapText="1"/>
    </xf>
    <xf numFmtId="0" fontId="48" fillId="10" borderId="2" xfId="0" applyFont="1" applyFill="1" applyBorder="1" applyAlignment="1">
      <alignment horizontal="center" vertical="center"/>
    </xf>
    <xf numFmtId="49" fontId="44" fillId="0" borderId="2" xfId="1" applyNumberFormat="1" applyFont="1" applyBorder="1" applyAlignment="1">
      <alignment horizontal="left" vertical="center"/>
    </xf>
    <xf numFmtId="0" fontId="2" fillId="6" borderId="2" xfId="0" applyFont="1" applyFill="1" applyBorder="1" applyAlignment="1">
      <alignment horizontal="center" wrapText="1"/>
    </xf>
    <xf numFmtId="6" fontId="45" fillId="5" borderId="3" xfId="0" applyNumberFormat="1" applyFont="1" applyFill="1" applyBorder="1" applyAlignment="1">
      <alignment horizontal="center" vertical="center"/>
    </xf>
    <xf numFmtId="0" fontId="43" fillId="6" borderId="2" xfId="0" applyFont="1" applyFill="1" applyBorder="1" applyAlignment="1">
      <alignment horizontal="center" vertical="center" wrapText="1"/>
    </xf>
    <xf numFmtId="0" fontId="49" fillId="10" borderId="2" xfId="0" applyFont="1" applyFill="1" applyBorder="1" applyAlignment="1">
      <alignment horizontal="center" vertical="center"/>
    </xf>
    <xf numFmtId="49" fontId="11" fillId="6" borderId="2" xfId="0" applyNumberFormat="1" applyFont="1" applyFill="1" applyBorder="1" applyAlignment="1">
      <alignment vertical="center" wrapText="1"/>
    </xf>
    <xf numFmtId="0" fontId="44" fillId="7" borderId="3" xfId="1" applyFont="1" applyFill="1" applyBorder="1" applyAlignment="1">
      <alignment vertical="center" wrapText="1"/>
    </xf>
    <xf numFmtId="0" fontId="11" fillId="22" borderId="4" xfId="0" applyFont="1" applyFill="1" applyBorder="1" applyAlignment="1">
      <alignment wrapText="1"/>
    </xf>
    <xf numFmtId="175" fontId="44" fillId="10" borderId="2" xfId="0" applyNumberFormat="1" applyFont="1" applyFill="1" applyBorder="1" applyAlignment="1">
      <alignment horizontal="right" vertical="center"/>
    </xf>
    <xf numFmtId="0" fontId="48" fillId="4" borderId="2" xfId="0" applyFont="1" applyFill="1" applyBorder="1" applyAlignment="1">
      <alignment vertical="center"/>
    </xf>
    <xf numFmtId="175" fontId="2" fillId="0" borderId="2" xfId="239" applyNumberFormat="1" applyFont="1" applyBorder="1" applyAlignment="1">
      <alignment wrapText="1"/>
    </xf>
    <xf numFmtId="0" fontId="2" fillId="0" borderId="1" xfId="0" applyFont="1" applyBorder="1" applyAlignment="1">
      <alignment horizontal="center" vertical="center" wrapText="1"/>
    </xf>
    <xf numFmtId="0" fontId="2" fillId="6" borderId="0" xfId="0" applyFont="1" applyFill="1" applyAlignment="1">
      <alignment horizontal="center" vertical="center" wrapText="1"/>
    </xf>
    <xf numFmtId="2" fontId="48" fillId="10" borderId="2" xfId="0" applyNumberFormat="1" applyFont="1" applyFill="1" applyBorder="1" applyAlignment="1">
      <alignment horizontal="center" vertical="center"/>
    </xf>
    <xf numFmtId="167" fontId="50" fillId="0" borderId="7" xfId="0" applyNumberFormat="1" applyFont="1" applyBorder="1" applyAlignment="1">
      <alignment horizontal="center" vertical="center"/>
    </xf>
    <xf numFmtId="0" fontId="42" fillId="0" borderId="25" xfId="2" applyFont="1" applyBorder="1" applyAlignment="1">
      <alignment vertical="center" wrapText="1"/>
    </xf>
    <xf numFmtId="0" fontId="42" fillId="0" borderId="2" xfId="1" applyFont="1" applyBorder="1" applyAlignment="1">
      <alignment horizontal="left" vertical="center" wrapText="1"/>
    </xf>
    <xf numFmtId="0" fontId="48" fillId="4" borderId="2" xfId="0" applyFont="1" applyFill="1" applyBorder="1" applyAlignment="1">
      <alignment horizontal="center" vertical="center"/>
    </xf>
    <xf numFmtId="175" fontId="11" fillId="6" borderId="2" xfId="1" applyNumberFormat="1" applyFont="1" applyFill="1" applyBorder="1" applyAlignment="1">
      <alignment horizontal="right" vertical="center"/>
    </xf>
    <xf numFmtId="175" fontId="43" fillId="0" borderId="2" xfId="0" applyNumberFormat="1" applyFont="1" applyBorder="1" applyAlignment="1">
      <alignment horizontal="right" vertical="center" wrapText="1"/>
    </xf>
    <xf numFmtId="0" fontId="42" fillId="0" borderId="1" xfId="0" applyFont="1" applyBorder="1" applyAlignment="1">
      <alignment vertical="center"/>
    </xf>
    <xf numFmtId="175" fontId="48" fillId="10" borderId="2" xfId="0" applyNumberFormat="1" applyFont="1" applyFill="1" applyBorder="1" applyAlignment="1">
      <alignment horizontal="center" vertical="center" wrapText="1"/>
    </xf>
    <xf numFmtId="175" fontId="42" fillId="10" borderId="2" xfId="0" applyNumberFormat="1" applyFont="1" applyFill="1" applyBorder="1" applyAlignment="1">
      <alignment horizontal="right" vertical="center"/>
    </xf>
    <xf numFmtId="0" fontId="46" fillId="0" borderId="0" xfId="0" applyFont="1" applyAlignment="1">
      <alignment horizontal="left" vertical="center" wrapText="1"/>
    </xf>
    <xf numFmtId="0" fontId="8" fillId="0" borderId="0" xfId="0" applyFont="1" applyAlignment="1">
      <alignment vertical="center" wrapText="1"/>
    </xf>
    <xf numFmtId="0" fontId="2" fillId="0" borderId="2" xfId="0" applyFont="1" applyBorder="1" applyAlignment="1">
      <alignment wrapText="1"/>
    </xf>
    <xf numFmtId="175" fontId="49" fillId="10" borderId="2" xfId="0" applyNumberFormat="1" applyFont="1" applyFill="1" applyBorder="1" applyAlignment="1">
      <alignment horizontal="right" vertical="center"/>
    </xf>
    <xf numFmtId="0" fontId="42" fillId="0" borderId="3" xfId="0" applyFont="1" applyBorder="1" applyAlignment="1">
      <alignment horizontal="center" wrapText="1"/>
    </xf>
    <xf numFmtId="0" fontId="43" fillId="6" borderId="2" xfId="0" applyFont="1" applyFill="1" applyBorder="1" applyAlignment="1">
      <alignment vertical="center" wrapText="1"/>
    </xf>
    <xf numFmtId="175" fontId="43" fillId="24" borderId="2" xfId="0" applyNumberFormat="1" applyFont="1" applyFill="1" applyBorder="1" applyAlignment="1">
      <alignment horizontal="right" vertical="center" wrapText="1"/>
    </xf>
    <xf numFmtId="0" fontId="44" fillId="6" borderId="2" xfId="1" applyFont="1" applyFill="1" applyBorder="1" applyAlignment="1">
      <alignment horizontal="center" vertical="center" wrapText="1"/>
    </xf>
    <xf numFmtId="0" fontId="11" fillId="0" borderId="2" xfId="0" applyFont="1" applyBorder="1" applyAlignment="1">
      <alignment horizontal="center" wrapText="1"/>
    </xf>
    <xf numFmtId="0" fontId="47" fillId="70" borderId="2" xfId="0" applyFont="1" applyFill="1" applyBorder="1" applyAlignment="1">
      <alignment horizontal="center" vertical="center" wrapText="1"/>
    </xf>
    <xf numFmtId="0" fontId="11" fillId="22" borderId="5" xfId="0" applyFont="1" applyFill="1" applyBorder="1" applyAlignment="1">
      <alignment wrapText="1"/>
    </xf>
    <xf numFmtId="49" fontId="42" fillId="0" borderId="2" xfId="1" applyNumberFormat="1" applyFont="1" applyBorder="1" applyAlignment="1">
      <alignment horizontal="left" vertical="center"/>
    </xf>
    <xf numFmtId="0" fontId="11" fillId="0" borderId="2" xfId="0" applyFont="1" applyBorder="1" applyAlignment="1">
      <alignment horizontal="left" vertical="center"/>
    </xf>
    <xf numFmtId="0" fontId="44" fillId="6" borderId="2" xfId="1" applyFont="1" applyFill="1" applyBorder="1" applyAlignment="1">
      <alignment vertical="center" wrapText="1"/>
    </xf>
    <xf numFmtId="0" fontId="47" fillId="19" borderId="2" xfId="0" applyFont="1" applyFill="1" applyBorder="1" applyAlignment="1">
      <alignment horizontal="center" vertical="center" wrapText="1"/>
    </xf>
    <xf numFmtId="0" fontId="42" fillId="0" borderId="2" xfId="0" applyFont="1" applyBorder="1" applyAlignment="1">
      <alignment vertical="center" wrapText="1"/>
    </xf>
    <xf numFmtId="175" fontId="2" fillId="0" borderId="2" xfId="239" applyNumberFormat="1" applyFont="1" applyFill="1" applyBorder="1" applyAlignment="1">
      <alignment wrapText="1"/>
    </xf>
    <xf numFmtId="49" fontId="2" fillId="0" borderId="2" xfId="0" applyNumberFormat="1" applyFont="1" applyBorder="1" applyAlignment="1">
      <alignment vertical="center" wrapText="1"/>
    </xf>
    <xf numFmtId="175" fontId="44" fillId="15" borderId="2" xfId="1" applyNumberFormat="1" applyFont="1" applyFill="1" applyBorder="1" applyAlignment="1">
      <alignment horizontal="center" vertical="center" wrapText="1"/>
    </xf>
    <xf numFmtId="175" fontId="43" fillId="21" borderId="2" xfId="0" applyNumberFormat="1" applyFont="1" applyFill="1" applyBorder="1" applyAlignment="1">
      <alignment horizontal="right" vertical="center" wrapText="1"/>
    </xf>
    <xf numFmtId="175" fontId="43" fillId="6" borderId="2" xfId="0" applyNumberFormat="1" applyFont="1" applyFill="1" applyBorder="1" applyAlignment="1">
      <alignment horizontal="right" vertical="center" wrapText="1"/>
    </xf>
    <xf numFmtId="0" fontId="47" fillId="0" borderId="0" xfId="0" applyFont="1" applyAlignment="1">
      <alignment vertical="center" wrapText="1"/>
    </xf>
    <xf numFmtId="6" fontId="42" fillId="0" borderId="2" xfId="0" applyNumberFormat="1" applyFont="1" applyBorder="1" applyAlignment="1">
      <alignment horizontal="center" vertical="center" wrapText="1"/>
    </xf>
    <xf numFmtId="0" fontId="44" fillId="0" borderId="2" xfId="1" applyFont="1" applyBorder="1" applyAlignment="1">
      <alignment horizontal="center" vertical="center" wrapText="1"/>
    </xf>
    <xf numFmtId="0" fontId="43" fillId="0" borderId="3" xfId="0" applyFont="1" applyBorder="1" applyAlignment="1">
      <alignment horizontal="left" vertical="center" wrapText="1"/>
    </xf>
    <xf numFmtId="10" fontId="11" fillId="9" borderId="1" xfId="0" applyNumberFormat="1" applyFont="1" applyFill="1" applyBorder="1" applyAlignment="1">
      <alignment horizontal="center" vertical="center"/>
    </xf>
    <xf numFmtId="0" fontId="44" fillId="0" borderId="9" xfId="0" applyFont="1" applyBorder="1" applyAlignment="1">
      <alignment horizontal="center" vertical="center"/>
    </xf>
    <xf numFmtId="0" fontId="47" fillId="16" borderId="2" xfId="0" applyFont="1" applyFill="1" applyBorder="1" applyAlignment="1">
      <alignment horizontal="center" vertical="center" wrapText="1"/>
    </xf>
    <xf numFmtId="0" fontId="2" fillId="6" borderId="2" xfId="0" applyFont="1" applyFill="1" applyBorder="1" applyAlignment="1">
      <alignment horizontal="left" vertical="center"/>
    </xf>
    <xf numFmtId="0" fontId="42" fillId="0" borderId="14" xfId="2" applyFont="1" applyBorder="1" applyAlignment="1">
      <alignment vertical="center" wrapText="1"/>
    </xf>
    <xf numFmtId="175" fontId="44" fillId="18" borderId="2" xfId="1" applyNumberFormat="1" applyFont="1" applyFill="1" applyBorder="1" applyAlignment="1">
      <alignment horizontal="center" vertical="center" wrapText="1"/>
    </xf>
    <xf numFmtId="0" fontId="45" fillId="68" borderId="2" xfId="0" applyFont="1" applyFill="1" applyBorder="1" applyAlignment="1">
      <alignment horizontal="center" vertical="center"/>
    </xf>
    <xf numFmtId="0" fontId="44" fillId="15" borderId="2" xfId="1" applyFont="1" applyFill="1" applyBorder="1" applyAlignment="1">
      <alignment horizontal="center" vertical="center" wrapText="1"/>
    </xf>
    <xf numFmtId="0" fontId="2" fillId="6" borderId="0" xfId="0" applyFont="1" applyFill="1" applyAlignment="1">
      <alignment wrapText="1"/>
    </xf>
    <xf numFmtId="0" fontId="44" fillId="17" borderId="2" xfId="1" applyFont="1" applyFill="1" applyBorder="1" applyAlignment="1">
      <alignment horizontal="center" vertical="center"/>
    </xf>
    <xf numFmtId="0" fontId="11" fillId="0" borderId="0" xfId="0" applyFont="1" applyAlignment="1">
      <alignment horizontal="left" vertical="center"/>
    </xf>
    <xf numFmtId="0" fontId="2" fillId="0" borderId="0" xfId="0" applyFont="1" applyAlignment="1">
      <alignment vertical="center" wrapText="1"/>
    </xf>
    <xf numFmtId="0" fontId="2" fillId="0" borderId="0" xfId="0" applyFont="1" applyAlignment="1">
      <alignment wrapText="1"/>
    </xf>
    <xf numFmtId="0" fontId="2" fillId="73" borderId="0" xfId="0" applyFont="1" applyFill="1" applyAlignment="1">
      <alignment vertical="center"/>
    </xf>
    <xf numFmtId="0" fontId="2" fillId="6" borderId="0" xfId="0" applyFont="1" applyFill="1" applyAlignment="1">
      <alignment vertical="center" wrapText="1"/>
    </xf>
    <xf numFmtId="0" fontId="2" fillId="0" borderId="0" xfId="0" applyFont="1" applyAlignment="1">
      <alignment horizontal="right" vertical="center"/>
    </xf>
    <xf numFmtId="2" fontId="42" fillId="0" borderId="0" xfId="0" applyNumberFormat="1" applyFont="1" applyAlignment="1">
      <alignment vertical="center"/>
    </xf>
    <xf numFmtId="0" fontId="2" fillId="6" borderId="0" xfId="0" applyFont="1" applyFill="1" applyAlignment="1">
      <alignment horizontal="center" vertical="center"/>
    </xf>
    <xf numFmtId="0" fontId="42" fillId="0" borderId="0" xfId="0" applyFont="1" applyAlignment="1">
      <alignment horizontal="right" vertical="center"/>
    </xf>
    <xf numFmtId="0" fontId="2" fillId="0" borderId="0" xfId="0" applyFont="1" applyAlignment="1">
      <alignment vertical="center"/>
    </xf>
    <xf numFmtId="0" fontId="2" fillId="6" borderId="0" xfId="0" applyFont="1" applyFill="1" applyAlignment="1">
      <alignment vertical="center" wrapText="1" readingOrder="1"/>
    </xf>
    <xf numFmtId="0" fontId="2" fillId="0" borderId="0" xfId="0" applyFont="1" applyAlignment="1">
      <alignment horizontal="right" vertical="center" wrapText="1" readingOrder="1"/>
    </xf>
    <xf numFmtId="0" fontId="2" fillId="6" borderId="0" xfId="0" applyFont="1" applyFill="1" applyAlignment="1">
      <alignment horizontal="center" vertical="center" wrapText="1" readingOrder="1"/>
    </xf>
    <xf numFmtId="0" fontId="2" fillId="0" borderId="0" xfId="0" applyFont="1" applyAlignment="1">
      <alignment horizontal="center" vertical="center" wrapText="1" readingOrder="1"/>
    </xf>
    <xf numFmtId="0" fontId="2" fillId="73" borderId="0" xfId="0" applyFont="1" applyFill="1" applyAlignment="1">
      <alignment vertical="center" wrapText="1" readingOrder="1"/>
    </xf>
    <xf numFmtId="0" fontId="2" fillId="0" borderId="0" xfId="0" applyFont="1" applyAlignment="1">
      <alignment vertical="center" wrapText="1" readingOrder="1"/>
    </xf>
    <xf numFmtId="0" fontId="2" fillId="0" borderId="2" xfId="0" applyFont="1" applyBorder="1" applyAlignment="1">
      <alignment horizontal="center" vertical="center"/>
    </xf>
    <xf numFmtId="0" fontId="2" fillId="6" borderId="2" xfId="0" applyFont="1" applyFill="1" applyBorder="1" applyAlignment="1">
      <alignment horizontal="center" vertical="center"/>
    </xf>
    <xf numFmtId="175" fontId="2" fillId="0" borderId="2" xfId="0" applyNumberFormat="1" applyFont="1" applyBorder="1" applyAlignment="1">
      <alignment horizontal="right" vertical="center" wrapText="1" readingOrder="1"/>
    </xf>
    <xf numFmtId="175" fontId="2" fillId="0" borderId="2" xfId="0" applyNumberFormat="1" applyFont="1" applyBorder="1" applyAlignment="1">
      <alignment horizontal="right" vertical="center"/>
    </xf>
    <xf numFmtId="175" fontId="2" fillId="4" borderId="2" xfId="0" applyNumberFormat="1" applyFont="1" applyFill="1" applyBorder="1" applyAlignment="1">
      <alignment horizontal="right" vertical="center"/>
    </xf>
    <xf numFmtId="175" fontId="2" fillId="6" borderId="2" xfId="0" applyNumberFormat="1" applyFont="1" applyFill="1" applyBorder="1" applyAlignment="1">
      <alignment horizontal="right" vertical="center"/>
    </xf>
    <xf numFmtId="175" fontId="2" fillId="13" borderId="2" xfId="0" applyNumberFormat="1" applyFont="1" applyFill="1" applyBorder="1" applyAlignment="1">
      <alignment horizontal="center" vertical="center"/>
    </xf>
    <xf numFmtId="175" fontId="42" fillId="4" borderId="2" xfId="0" applyNumberFormat="1" applyFont="1" applyFill="1" applyBorder="1" applyAlignment="1">
      <alignment horizontal="right" vertical="center"/>
    </xf>
    <xf numFmtId="175" fontId="42" fillId="0" borderId="2" xfId="0" applyNumberFormat="1" applyFont="1" applyBorder="1" applyAlignment="1">
      <alignment horizontal="right" vertical="center"/>
    </xf>
    <xf numFmtId="175" fontId="2" fillId="16" borderId="2" xfId="0" applyNumberFormat="1" applyFont="1" applyFill="1" applyBorder="1" applyAlignment="1">
      <alignment horizontal="center" vertical="center"/>
    </xf>
    <xf numFmtId="175" fontId="42" fillId="19" borderId="2" xfId="0" applyNumberFormat="1" applyFont="1" applyFill="1" applyBorder="1" applyAlignment="1">
      <alignment horizontal="center" vertical="center"/>
    </xf>
    <xf numFmtId="0" fontId="0" fillId="0" borderId="0" xfId="0" applyAlignment="1">
      <alignment wrapText="1"/>
    </xf>
    <xf numFmtId="0" fontId="44" fillId="18" borderId="2" xfId="1" applyFont="1" applyFill="1" applyBorder="1" applyAlignment="1">
      <alignment horizontal="left" vertical="center" wrapText="1"/>
    </xf>
    <xf numFmtId="0" fontId="42" fillId="0" borderId="2" xfId="0" applyFont="1" applyBorder="1" applyAlignment="1">
      <alignment horizontal="center" vertical="center" wrapText="1"/>
    </xf>
    <xf numFmtId="6" fontId="42" fillId="0" borderId="2" xfId="0" applyNumberFormat="1" applyFont="1" applyBorder="1" applyAlignment="1">
      <alignment horizontal="center" vertical="center"/>
    </xf>
    <xf numFmtId="175" fontId="2" fillId="0" borderId="2" xfId="0" applyNumberFormat="1" applyFont="1" applyBorder="1" applyAlignment="1">
      <alignment wrapText="1"/>
    </xf>
    <xf numFmtId="172" fontId="42" fillId="5" borderId="5" xfId="0" applyNumberFormat="1" applyFont="1" applyFill="1" applyBorder="1" applyAlignment="1">
      <alignment vertical="center"/>
    </xf>
    <xf numFmtId="6" fontId="45" fillId="5" borderId="2" xfId="0" applyNumberFormat="1" applyFont="1" applyFill="1" applyBorder="1" applyAlignment="1">
      <alignment horizontal="center" vertical="center"/>
    </xf>
    <xf numFmtId="0" fontId="45" fillId="5" borderId="2" xfId="0" applyFont="1" applyFill="1" applyBorder="1" applyAlignment="1">
      <alignment horizontal="center" vertical="center"/>
    </xf>
    <xf numFmtId="174" fontId="11" fillId="0" borderId="0" xfId="0" applyNumberFormat="1" applyFont="1" applyAlignment="1">
      <alignment horizontal="center" vertical="center" wrapText="1"/>
    </xf>
    <xf numFmtId="175" fontId="2" fillId="0" borderId="2" xfId="0" applyNumberFormat="1" applyFont="1" applyBorder="1" applyAlignment="1">
      <alignment horizontal="right" vertical="center" wrapText="1"/>
    </xf>
    <xf numFmtId="0" fontId="42" fillId="0" borderId="26" xfId="2" applyFont="1" applyBorder="1" applyAlignment="1">
      <alignment vertical="center" wrapText="1"/>
    </xf>
    <xf numFmtId="0" fontId="42" fillId="6" borderId="2" xfId="0" applyFont="1" applyFill="1" applyBorder="1" applyAlignment="1">
      <alignment wrapText="1"/>
    </xf>
    <xf numFmtId="0" fontId="52" fillId="0" borderId="8" xfId="3" applyFont="1" applyFill="1" applyBorder="1" applyAlignment="1">
      <alignment horizontal="center" vertical="center" wrapText="1"/>
    </xf>
    <xf numFmtId="167" fontId="50" fillId="6" borderId="2" xfId="0" applyNumberFormat="1" applyFont="1" applyFill="1" applyBorder="1" applyAlignment="1">
      <alignment horizontal="center" vertical="center"/>
    </xf>
    <xf numFmtId="0" fontId="42" fillId="6" borderId="2" xfId="1" applyFont="1" applyFill="1" applyBorder="1" applyAlignment="1">
      <alignment vertical="center" wrapText="1"/>
    </xf>
    <xf numFmtId="2" fontId="44" fillId="8" borderId="2" xfId="1" applyNumberFormat="1" applyFont="1" applyFill="1" applyBorder="1" applyAlignment="1">
      <alignment horizontal="center" vertical="center" wrapText="1"/>
    </xf>
    <xf numFmtId="0" fontId="2" fillId="0" borderId="0" xfId="0" applyFont="1" applyAlignment="1">
      <alignment horizontal="left" vertical="center"/>
    </xf>
    <xf numFmtId="174" fontId="11" fillId="7" borderId="2" xfId="1" applyNumberFormat="1" applyFont="1" applyFill="1" applyBorder="1" applyAlignment="1">
      <alignment horizontal="center" vertical="center"/>
    </xf>
    <xf numFmtId="6" fontId="45" fillId="69" borderId="2" xfId="0" applyNumberFormat="1" applyFont="1" applyFill="1" applyBorder="1" applyAlignment="1">
      <alignment horizontal="center" vertical="center"/>
    </xf>
    <xf numFmtId="0" fontId="48" fillId="4" borderId="2" xfId="0" applyFont="1" applyFill="1" applyBorder="1" applyAlignment="1">
      <alignment horizontal="left" vertical="center"/>
    </xf>
    <xf numFmtId="49" fontId="2" fillId="6" borderId="2" xfId="0" applyNumberFormat="1" applyFont="1" applyFill="1" applyBorder="1" applyAlignment="1">
      <alignment vertical="center" wrapText="1"/>
    </xf>
    <xf numFmtId="0" fontId="44" fillId="7" borderId="2" xfId="1" applyFont="1" applyFill="1" applyBorder="1" applyAlignment="1">
      <alignment horizontal="center" vertical="center"/>
    </xf>
    <xf numFmtId="0" fontId="45" fillId="5" borderId="5" xfId="0" applyFont="1" applyFill="1" applyBorder="1" applyAlignment="1">
      <alignment horizontal="center" vertical="center"/>
    </xf>
    <xf numFmtId="0" fontId="49" fillId="4" borderId="2" xfId="0" applyFont="1" applyFill="1" applyBorder="1" applyAlignment="1">
      <alignment horizontal="left" vertical="center"/>
    </xf>
    <xf numFmtId="0" fontId="44" fillId="0" borderId="2" xfId="0" applyFont="1" applyBorder="1" applyAlignment="1">
      <alignment vertical="center"/>
    </xf>
    <xf numFmtId="0" fontId="44" fillId="3" borderId="2" xfId="0" applyFont="1" applyFill="1" applyBorder="1" applyAlignment="1">
      <alignment vertical="center"/>
    </xf>
    <xf numFmtId="6" fontId="42" fillId="5" borderId="2" xfId="0" applyNumberFormat="1" applyFont="1" applyFill="1" applyBorder="1" applyAlignment="1">
      <alignment horizontal="center" vertical="center"/>
    </xf>
    <xf numFmtId="0" fontId="52" fillId="0" borderId="27" xfId="3" applyFont="1" applyFill="1" applyBorder="1" applyAlignment="1">
      <alignment horizontal="center" vertical="center" wrapText="1"/>
    </xf>
    <xf numFmtId="175" fontId="2" fillId="6" borderId="2" xfId="0" applyNumberFormat="1" applyFont="1" applyFill="1" applyBorder="1" applyAlignment="1">
      <alignment vertical="center" wrapText="1"/>
    </xf>
    <xf numFmtId="0" fontId="11" fillId="9" borderId="2" xfId="0" applyFont="1" applyFill="1" applyBorder="1" applyAlignment="1">
      <alignment horizontal="center" vertical="center"/>
    </xf>
    <xf numFmtId="2" fontId="48" fillId="10" borderId="3" xfId="0" applyNumberFormat="1" applyFont="1" applyFill="1" applyBorder="1" applyAlignment="1">
      <alignment horizontal="center" vertical="center"/>
    </xf>
    <xf numFmtId="0" fontId="46" fillId="0" borderId="0" xfId="0" applyFont="1" applyAlignment="1">
      <alignment vertical="center" wrapText="1"/>
    </xf>
    <xf numFmtId="0" fontId="42" fillId="72" borderId="2" xfId="0" applyFont="1" applyFill="1" applyBorder="1" applyAlignment="1">
      <alignment horizontal="center" vertical="center" wrapText="1"/>
    </xf>
    <xf numFmtId="0" fontId="42" fillId="6" borderId="2" xfId="0" applyFont="1" applyFill="1" applyBorder="1" applyAlignment="1">
      <alignment horizontal="center" vertical="center" wrapText="1"/>
    </xf>
    <xf numFmtId="0" fontId="49" fillId="10" borderId="2" xfId="0" applyFont="1" applyFill="1" applyBorder="1" applyAlignment="1">
      <alignment horizontal="left" vertical="center"/>
    </xf>
    <xf numFmtId="6" fontId="42" fillId="0" borderId="3" xfId="0" applyNumberFormat="1" applyFont="1" applyBorder="1" applyAlignment="1">
      <alignment horizontal="center" vertical="center" wrapText="1"/>
    </xf>
    <xf numFmtId="175" fontId="42" fillId="8" borderId="2" xfId="1" applyNumberFormat="1" applyFont="1" applyFill="1" applyBorder="1" applyAlignment="1">
      <alignment horizontal="center" vertical="center" wrapText="1"/>
    </xf>
    <xf numFmtId="0" fontId="48" fillId="10" borderId="2" xfId="0" applyFont="1" applyFill="1" applyBorder="1" applyAlignment="1">
      <alignment horizontal="left" vertical="center"/>
    </xf>
    <xf numFmtId="0" fontId="45" fillId="5" borderId="2" xfId="0" applyFont="1" applyFill="1" applyBorder="1" applyAlignment="1">
      <alignment vertical="center"/>
    </xf>
    <xf numFmtId="175" fontId="11" fillId="0" borderId="2" xfId="1" applyNumberFormat="1" applyFont="1" applyBorder="1" applyAlignment="1">
      <alignment horizontal="right" vertical="center"/>
    </xf>
    <xf numFmtId="0" fontId="44" fillId="7" borderId="5" xfId="1" applyFont="1" applyFill="1" applyBorder="1" applyAlignment="1">
      <alignment horizontal="center" vertical="center" wrapText="1"/>
    </xf>
    <xf numFmtId="0" fontId="43" fillId="6" borderId="2" xfId="0" applyFont="1" applyFill="1" applyBorder="1" applyAlignment="1">
      <alignment horizontal="left" vertical="center" wrapText="1"/>
    </xf>
    <xf numFmtId="6" fontId="42" fillId="0" borderId="3" xfId="0" applyNumberFormat="1" applyFont="1" applyBorder="1" applyAlignment="1">
      <alignment horizontal="center" vertical="center"/>
    </xf>
    <xf numFmtId="0" fontId="49" fillId="4" borderId="2" xfId="0" applyFont="1" applyFill="1" applyBorder="1" applyAlignment="1">
      <alignment horizontal="center" vertical="center"/>
    </xf>
    <xf numFmtId="0" fontId="42" fillId="0" borderId="2" xfId="0" applyFont="1" applyBorder="1" applyAlignment="1">
      <alignment horizontal="left" vertical="center"/>
    </xf>
    <xf numFmtId="0" fontId="42" fillId="8" borderId="2" xfId="1" applyFont="1" applyFill="1" applyBorder="1" applyAlignment="1">
      <alignment vertical="center" wrapText="1"/>
    </xf>
    <xf numFmtId="0" fontId="2" fillId="6" borderId="2" xfId="0" applyFont="1" applyFill="1" applyBorder="1" applyAlignment="1">
      <alignment vertical="center" wrapText="1"/>
    </xf>
    <xf numFmtId="0" fontId="2" fillId="0" borderId="0" xfId="0" applyFont="1"/>
    <xf numFmtId="0" fontId="2" fillId="0" borderId="0" xfId="0" applyFont="1" applyAlignment="1">
      <alignment horizontal="center" vertical="center"/>
    </xf>
    <xf numFmtId="14" fontId="2" fillId="0" borderId="2" xfId="0" applyNumberFormat="1" applyFont="1" applyBorder="1" applyAlignment="1">
      <alignment horizontal="center" vertical="center"/>
    </xf>
    <xf numFmtId="166" fontId="2" fillId="0" borderId="2" xfId="0" applyNumberFormat="1" applyFont="1" applyBorder="1" applyAlignment="1">
      <alignment horizontal="center" vertical="center"/>
    </xf>
    <xf numFmtId="0" fontId="11" fillId="0" borderId="2" xfId="0" applyFont="1" applyBorder="1" applyAlignment="1">
      <alignment vertical="center" wrapText="1"/>
    </xf>
    <xf numFmtId="0" fontId="2" fillId="0" borderId="2" xfId="0" applyFont="1" applyBorder="1" applyAlignment="1">
      <alignment horizontal="left" vertical="center" wrapText="1"/>
    </xf>
    <xf numFmtId="0" fontId="33" fillId="0" borderId="0" xfId="0" applyFont="1" applyAlignment="1">
      <alignment vertical="center"/>
    </xf>
    <xf numFmtId="0" fontId="33" fillId="0" borderId="0" xfId="0" applyFont="1"/>
    <xf numFmtId="0" fontId="42" fillId="0" borderId="0" xfId="0" applyFont="1"/>
    <xf numFmtId="0" fontId="42" fillId="0" borderId="2" xfId="0" applyFont="1" applyBorder="1" applyAlignment="1">
      <alignment vertical="center"/>
    </xf>
    <xf numFmtId="14" fontId="2" fillId="0" borderId="7" xfId="0" applyNumberFormat="1" applyFont="1" applyBorder="1" applyAlignment="1">
      <alignment horizontal="center" vertical="center"/>
    </xf>
    <xf numFmtId="0" fontId="2" fillId="0" borderId="5" xfId="0" applyFont="1" applyBorder="1" applyAlignment="1">
      <alignment horizontal="left" vertical="center" wrapText="1"/>
    </xf>
    <xf numFmtId="6" fontId="42" fillId="0" borderId="2" xfId="0" applyNumberFormat="1" applyFont="1" applyBorder="1" applyAlignment="1">
      <alignment vertical="center"/>
    </xf>
    <xf numFmtId="0" fontId="42" fillId="0" borderId="0" xfId="0" applyFont="1" applyAlignment="1">
      <alignment vertical="center"/>
    </xf>
    <xf numFmtId="0" fontId="2" fillId="0" borderId="7" xfId="0" applyFont="1" applyBorder="1" applyAlignment="1">
      <alignment horizontal="left" vertical="center" wrapText="1"/>
    </xf>
    <xf numFmtId="0" fontId="2" fillId="0" borderId="5" xfId="0" applyFont="1" applyBorder="1"/>
    <xf numFmtId="0" fontId="2" fillId="0" borderId="7" xfId="0" applyFont="1" applyBorder="1" applyAlignment="1">
      <alignment horizontal="center" vertical="center"/>
    </xf>
    <xf numFmtId="0" fontId="2" fillId="6" borderId="0" xfId="0" applyFont="1" applyFill="1" applyAlignment="1">
      <alignment vertical="center"/>
    </xf>
    <xf numFmtId="0" fontId="53" fillId="0" borderId="2" xfId="0" applyFont="1" applyBorder="1" applyAlignment="1">
      <alignment horizontal="center" vertical="center" wrapText="1"/>
    </xf>
    <xf numFmtId="0" fontId="50" fillId="0" borderId="2" xfId="0" applyFont="1" applyBorder="1" applyAlignment="1">
      <alignment horizontal="center" vertical="center"/>
    </xf>
    <xf numFmtId="0" fontId="47" fillId="71" borderId="7" xfId="0" applyFont="1" applyFill="1" applyBorder="1" applyAlignment="1">
      <alignment horizontal="center" vertical="center" wrapText="1"/>
    </xf>
    <xf numFmtId="175" fontId="44" fillId="6" borderId="1" xfId="1" applyNumberFormat="1" applyFont="1" applyFill="1" applyBorder="1" applyAlignment="1">
      <alignment horizontal="right" vertical="center"/>
    </xf>
    <xf numFmtId="0" fontId="46" fillId="0" borderId="2" xfId="0" applyFont="1" applyBorder="1" applyAlignment="1">
      <alignment horizontal="center" vertical="center" wrapText="1"/>
    </xf>
    <xf numFmtId="168" fontId="50" fillId="0" borderId="2" xfId="0" applyNumberFormat="1" applyFont="1" applyBorder="1" applyAlignment="1">
      <alignment horizontal="center" vertical="center"/>
    </xf>
    <xf numFmtId="0" fontId="11" fillId="9" borderId="2" xfId="0" applyFont="1" applyFill="1" applyBorder="1" applyAlignment="1">
      <alignment horizontal="center" vertical="center" wrapText="1"/>
    </xf>
    <xf numFmtId="175" fontId="48" fillId="10" borderId="2" xfId="0" applyNumberFormat="1" applyFont="1" applyFill="1" applyBorder="1" applyAlignment="1">
      <alignment horizontal="center" vertical="center"/>
    </xf>
    <xf numFmtId="175" fontId="2" fillId="0" borderId="2" xfId="0" applyNumberFormat="1" applyFont="1" applyBorder="1" applyAlignment="1">
      <alignment vertical="center"/>
    </xf>
    <xf numFmtId="175" fontId="43" fillId="0" borderId="2" xfId="0" applyNumberFormat="1" applyFont="1" applyBorder="1" applyAlignment="1">
      <alignment horizontal="left" vertical="center" wrapText="1"/>
    </xf>
    <xf numFmtId="175" fontId="52" fillId="0" borderId="2" xfId="3" applyNumberFormat="1" applyFont="1" applyFill="1" applyBorder="1" applyAlignment="1">
      <alignment horizontal="left" vertical="center" wrapText="1"/>
    </xf>
    <xf numFmtId="175" fontId="52" fillId="0" borderId="2" xfId="3" applyNumberFormat="1" applyFont="1" applyFill="1" applyBorder="1" applyAlignment="1">
      <alignment horizontal="center" vertical="center" wrapText="1"/>
    </xf>
    <xf numFmtId="175" fontId="52" fillId="0" borderId="2" xfId="3" applyNumberFormat="1" applyFont="1" applyFill="1" applyBorder="1" applyAlignment="1">
      <alignment horizontal="right" vertical="center" wrapText="1"/>
    </xf>
    <xf numFmtId="0" fontId="53" fillId="0" borderId="7" xfId="0" applyFont="1" applyBorder="1" applyAlignment="1">
      <alignment horizontal="center" vertical="center" wrapText="1"/>
    </xf>
    <xf numFmtId="0" fontId="53" fillId="0" borderId="1" xfId="0" applyFont="1" applyBorder="1" applyAlignment="1">
      <alignment horizontal="center" vertical="center" wrapText="1"/>
    </xf>
    <xf numFmtId="0" fontId="47" fillId="71" borderId="6" xfId="0" applyFont="1" applyFill="1" applyBorder="1" applyAlignment="1">
      <alignment horizontal="center" vertical="center" wrapText="1"/>
    </xf>
    <xf numFmtId="0" fontId="8" fillId="0" borderId="0" xfId="0" applyFont="1" applyAlignment="1">
      <alignment vertical="center"/>
    </xf>
    <xf numFmtId="0" fontId="43" fillId="0" borderId="0" xfId="0" applyFont="1" applyAlignment="1">
      <alignment vertical="center" wrapText="1"/>
    </xf>
    <xf numFmtId="0" fontId="43" fillId="0" borderId="0" xfId="0" applyFont="1" applyAlignment="1">
      <alignment horizontal="center" vertical="center" wrapText="1"/>
    </xf>
    <xf numFmtId="175" fontId="2" fillId="0" borderId="0" xfId="0" applyNumberFormat="1" applyFont="1" applyAlignment="1">
      <alignment vertical="center" wrapText="1"/>
    </xf>
    <xf numFmtId="169" fontId="2" fillId="0" borderId="0" xfId="0" applyNumberFormat="1" applyFont="1" applyAlignment="1">
      <alignment vertical="center"/>
    </xf>
    <xf numFmtId="0" fontId="44" fillId="10" borderId="2" xfId="0" applyFont="1" applyFill="1" applyBorder="1" applyAlignment="1">
      <alignment horizontal="center" vertical="center" wrapText="1"/>
    </xf>
    <xf numFmtId="0" fontId="42" fillId="0" borderId="3" xfId="0" applyFont="1" applyBorder="1" applyAlignment="1">
      <alignment horizontal="center" vertical="center" wrapText="1"/>
    </xf>
    <xf numFmtId="0" fontId="5" fillId="105" borderId="38" xfId="0" applyFont="1" applyFill="1" applyBorder="1" applyAlignment="1">
      <alignment wrapText="1"/>
    </xf>
    <xf numFmtId="0" fontId="74" fillId="105" borderId="2" xfId="0" applyFont="1" applyFill="1" applyBorder="1"/>
    <xf numFmtId="0" fontId="5" fillId="105" borderId="2" xfId="0" applyFont="1" applyFill="1" applyBorder="1"/>
    <xf numFmtId="0" fontId="2" fillId="0" borderId="2" xfId="0" applyFont="1" applyBorder="1" applyAlignment="1">
      <alignment horizontal="left" vertical="top" wrapText="1"/>
    </xf>
    <xf numFmtId="0" fontId="43" fillId="0" borderId="38" xfId="0" applyFont="1" applyBorder="1" applyAlignment="1">
      <alignment horizontal="left" vertical="center" wrapText="1"/>
    </xf>
    <xf numFmtId="0" fontId="74" fillId="0" borderId="2" xfId="0" applyFont="1" applyBorder="1" applyAlignment="1">
      <alignment horizontal="left" vertical="center"/>
    </xf>
    <xf numFmtId="175" fontId="43" fillId="0" borderId="2" xfId="0" applyNumberFormat="1" applyFont="1" applyBorder="1" applyAlignment="1">
      <alignment horizontal="center" vertical="center"/>
    </xf>
    <xf numFmtId="0" fontId="50" fillId="0" borderId="0" xfId="0" applyFont="1" applyAlignment="1">
      <alignment horizontal="center" vertical="center" wrapText="1"/>
    </xf>
    <xf numFmtId="168" fontId="50" fillId="0" borderId="0" xfId="0" applyNumberFormat="1" applyFont="1" applyAlignment="1">
      <alignment horizontal="center" vertical="center"/>
    </xf>
    <xf numFmtId="0" fontId="0" fillId="0" borderId="0" xfId="0" applyAlignment="1">
      <alignment vertical="center"/>
    </xf>
    <xf numFmtId="0" fontId="47" fillId="71" borderId="4" xfId="0" applyFont="1" applyFill="1" applyBorder="1" applyAlignment="1">
      <alignment horizontal="center" vertical="center"/>
    </xf>
    <xf numFmtId="0" fontId="47" fillId="71" borderId="5" xfId="0" applyFont="1" applyFill="1" applyBorder="1" applyAlignment="1">
      <alignment horizontal="center" vertical="center"/>
    </xf>
    <xf numFmtId="0" fontId="47" fillId="71" borderId="39" xfId="0" applyFont="1" applyFill="1" applyBorder="1" applyAlignment="1">
      <alignment horizontal="center" vertical="center"/>
    </xf>
    <xf numFmtId="0" fontId="47" fillId="71" borderId="12" xfId="0" applyFont="1" applyFill="1" applyBorder="1" applyAlignment="1">
      <alignment horizontal="center" vertical="center"/>
    </xf>
    <xf numFmtId="0" fontId="47" fillId="71" borderId="11" xfId="0" applyFont="1" applyFill="1" applyBorder="1" applyAlignment="1">
      <alignment horizontal="center" vertical="center"/>
    </xf>
    <xf numFmtId="173" fontId="43" fillId="0" borderId="2" xfId="0" applyNumberFormat="1" applyFont="1" applyBorder="1" applyAlignment="1">
      <alignment horizontal="center" vertical="center"/>
    </xf>
    <xf numFmtId="0" fontId="47" fillId="71" borderId="3" xfId="0" applyFont="1" applyFill="1" applyBorder="1" applyAlignment="1">
      <alignment vertical="center"/>
    </xf>
    <xf numFmtId="2" fontId="44" fillId="0" borderId="2" xfId="1" applyNumberFormat="1" applyFont="1" applyBorder="1" applyAlignment="1">
      <alignment horizontal="right" vertical="center"/>
    </xf>
    <xf numFmtId="2" fontId="2" fillId="0" borderId="3" xfId="0" applyNumberFormat="1" applyFont="1" applyBorder="1" applyAlignment="1">
      <alignment vertical="center"/>
    </xf>
    <xf numFmtId="49" fontId="44" fillId="6" borderId="0" xfId="1" applyNumberFormat="1" applyFont="1" applyFill="1" applyAlignment="1">
      <alignment horizontal="left" vertical="center"/>
    </xf>
    <xf numFmtId="0" fontId="0" fillId="6" borderId="0" xfId="0" applyFill="1"/>
    <xf numFmtId="0" fontId="43" fillId="6" borderId="0" xfId="0" applyFont="1" applyFill="1" applyAlignment="1">
      <alignment horizontal="left" vertical="center" wrapText="1"/>
    </xf>
    <xf numFmtId="6" fontId="45" fillId="5" borderId="5" xfId="0" applyNumberFormat="1" applyFont="1" applyFill="1" applyBorder="1" applyAlignment="1">
      <alignment horizontal="center" vertical="center"/>
    </xf>
    <xf numFmtId="0" fontId="48" fillId="10" borderId="1" xfId="0" applyFont="1" applyFill="1" applyBorder="1" applyAlignment="1">
      <alignment horizontal="center" vertical="center" wrapText="1"/>
    </xf>
    <xf numFmtId="175" fontId="42" fillId="0" borderId="2" xfId="239" applyNumberFormat="1" applyFont="1" applyFill="1" applyBorder="1" applyAlignment="1">
      <alignment wrapText="1"/>
    </xf>
    <xf numFmtId="175" fontId="2" fillId="0" borderId="2" xfId="239" applyNumberFormat="1" applyFont="1" applyFill="1" applyBorder="1" applyAlignment="1">
      <alignment horizontal="right" wrapText="1"/>
    </xf>
    <xf numFmtId="0" fontId="44" fillId="106" borderId="2" xfId="1" applyFont="1" applyFill="1" applyBorder="1" applyAlignment="1">
      <alignment horizontal="center" vertical="center" wrapText="1"/>
    </xf>
    <xf numFmtId="0" fontId="47" fillId="6" borderId="2" xfId="0" applyFont="1" applyFill="1" applyBorder="1" applyAlignment="1">
      <alignment horizontal="center" vertical="center" wrapText="1"/>
    </xf>
    <xf numFmtId="175" fontId="11" fillId="6" borderId="2" xfId="0" applyNumberFormat="1" applyFont="1" applyFill="1" applyBorder="1" applyAlignment="1">
      <alignment horizontal="center" vertical="center"/>
    </xf>
    <xf numFmtId="0" fontId="2" fillId="0" borderId="2" xfId="0" applyFont="1" applyBorder="1"/>
    <xf numFmtId="0" fontId="43" fillId="6" borderId="1" xfId="0" applyFont="1" applyFill="1" applyBorder="1" applyAlignment="1">
      <alignment vertical="center" wrapText="1"/>
    </xf>
    <xf numFmtId="0" fontId="42" fillId="0" borderId="0" xfId="0" applyFont="1" applyAlignment="1">
      <alignment vertical="center" wrapText="1"/>
    </xf>
    <xf numFmtId="6" fontId="45" fillId="5" borderId="4" xfId="0" applyNumberFormat="1" applyFont="1" applyFill="1" applyBorder="1" applyAlignment="1">
      <alignment horizontal="center" vertical="center"/>
    </xf>
    <xf numFmtId="6" fontId="42" fillId="69" borderId="2" xfId="0" applyNumberFormat="1" applyFont="1" applyFill="1" applyBorder="1" applyAlignment="1">
      <alignment horizontal="center" vertical="center"/>
    </xf>
    <xf numFmtId="175" fontId="2" fillId="6" borderId="2" xfId="239" applyNumberFormat="1" applyFont="1" applyFill="1" applyBorder="1" applyAlignment="1">
      <alignment wrapText="1"/>
    </xf>
    <xf numFmtId="0" fontId="43" fillId="6" borderId="7" xfId="0" applyFont="1" applyFill="1" applyBorder="1" applyAlignment="1">
      <alignment vertical="center" wrapText="1"/>
    </xf>
    <xf numFmtId="0" fontId="2" fillId="0" borderId="7" xfId="0" applyFont="1" applyBorder="1" applyAlignment="1">
      <alignment wrapText="1"/>
    </xf>
    <xf numFmtId="0" fontId="2" fillId="0" borderId="7" xfId="0" applyFont="1" applyBorder="1"/>
    <xf numFmtId="0" fontId="2" fillId="0" borderId="6" xfId="0" applyFont="1" applyBorder="1"/>
    <xf numFmtId="0" fontId="2" fillId="0" borderId="1" xfId="0" applyFont="1" applyBorder="1"/>
    <xf numFmtId="0" fontId="43" fillId="0" borderId="7" xfId="0" applyFont="1" applyBorder="1" applyAlignment="1">
      <alignment horizontal="left" vertical="center" wrapText="1"/>
    </xf>
    <xf numFmtId="0" fontId="48" fillId="10" borderId="7" xfId="0" applyFont="1" applyFill="1" applyBorder="1" applyAlignment="1">
      <alignment horizontal="left" vertical="center"/>
    </xf>
    <xf numFmtId="0" fontId="2" fillId="6" borderId="0" xfId="0" applyFont="1" applyFill="1"/>
    <xf numFmtId="0" fontId="2" fillId="6" borderId="2" xfId="0" applyFont="1" applyFill="1" applyBorder="1"/>
    <xf numFmtId="6" fontId="42" fillId="5" borderId="2" xfId="0" applyNumberFormat="1" applyFont="1" applyFill="1" applyBorder="1" applyAlignment="1">
      <alignment horizontal="center" vertical="center" wrapText="1"/>
    </xf>
    <xf numFmtId="0" fontId="42" fillId="0" borderId="7" xfId="0" applyFont="1" applyBorder="1" applyAlignment="1">
      <alignment vertical="center" wrapText="1"/>
    </xf>
    <xf numFmtId="0" fontId="45" fillId="68" borderId="7" xfId="0" applyFont="1" applyFill="1" applyBorder="1" applyAlignment="1">
      <alignment horizontal="center" vertical="center"/>
    </xf>
    <xf numFmtId="0" fontId="45" fillId="68" borderId="7" xfId="0" applyFont="1" applyFill="1" applyBorder="1" applyAlignment="1">
      <alignment vertical="center"/>
    </xf>
    <xf numFmtId="0" fontId="42" fillId="69" borderId="2" xfId="0" applyFont="1" applyFill="1" applyBorder="1" applyAlignment="1">
      <alignment vertical="center"/>
    </xf>
    <xf numFmtId="6" fontId="42" fillId="69" borderId="2" xfId="0" applyNumberFormat="1" applyFont="1" applyFill="1" applyBorder="1" applyAlignment="1">
      <alignment horizontal="center" vertical="center" wrapText="1"/>
    </xf>
    <xf numFmtId="0" fontId="33" fillId="6" borderId="0" xfId="0" applyFont="1" applyFill="1"/>
    <xf numFmtId="175" fontId="44" fillId="6" borderId="0" xfId="1" applyNumberFormat="1" applyFont="1" applyFill="1" applyAlignment="1">
      <alignment horizontal="right" vertical="center"/>
    </xf>
    <xf numFmtId="174" fontId="33" fillId="69" borderId="0" xfId="0" applyNumberFormat="1" applyFont="1" applyFill="1" applyAlignment="1">
      <alignment horizontal="center" vertical="top"/>
    </xf>
    <xf numFmtId="0" fontId="43" fillId="6" borderId="1" xfId="0" applyFont="1" applyFill="1" applyBorder="1" applyAlignment="1">
      <alignment horizontal="center" vertical="center" wrapText="1"/>
    </xf>
    <xf numFmtId="0" fontId="43" fillId="6" borderId="1" xfId="0" applyFont="1" applyFill="1" applyBorder="1" applyAlignment="1">
      <alignment horizontal="left" vertical="center" wrapText="1"/>
    </xf>
    <xf numFmtId="0" fontId="43" fillId="6" borderId="3" xfId="0" applyFont="1" applyFill="1" applyBorder="1" applyAlignment="1">
      <alignment horizontal="left" vertical="center" wrapText="1"/>
    </xf>
    <xf numFmtId="175" fontId="2" fillId="0" borderId="5" xfId="239" applyNumberFormat="1" applyFont="1" applyBorder="1" applyAlignment="1">
      <alignment wrapText="1"/>
    </xf>
    <xf numFmtId="0" fontId="48" fillId="10" borderId="7" xfId="0" applyFont="1" applyFill="1" applyBorder="1" applyAlignment="1">
      <alignment horizontal="center" vertical="center" wrapText="1"/>
    </xf>
    <xf numFmtId="0" fontId="4" fillId="0" borderId="2" xfId="0" applyFont="1" applyBorder="1"/>
    <xf numFmtId="0" fontId="4" fillId="0" borderId="0" xfId="2" applyFont="1" applyAlignment="1">
      <alignment vertical="center"/>
    </xf>
    <xf numFmtId="0" fontId="4" fillId="0" borderId="3" xfId="0" applyFont="1" applyBorder="1" applyAlignment="1">
      <alignment horizontal="center" vertical="center"/>
    </xf>
    <xf numFmtId="0" fontId="50" fillId="0" borderId="5" xfId="0" applyFont="1" applyBorder="1" applyAlignment="1">
      <alignment horizontal="center" vertical="center" wrapText="1"/>
    </xf>
    <xf numFmtId="0" fontId="0" fillId="0" borderId="2" xfId="0" applyBorder="1"/>
    <xf numFmtId="0" fontId="48" fillId="0" borderId="2" xfId="0" applyFont="1" applyBorder="1" applyAlignment="1">
      <alignment vertical="center"/>
    </xf>
    <xf numFmtId="0" fontId="48" fillId="0" borderId="2" xfId="0" applyFont="1" applyBorder="1" applyAlignment="1">
      <alignment horizontal="left" vertical="center"/>
    </xf>
    <xf numFmtId="0" fontId="0" fillId="0" borderId="2" xfId="0" applyBorder="1" applyAlignment="1">
      <alignment horizontal="left" vertical="center"/>
    </xf>
    <xf numFmtId="0" fontId="0" fillId="0" borderId="2" xfId="0" applyBorder="1" applyAlignment="1">
      <alignment wrapText="1"/>
    </xf>
    <xf numFmtId="0" fontId="43" fillId="0" borderId="5" xfId="0" applyFont="1" applyBorder="1" applyAlignment="1">
      <alignment horizontal="center" vertical="center" wrapText="1"/>
    </xf>
    <xf numFmtId="0" fontId="77" fillId="0" borderId="2" xfId="0" applyFont="1" applyBorder="1" applyAlignment="1">
      <alignment horizontal="left" vertical="center"/>
    </xf>
    <xf numFmtId="0" fontId="77" fillId="0" borderId="2" xfId="0" applyFont="1" applyBorder="1"/>
    <xf numFmtId="0" fontId="42" fillId="0" borderId="2" xfId="1" applyFont="1" applyBorder="1" applyAlignment="1">
      <alignment horizontal="center" vertical="center" wrapText="1"/>
    </xf>
    <xf numFmtId="0" fontId="78" fillId="0" borderId="2" xfId="0" applyFont="1" applyBorder="1" applyAlignment="1">
      <alignment vertical="center" wrapText="1"/>
    </xf>
    <xf numFmtId="175" fontId="44" fillId="0" borderId="7" xfId="1" applyNumberFormat="1" applyFont="1" applyBorder="1" applyAlignment="1">
      <alignment horizontal="right" vertical="center"/>
    </xf>
    <xf numFmtId="0" fontId="54" fillId="0" borderId="2" xfId="0" applyFont="1" applyBorder="1"/>
    <xf numFmtId="0" fontId="42" fillId="0" borderId="5" xfId="1" applyFont="1" applyBorder="1" applyAlignment="1">
      <alignment horizontal="center" vertical="center" wrapText="1"/>
    </xf>
    <xf numFmtId="0" fontId="2" fillId="0" borderId="14" xfId="2" applyFont="1" applyBorder="1" applyAlignment="1">
      <alignment vertical="center"/>
    </xf>
    <xf numFmtId="0" fontId="2" fillId="0" borderId="3" xfId="0" applyFont="1" applyBorder="1" applyAlignment="1">
      <alignment horizontal="center" vertical="center"/>
    </xf>
    <xf numFmtId="0" fontId="74" fillId="0" borderId="2" xfId="0" applyFont="1" applyBorder="1" applyAlignment="1">
      <alignment horizontal="left"/>
    </xf>
    <xf numFmtId="0" fontId="74" fillId="0" borderId="2" xfId="0" applyFont="1" applyBorder="1" applyAlignment="1">
      <alignment horizontal="center" vertical="center"/>
    </xf>
    <xf numFmtId="0" fontId="5" fillId="0" borderId="2" xfId="0" applyFont="1" applyBorder="1" applyAlignment="1">
      <alignment vertical="center" wrapText="1"/>
    </xf>
    <xf numFmtId="0" fontId="43" fillId="0" borderId="40" xfId="0" applyFont="1" applyBorder="1" applyAlignment="1">
      <alignment horizontal="left" vertical="center"/>
    </xf>
    <xf numFmtId="0" fontId="75" fillId="0" borderId="41" xfId="0" applyFont="1" applyBorder="1" applyAlignment="1">
      <alignment horizontal="center" vertical="center"/>
    </xf>
    <xf numFmtId="0" fontId="4" fillId="0" borderId="13" xfId="2" applyFont="1" applyBorder="1" applyAlignment="1">
      <alignment vertical="center" wrapText="1"/>
    </xf>
    <xf numFmtId="0" fontId="4" fillId="0" borderId="14" xfId="2" applyFont="1" applyBorder="1" applyAlignment="1">
      <alignment vertical="center"/>
    </xf>
    <xf numFmtId="0" fontId="4" fillId="0" borderId="2" xfId="0" applyFont="1" applyBorder="1" applyAlignment="1">
      <alignment horizontal="center" vertical="center" wrapText="1"/>
    </xf>
    <xf numFmtId="0" fontId="3" fillId="0" borderId="2" xfId="0" applyFont="1" applyBorder="1" applyAlignment="1">
      <alignment horizontal="center" vertical="center" wrapText="1"/>
    </xf>
    <xf numFmtId="0" fontId="0" fillId="0" borderId="0" xfId="0" applyAlignment="1">
      <alignment horizontal="left" vertical="center"/>
    </xf>
    <xf numFmtId="175" fontId="2" fillId="6" borderId="2" xfId="1" applyNumberFormat="1" applyFont="1" applyFill="1" applyBorder="1" applyAlignment="1">
      <alignment horizontal="right" vertical="center"/>
    </xf>
    <xf numFmtId="175" fontId="2" fillId="6" borderId="2" xfId="0" applyNumberFormat="1" applyFont="1" applyFill="1" applyBorder="1" applyAlignment="1">
      <alignment horizontal="center" vertical="center"/>
    </xf>
    <xf numFmtId="175" fontId="2" fillId="0" borderId="2" xfId="1" applyNumberFormat="1" applyFont="1" applyBorder="1" applyAlignment="1">
      <alignment horizontal="right" vertical="center"/>
    </xf>
    <xf numFmtId="175" fontId="42" fillId="12" borderId="2" xfId="1" applyNumberFormat="1" applyFont="1" applyFill="1" applyBorder="1" applyAlignment="1">
      <alignment horizontal="center" vertical="center" wrapText="1"/>
    </xf>
    <xf numFmtId="175" fontId="42" fillId="0" borderId="2" xfId="1" applyNumberFormat="1" applyFont="1" applyBorder="1" applyAlignment="1">
      <alignment horizontal="right" vertical="center"/>
    </xf>
    <xf numFmtId="175" fontId="42" fillId="6" borderId="2" xfId="1" applyNumberFormat="1" applyFont="1" applyFill="1" applyBorder="1" applyAlignment="1">
      <alignment horizontal="right" vertical="center"/>
    </xf>
    <xf numFmtId="175" fontId="42" fillId="6" borderId="2" xfId="0" applyNumberFormat="1" applyFont="1" applyFill="1" applyBorder="1" applyAlignment="1">
      <alignment horizontal="right" vertical="center"/>
    </xf>
    <xf numFmtId="175" fontId="42" fillId="15" borderId="2" xfId="1" applyNumberFormat="1" applyFont="1" applyFill="1" applyBorder="1" applyAlignment="1">
      <alignment horizontal="center" vertical="center" wrapText="1"/>
    </xf>
    <xf numFmtId="175" fontId="42" fillId="6" borderId="1" xfId="1" applyNumberFormat="1" applyFont="1" applyFill="1" applyBorder="1" applyAlignment="1">
      <alignment horizontal="right" vertical="center"/>
    </xf>
    <xf numFmtId="175" fontId="42" fillId="0" borderId="7" xfId="1" applyNumberFormat="1" applyFont="1" applyBorder="1" applyAlignment="1">
      <alignment horizontal="right" vertical="center"/>
    </xf>
    <xf numFmtId="175" fontId="42" fillId="18" borderId="2" xfId="1" applyNumberFormat="1" applyFont="1" applyFill="1" applyBorder="1" applyAlignment="1">
      <alignment horizontal="center" vertical="center" wrapText="1"/>
    </xf>
    <xf numFmtId="2" fontId="42" fillId="0" borderId="2" xfId="1" applyNumberFormat="1" applyFont="1" applyBorder="1" applyAlignment="1">
      <alignment horizontal="right" vertical="center"/>
    </xf>
    <xf numFmtId="0" fontId="74" fillId="0" borderId="13" xfId="0" applyFont="1" applyBorder="1" applyAlignment="1">
      <alignment vertical="top" wrapText="1"/>
    </xf>
    <xf numFmtId="0" fontId="43" fillId="0" borderId="5" xfId="0" applyFont="1" applyBorder="1" applyAlignment="1">
      <alignment horizontal="left" vertical="center" wrapText="1"/>
    </xf>
    <xf numFmtId="0" fontId="74" fillId="0" borderId="0" xfId="0" applyFont="1" applyAlignment="1">
      <alignment horizontal="center" vertical="center"/>
    </xf>
    <xf numFmtId="0" fontId="76" fillId="0" borderId="13" xfId="0" applyFont="1" applyBorder="1" applyAlignment="1">
      <alignment horizontal="center" vertical="center"/>
    </xf>
    <xf numFmtId="0" fontId="0" fillId="0" borderId="0" xfId="0" applyAlignment="1">
      <alignment horizontal="center" vertical="center"/>
    </xf>
    <xf numFmtId="0" fontId="74" fillId="0" borderId="13" xfId="0" applyFont="1" applyBorder="1" applyAlignment="1">
      <alignment horizontal="center" vertical="center"/>
    </xf>
    <xf numFmtId="0" fontId="42" fillId="69" borderId="0" xfId="0" applyFont="1" applyFill="1" applyAlignment="1">
      <alignment vertical="center"/>
    </xf>
    <xf numFmtId="0" fontId="2" fillId="0" borderId="2" xfId="0" applyFont="1" applyBorder="1" applyAlignment="1">
      <alignment horizontal="center" vertical="center"/>
    </xf>
    <xf numFmtId="14" fontId="2" fillId="0" borderId="2" xfId="0" applyNumberFormat="1" applyFont="1" applyBorder="1" applyAlignment="1">
      <alignment horizontal="center" vertical="center"/>
    </xf>
    <xf numFmtId="166" fontId="2" fillId="0" borderId="2" xfId="0" applyNumberFormat="1" applyFont="1" applyBorder="1" applyAlignment="1">
      <alignment horizontal="center" vertical="center"/>
    </xf>
    <xf numFmtId="0" fontId="2" fillId="0" borderId="3" xfId="0" applyFont="1" applyBorder="1" applyAlignment="1">
      <alignment horizontal="center" vertical="center" wrapText="1"/>
    </xf>
    <xf numFmtId="6" fontId="42" fillId="5" borderId="7" xfId="0" applyNumberFormat="1" applyFont="1" applyFill="1" applyBorder="1" applyAlignment="1">
      <alignment horizontal="center" vertical="center"/>
    </xf>
    <xf numFmtId="6" fontId="42" fillId="0" borderId="3" xfId="0" applyNumberFormat="1" applyFont="1" applyBorder="1" applyAlignment="1">
      <alignment horizontal="center" vertical="center"/>
    </xf>
    <xf numFmtId="0" fontId="45" fillId="5" borderId="3" xfId="0" applyFont="1" applyFill="1" applyBorder="1" applyAlignment="1">
      <alignment horizontal="center" vertical="center"/>
    </xf>
    <xf numFmtId="0" fontId="44" fillId="4" borderId="3" xfId="0" applyFont="1" applyFill="1" applyBorder="1" applyAlignment="1">
      <alignment horizontal="left" vertical="center"/>
    </xf>
    <xf numFmtId="6" fontId="42" fillId="0" borderId="2" xfId="0" applyNumberFormat="1" applyFont="1" applyBorder="1" applyAlignment="1">
      <alignment horizontal="center" vertical="center"/>
    </xf>
    <xf numFmtId="6" fontId="45" fillId="69" borderId="3" xfId="0" applyNumberFormat="1" applyFont="1" applyFill="1" applyBorder="1" applyAlignment="1">
      <alignment horizontal="center" vertical="center" wrapText="1"/>
    </xf>
    <xf numFmtId="6" fontId="45" fillId="5" borderId="3" xfId="0" applyNumberFormat="1" applyFont="1" applyFill="1" applyBorder="1" applyAlignment="1">
      <alignment horizontal="center" vertical="center"/>
    </xf>
    <xf numFmtId="6" fontId="45" fillId="5" borderId="5" xfId="0" applyNumberFormat="1" applyFont="1" applyFill="1" applyBorder="1" applyAlignment="1">
      <alignment horizontal="center" vertical="center"/>
    </xf>
    <xf numFmtId="0" fontId="11" fillId="9" borderId="3" xfId="0" applyFont="1" applyFill="1" applyBorder="1" applyAlignment="1">
      <alignment horizontal="center" vertical="center"/>
    </xf>
    <xf numFmtId="0" fontId="11" fillId="9" borderId="5" xfId="0" applyFont="1" applyFill="1" applyBorder="1" applyAlignment="1">
      <alignment horizontal="center" vertical="center"/>
    </xf>
    <xf numFmtId="0" fontId="50" fillId="0" borderId="2" xfId="0" applyFont="1" applyBorder="1" applyAlignment="1">
      <alignment horizontal="center" vertical="center" wrapText="1"/>
    </xf>
    <xf numFmtId="0" fontId="11" fillId="9" borderId="4" xfId="0" applyFont="1" applyFill="1" applyBorder="1" applyAlignment="1">
      <alignment horizontal="center" vertical="center"/>
    </xf>
    <xf numFmtId="0" fontId="50" fillId="0" borderId="3" xfId="0" applyFont="1" applyBorder="1" applyAlignment="1">
      <alignment horizontal="center" vertical="center" wrapText="1"/>
    </xf>
    <xf numFmtId="0" fontId="50" fillId="0" borderId="4" xfId="0" applyFont="1" applyBorder="1" applyAlignment="1">
      <alignment horizontal="center" vertical="center" wrapText="1"/>
    </xf>
    <xf numFmtId="0" fontId="50" fillId="0" borderId="5" xfId="0" applyFont="1" applyBorder="1" applyAlignment="1">
      <alignment horizontal="center" vertical="center" wrapText="1"/>
    </xf>
    <xf numFmtId="168" fontId="11" fillId="9" borderId="2" xfId="0" applyNumberFormat="1" applyFont="1" applyFill="1" applyBorder="1" applyAlignment="1">
      <alignment horizontal="center" vertical="center"/>
    </xf>
    <xf numFmtId="0" fontId="9" fillId="0" borderId="0" xfId="0" applyFont="1" applyAlignment="1">
      <alignment horizontal="center"/>
    </xf>
    <xf numFmtId="0" fontId="0" fillId="0" borderId="2" xfId="0" applyBorder="1" applyAlignment="1">
      <alignment horizontal="center" vertical="center"/>
    </xf>
  </cellXfs>
  <cellStyles count="1201">
    <cellStyle name="%" xfId="10" xr:uid="{00000000-0005-0000-0000-000000000000}"/>
    <cellStyle name="% 2" xfId="11" xr:uid="{00000000-0005-0000-0000-000001000000}"/>
    <cellStyle name="% 2 2" xfId="148" xr:uid="{00000000-0005-0000-0000-000002000000}"/>
    <cellStyle name="% 3" xfId="147" xr:uid="{00000000-0005-0000-0000-000003000000}"/>
    <cellStyle name="%_GF Tab" xfId="12" xr:uid="{00000000-0005-0000-0000-000004000000}"/>
    <cellStyle name="%_GF Tab (2)" xfId="13" xr:uid="{00000000-0005-0000-0000-000005000000}"/>
    <cellStyle name="%_GF Tab (2) 2" xfId="150" xr:uid="{00000000-0005-0000-0000-000006000000}"/>
    <cellStyle name="%_GF Tab 2" xfId="149" xr:uid="{00000000-0005-0000-0000-000007000000}"/>
    <cellStyle name="%_Suitability &amp; Availability" xfId="14" xr:uid="{00000000-0005-0000-0000-000008000000}"/>
    <cellStyle name="%_Suitability &amp; Availability 2" xfId="151" xr:uid="{00000000-0005-0000-0000-000009000000}"/>
    <cellStyle name="20 % - Accent1" xfId="319" builtinId="30" customBuiltin="1"/>
    <cellStyle name="20 % - Accent1 2" xfId="201" xr:uid="{00000000-0005-0000-0000-00000B000000}"/>
    <cellStyle name="20 % - Accent2" xfId="323" builtinId="34" customBuiltin="1"/>
    <cellStyle name="20 % - Accent2 2" xfId="202" xr:uid="{00000000-0005-0000-0000-00000D000000}"/>
    <cellStyle name="20 % - Accent3" xfId="327" builtinId="38" customBuiltin="1"/>
    <cellStyle name="20 % - Accent3 2" xfId="203" xr:uid="{00000000-0005-0000-0000-00000F000000}"/>
    <cellStyle name="20 % - Accent4" xfId="331" builtinId="42" customBuiltin="1"/>
    <cellStyle name="20 % - Accent4 2" xfId="204" xr:uid="{00000000-0005-0000-0000-000011000000}"/>
    <cellStyle name="20 % - Accent5" xfId="335" builtinId="46" customBuiltin="1"/>
    <cellStyle name="20 % - Accent5 2" xfId="205" xr:uid="{00000000-0005-0000-0000-000013000000}"/>
    <cellStyle name="20 % - Accent6" xfId="339" builtinId="50" customBuiltin="1"/>
    <cellStyle name="20 % - Accent6 2" xfId="206" xr:uid="{00000000-0005-0000-0000-000015000000}"/>
    <cellStyle name="20% - Accent1 2" xfId="16" xr:uid="{00000000-0005-0000-0000-000016000000}"/>
    <cellStyle name="20% - Accent1 3" xfId="17" xr:uid="{00000000-0005-0000-0000-000017000000}"/>
    <cellStyle name="20% - Accent1 4" xfId="15" xr:uid="{00000000-0005-0000-0000-000018000000}"/>
    <cellStyle name="20% - Accent2 2" xfId="19" xr:uid="{00000000-0005-0000-0000-000019000000}"/>
    <cellStyle name="20% - Accent2 3" xfId="20" xr:uid="{00000000-0005-0000-0000-00001A000000}"/>
    <cellStyle name="20% - Accent2 4" xfId="18" xr:uid="{00000000-0005-0000-0000-00001B000000}"/>
    <cellStyle name="20% - Accent3 2" xfId="22" xr:uid="{00000000-0005-0000-0000-00001C000000}"/>
    <cellStyle name="20% - Accent3 3" xfId="23" xr:uid="{00000000-0005-0000-0000-00001D000000}"/>
    <cellStyle name="20% - Accent3 4" xfId="21" xr:uid="{00000000-0005-0000-0000-00001E000000}"/>
    <cellStyle name="20% - Accent4 2" xfId="25" xr:uid="{00000000-0005-0000-0000-00001F000000}"/>
    <cellStyle name="20% - Accent4 3" xfId="26" xr:uid="{00000000-0005-0000-0000-000020000000}"/>
    <cellStyle name="20% - Accent4 4" xfId="24" xr:uid="{00000000-0005-0000-0000-000021000000}"/>
    <cellStyle name="20% - Accent5 2" xfId="28" xr:uid="{00000000-0005-0000-0000-000022000000}"/>
    <cellStyle name="20% - Accent5 3" xfId="29" xr:uid="{00000000-0005-0000-0000-000023000000}"/>
    <cellStyle name="20% - Accent5 4" xfId="27" xr:uid="{00000000-0005-0000-0000-000024000000}"/>
    <cellStyle name="20% - Accent6 2" xfId="31" xr:uid="{00000000-0005-0000-0000-000025000000}"/>
    <cellStyle name="20% - Accent6 3" xfId="32" xr:uid="{00000000-0005-0000-0000-000026000000}"/>
    <cellStyle name="20% - Accent6 4" xfId="30" xr:uid="{00000000-0005-0000-0000-000027000000}"/>
    <cellStyle name="40 % - Accent1" xfId="320" builtinId="31" customBuiltin="1"/>
    <cellStyle name="40 % - Accent1 2" xfId="207" xr:uid="{00000000-0005-0000-0000-000029000000}"/>
    <cellStyle name="40 % - Accent2" xfId="324" builtinId="35" customBuiltin="1"/>
    <cellStyle name="40 % - Accent2 2" xfId="208" xr:uid="{00000000-0005-0000-0000-00002B000000}"/>
    <cellStyle name="40 % - Accent3" xfId="328" builtinId="39" customBuiltin="1"/>
    <cellStyle name="40 % - Accent3 2" xfId="209" xr:uid="{00000000-0005-0000-0000-00002D000000}"/>
    <cellStyle name="40 % - Accent4" xfId="332" builtinId="43" customBuiltin="1"/>
    <cellStyle name="40 % - Accent4 2" xfId="210" xr:uid="{00000000-0005-0000-0000-00002F000000}"/>
    <cellStyle name="40 % - Accent5" xfId="336" builtinId="47" customBuiltin="1"/>
    <cellStyle name="40 % - Accent5 2" xfId="211" xr:uid="{00000000-0005-0000-0000-000031000000}"/>
    <cellStyle name="40 % - Accent6" xfId="340" builtinId="51" customBuiltin="1"/>
    <cellStyle name="40 % - Accent6 2" xfId="212" xr:uid="{00000000-0005-0000-0000-000033000000}"/>
    <cellStyle name="40% - Accent1 2" xfId="34" xr:uid="{00000000-0005-0000-0000-000034000000}"/>
    <cellStyle name="40% - Accent1 3" xfId="35" xr:uid="{00000000-0005-0000-0000-000035000000}"/>
    <cellStyle name="40% - Accent1 4" xfId="33" xr:uid="{00000000-0005-0000-0000-000036000000}"/>
    <cellStyle name="40% - Accent2 2" xfId="37" xr:uid="{00000000-0005-0000-0000-000037000000}"/>
    <cellStyle name="40% - Accent2 3" xfId="38" xr:uid="{00000000-0005-0000-0000-000038000000}"/>
    <cellStyle name="40% - Accent2 4" xfId="36" xr:uid="{00000000-0005-0000-0000-000039000000}"/>
    <cellStyle name="40% - Accent3 2" xfId="40" xr:uid="{00000000-0005-0000-0000-00003A000000}"/>
    <cellStyle name="40% - Accent3 3" xfId="41" xr:uid="{00000000-0005-0000-0000-00003B000000}"/>
    <cellStyle name="40% - Accent3 4" xfId="39" xr:uid="{00000000-0005-0000-0000-00003C000000}"/>
    <cellStyle name="40% - Accent4 2" xfId="43" xr:uid="{00000000-0005-0000-0000-00003D000000}"/>
    <cellStyle name="40% - Accent4 3" xfId="44" xr:uid="{00000000-0005-0000-0000-00003E000000}"/>
    <cellStyle name="40% - Accent4 4" xfId="42" xr:uid="{00000000-0005-0000-0000-00003F000000}"/>
    <cellStyle name="40% - Accent5 2" xfId="46" xr:uid="{00000000-0005-0000-0000-000040000000}"/>
    <cellStyle name="40% - Accent5 3" xfId="47" xr:uid="{00000000-0005-0000-0000-000041000000}"/>
    <cellStyle name="40% - Accent5 4" xfId="45" xr:uid="{00000000-0005-0000-0000-000042000000}"/>
    <cellStyle name="40% - Accent6 2" xfId="49" xr:uid="{00000000-0005-0000-0000-000043000000}"/>
    <cellStyle name="40% - Accent6 3" xfId="50" xr:uid="{00000000-0005-0000-0000-000044000000}"/>
    <cellStyle name="40% - Accent6 4" xfId="48" xr:uid="{00000000-0005-0000-0000-000045000000}"/>
    <cellStyle name="60 % - Accent1" xfId="321" builtinId="32" customBuiltin="1"/>
    <cellStyle name="60 % - Accent1 2" xfId="213" xr:uid="{00000000-0005-0000-0000-000047000000}"/>
    <cellStyle name="60 % - Accent2" xfId="325" builtinId="36" customBuiltin="1"/>
    <cellStyle name="60 % - Accent2 2" xfId="214" xr:uid="{00000000-0005-0000-0000-000049000000}"/>
    <cellStyle name="60 % - Accent3" xfId="329" builtinId="40" customBuiltin="1"/>
    <cellStyle name="60 % - Accent3 2" xfId="215" xr:uid="{00000000-0005-0000-0000-00004B000000}"/>
    <cellStyle name="60 % - Accent4" xfId="333" builtinId="44" customBuiltin="1"/>
    <cellStyle name="60 % - Accent4 2" xfId="216" xr:uid="{00000000-0005-0000-0000-00004D000000}"/>
    <cellStyle name="60 % - Accent5" xfId="337" builtinId="48" customBuiltin="1"/>
    <cellStyle name="60 % - Accent5 2" xfId="217" xr:uid="{00000000-0005-0000-0000-00004F000000}"/>
    <cellStyle name="60 % - Accent6" xfId="341" builtinId="52" customBuiltin="1"/>
    <cellStyle name="60 % - Accent6 2" xfId="218" xr:uid="{00000000-0005-0000-0000-000051000000}"/>
    <cellStyle name="60% - Accent1 2" xfId="52" xr:uid="{00000000-0005-0000-0000-000052000000}"/>
    <cellStyle name="60% - Accent1 3" xfId="53" xr:uid="{00000000-0005-0000-0000-000053000000}"/>
    <cellStyle name="60% - Accent1 4" xfId="51" xr:uid="{00000000-0005-0000-0000-000054000000}"/>
    <cellStyle name="60% - Accent2 2" xfId="55" xr:uid="{00000000-0005-0000-0000-000055000000}"/>
    <cellStyle name="60% - Accent2 3" xfId="56" xr:uid="{00000000-0005-0000-0000-000056000000}"/>
    <cellStyle name="60% - Accent2 4" xfId="54" xr:uid="{00000000-0005-0000-0000-000057000000}"/>
    <cellStyle name="60% - Accent3 2" xfId="58" xr:uid="{00000000-0005-0000-0000-000058000000}"/>
    <cellStyle name="60% - Accent3 3" xfId="59" xr:uid="{00000000-0005-0000-0000-000059000000}"/>
    <cellStyle name="60% - Accent3 4" xfId="57" xr:uid="{00000000-0005-0000-0000-00005A000000}"/>
    <cellStyle name="60% - Accent4 2" xfId="61" xr:uid="{00000000-0005-0000-0000-00005B000000}"/>
    <cellStyle name="60% - Accent4 3" xfId="62" xr:uid="{00000000-0005-0000-0000-00005C000000}"/>
    <cellStyle name="60% - Accent4 4" xfId="60" xr:uid="{00000000-0005-0000-0000-00005D000000}"/>
    <cellStyle name="60% - Accent5 2" xfId="64" xr:uid="{00000000-0005-0000-0000-00005E000000}"/>
    <cellStyle name="60% - Accent5 3" xfId="65" xr:uid="{00000000-0005-0000-0000-00005F000000}"/>
    <cellStyle name="60% - Accent5 4" xfId="63" xr:uid="{00000000-0005-0000-0000-000060000000}"/>
    <cellStyle name="60% - Accent6 2" xfId="67" xr:uid="{00000000-0005-0000-0000-000061000000}"/>
    <cellStyle name="60% - Accent6 3" xfId="68" xr:uid="{00000000-0005-0000-0000-000062000000}"/>
    <cellStyle name="60% - Accent6 4" xfId="66" xr:uid="{00000000-0005-0000-0000-000063000000}"/>
    <cellStyle name="Accent1" xfId="318" builtinId="29" customBuiltin="1"/>
    <cellStyle name="Accent1 2" xfId="70" xr:uid="{00000000-0005-0000-0000-000065000000}"/>
    <cellStyle name="Accent1 2 2" xfId="261" xr:uid="{00000000-0005-0000-0000-000066000000}"/>
    <cellStyle name="Accent1 2 3" xfId="219" xr:uid="{00000000-0005-0000-0000-000067000000}"/>
    <cellStyle name="Accent1 3" xfId="71" xr:uid="{00000000-0005-0000-0000-000068000000}"/>
    <cellStyle name="Accent1 4" xfId="69" xr:uid="{00000000-0005-0000-0000-000069000000}"/>
    <cellStyle name="Accent2" xfId="322" builtinId="33" customBuiltin="1"/>
    <cellStyle name="Accent2 2" xfId="73" xr:uid="{00000000-0005-0000-0000-00006B000000}"/>
    <cellStyle name="Accent2 2 2" xfId="262" xr:uid="{00000000-0005-0000-0000-00006C000000}"/>
    <cellStyle name="Accent2 2 3" xfId="220" xr:uid="{00000000-0005-0000-0000-00006D000000}"/>
    <cellStyle name="Accent2 3" xfId="74" xr:uid="{00000000-0005-0000-0000-00006E000000}"/>
    <cellStyle name="Accent2 4" xfId="72" xr:uid="{00000000-0005-0000-0000-00006F000000}"/>
    <cellStyle name="Accent3" xfId="326" builtinId="37" customBuiltin="1"/>
    <cellStyle name="Accent3 2" xfId="76" xr:uid="{00000000-0005-0000-0000-000071000000}"/>
    <cellStyle name="Accent3 2 2" xfId="263" xr:uid="{00000000-0005-0000-0000-000072000000}"/>
    <cellStyle name="Accent3 2 3" xfId="221" xr:uid="{00000000-0005-0000-0000-000073000000}"/>
    <cellStyle name="Accent3 3" xfId="77" xr:uid="{00000000-0005-0000-0000-000074000000}"/>
    <cellStyle name="Accent3 4" xfId="75" xr:uid="{00000000-0005-0000-0000-000075000000}"/>
    <cellStyle name="Accent4" xfId="330" builtinId="41" customBuiltin="1"/>
    <cellStyle name="Accent4 2" xfId="79" xr:uid="{00000000-0005-0000-0000-000077000000}"/>
    <cellStyle name="Accent4 2 2" xfId="264" xr:uid="{00000000-0005-0000-0000-000078000000}"/>
    <cellStyle name="Accent4 2 3" xfId="222" xr:uid="{00000000-0005-0000-0000-000079000000}"/>
    <cellStyle name="Accent4 3" xfId="80" xr:uid="{00000000-0005-0000-0000-00007A000000}"/>
    <cellStyle name="Accent4 4" xfId="78" xr:uid="{00000000-0005-0000-0000-00007B000000}"/>
    <cellStyle name="Accent5" xfId="334" builtinId="45" customBuiltin="1"/>
    <cellStyle name="Accent5 2" xfId="82" xr:uid="{00000000-0005-0000-0000-00007D000000}"/>
    <cellStyle name="Accent5 2 2" xfId="265" xr:uid="{00000000-0005-0000-0000-00007E000000}"/>
    <cellStyle name="Accent5 2 3" xfId="223" xr:uid="{00000000-0005-0000-0000-00007F000000}"/>
    <cellStyle name="Accent5 3" xfId="83" xr:uid="{00000000-0005-0000-0000-000080000000}"/>
    <cellStyle name="Accent5 4" xfId="81" xr:uid="{00000000-0005-0000-0000-000081000000}"/>
    <cellStyle name="Accent6" xfId="338" builtinId="49" customBuiltin="1"/>
    <cellStyle name="Accent6 2" xfId="85" xr:uid="{00000000-0005-0000-0000-000083000000}"/>
    <cellStyle name="Accent6 2 2" xfId="266" xr:uid="{00000000-0005-0000-0000-000084000000}"/>
    <cellStyle name="Accent6 2 3" xfId="224" xr:uid="{00000000-0005-0000-0000-000085000000}"/>
    <cellStyle name="Accent6 3" xfId="86" xr:uid="{00000000-0005-0000-0000-000086000000}"/>
    <cellStyle name="Accent6 4" xfId="84" xr:uid="{00000000-0005-0000-0000-000087000000}"/>
    <cellStyle name="Avertissement" xfId="314" builtinId="11" customBuiltin="1"/>
    <cellStyle name="Bad 2" xfId="88" xr:uid="{00000000-0005-0000-0000-000089000000}"/>
    <cellStyle name="Bad 3" xfId="89" xr:uid="{00000000-0005-0000-0000-00008A000000}"/>
    <cellStyle name="Bad 4" xfId="87" xr:uid="{00000000-0005-0000-0000-00008B000000}"/>
    <cellStyle name="Calcul" xfId="311" builtinId="22" customBuiltin="1"/>
    <cellStyle name="Calcul 2" xfId="225" xr:uid="{00000000-0005-0000-0000-00008D000000}"/>
    <cellStyle name="Calculation 2" xfId="91" xr:uid="{00000000-0005-0000-0000-00008E000000}"/>
    <cellStyle name="Calculation 2 2" xfId="153" xr:uid="{00000000-0005-0000-0000-00008F000000}"/>
    <cellStyle name="Calculation 3" xfId="92" xr:uid="{00000000-0005-0000-0000-000090000000}"/>
    <cellStyle name="Calculation 3 2" xfId="154" xr:uid="{00000000-0005-0000-0000-000091000000}"/>
    <cellStyle name="Calculation 4" xfId="152" xr:uid="{00000000-0005-0000-0000-000092000000}"/>
    <cellStyle name="Calculation 5" xfId="90" xr:uid="{00000000-0005-0000-0000-000093000000}"/>
    <cellStyle name="Cellule liée" xfId="312" builtinId="24" customBuiltin="1"/>
    <cellStyle name="Check Cell 2" xfId="94" xr:uid="{00000000-0005-0000-0000-000095000000}"/>
    <cellStyle name="Check Cell 3" xfId="95" xr:uid="{00000000-0005-0000-0000-000096000000}"/>
    <cellStyle name="Check Cell 4" xfId="93" xr:uid="{00000000-0005-0000-0000-000097000000}"/>
    <cellStyle name="Comma 10" xfId="537" xr:uid="{00000000-0005-0000-0000-000098000000}"/>
    <cellStyle name="Comma 10 2" xfId="986" xr:uid="{00000000-0005-0000-0000-000099000000}"/>
    <cellStyle name="Comma 11" xfId="762" xr:uid="{00000000-0005-0000-0000-00009A000000}"/>
    <cellStyle name="Comma 12" xfId="1197" xr:uid="{00000000-0005-0000-0000-00009B000000}"/>
    <cellStyle name="Comma 2" xfId="199" xr:uid="{00000000-0005-0000-0000-00009C000000}"/>
    <cellStyle name="Comma 2 2" xfId="200" xr:uid="{00000000-0005-0000-0000-00009D000000}"/>
    <cellStyle name="Comma 2 2 2" xfId="238" xr:uid="{00000000-0005-0000-0000-00009E000000}"/>
    <cellStyle name="Comma 2 2 2 2" xfId="246" xr:uid="{00000000-0005-0000-0000-00009F000000}"/>
    <cellStyle name="Comma 2 2 2 2 2" xfId="253" xr:uid="{00000000-0005-0000-0000-0000A0000000}"/>
    <cellStyle name="Comma 2 2 2 2 2 2" xfId="297" xr:uid="{00000000-0005-0000-0000-0000A1000000}"/>
    <cellStyle name="Comma 2 2 2 2 2 2 2" xfId="405" xr:uid="{00000000-0005-0000-0000-0000A2000000}"/>
    <cellStyle name="Comma 2 2 2 2 2 2 2 2" xfId="517" xr:uid="{00000000-0005-0000-0000-0000A3000000}"/>
    <cellStyle name="Comma 2 2 2 2 2 2 2 2 2" xfId="743" xr:uid="{00000000-0005-0000-0000-0000A4000000}"/>
    <cellStyle name="Comma 2 2 2 2 2 2 2 2 2 2" xfId="1192" xr:uid="{00000000-0005-0000-0000-0000A5000000}"/>
    <cellStyle name="Comma 2 2 2 2 2 2 2 2 3" xfId="968" xr:uid="{00000000-0005-0000-0000-0000A6000000}"/>
    <cellStyle name="Comma 2 2 2 2 2 2 2 3" xfId="631" xr:uid="{00000000-0005-0000-0000-0000A7000000}"/>
    <cellStyle name="Comma 2 2 2 2 2 2 2 3 2" xfId="1080" xr:uid="{00000000-0005-0000-0000-0000A8000000}"/>
    <cellStyle name="Comma 2 2 2 2 2 2 2 4" xfId="856" xr:uid="{00000000-0005-0000-0000-0000A9000000}"/>
    <cellStyle name="Comma 2 2 2 2 2 2 3" xfId="461" xr:uid="{00000000-0005-0000-0000-0000AA000000}"/>
    <cellStyle name="Comma 2 2 2 2 2 2 3 2" xfId="687" xr:uid="{00000000-0005-0000-0000-0000AB000000}"/>
    <cellStyle name="Comma 2 2 2 2 2 2 3 2 2" xfId="1136" xr:uid="{00000000-0005-0000-0000-0000AC000000}"/>
    <cellStyle name="Comma 2 2 2 2 2 2 3 3" xfId="912" xr:uid="{00000000-0005-0000-0000-0000AD000000}"/>
    <cellStyle name="Comma 2 2 2 2 2 2 4" xfId="575" xr:uid="{00000000-0005-0000-0000-0000AE000000}"/>
    <cellStyle name="Comma 2 2 2 2 2 2 4 2" xfId="1024" xr:uid="{00000000-0005-0000-0000-0000AF000000}"/>
    <cellStyle name="Comma 2 2 2 2 2 2 5" xfId="800" xr:uid="{00000000-0005-0000-0000-0000B0000000}"/>
    <cellStyle name="Comma 2 2 2 2 2 3" xfId="285" xr:uid="{00000000-0005-0000-0000-0000B1000000}"/>
    <cellStyle name="Comma 2 2 2 2 2 3 2" xfId="495" xr:uid="{00000000-0005-0000-0000-0000B2000000}"/>
    <cellStyle name="Comma 2 2 2 2 2 3 2 2" xfId="721" xr:uid="{00000000-0005-0000-0000-0000B3000000}"/>
    <cellStyle name="Comma 2 2 2 2 2 3 2 2 2" xfId="1170" xr:uid="{00000000-0005-0000-0000-0000B4000000}"/>
    <cellStyle name="Comma 2 2 2 2 2 3 2 3" xfId="946" xr:uid="{00000000-0005-0000-0000-0000B5000000}"/>
    <cellStyle name="Comma 2 2 2 2 2 3 3" xfId="609" xr:uid="{00000000-0005-0000-0000-0000B6000000}"/>
    <cellStyle name="Comma 2 2 2 2 2 3 3 2" xfId="1058" xr:uid="{00000000-0005-0000-0000-0000B7000000}"/>
    <cellStyle name="Comma 2 2 2 2 2 3 4" xfId="834" xr:uid="{00000000-0005-0000-0000-0000B8000000}"/>
    <cellStyle name="Comma 2 2 2 2 2 4" xfId="439" xr:uid="{00000000-0005-0000-0000-0000B9000000}"/>
    <cellStyle name="Comma 2 2 2 2 2 4 2" xfId="665" xr:uid="{00000000-0005-0000-0000-0000BA000000}"/>
    <cellStyle name="Comma 2 2 2 2 2 4 2 2" xfId="1114" xr:uid="{00000000-0005-0000-0000-0000BB000000}"/>
    <cellStyle name="Comma 2 2 2 2 2 4 3" xfId="890" xr:uid="{00000000-0005-0000-0000-0000BC000000}"/>
    <cellStyle name="Comma 2 2 2 2 2 5" xfId="553" xr:uid="{00000000-0005-0000-0000-0000BD000000}"/>
    <cellStyle name="Comma 2 2 2 2 2 5 2" xfId="1002" xr:uid="{00000000-0005-0000-0000-0000BE000000}"/>
    <cellStyle name="Comma 2 2 2 2 2 6" xfId="778" xr:uid="{00000000-0005-0000-0000-0000BF000000}"/>
    <cellStyle name="Comma 2 2 2 2 3" xfId="291" xr:uid="{00000000-0005-0000-0000-0000C0000000}"/>
    <cellStyle name="Comma 2 2 2 2 3 2" xfId="394" xr:uid="{00000000-0005-0000-0000-0000C1000000}"/>
    <cellStyle name="Comma 2 2 2 2 3 2 2" xfId="506" xr:uid="{00000000-0005-0000-0000-0000C2000000}"/>
    <cellStyle name="Comma 2 2 2 2 3 2 2 2" xfId="732" xr:uid="{00000000-0005-0000-0000-0000C3000000}"/>
    <cellStyle name="Comma 2 2 2 2 3 2 2 2 2" xfId="1181" xr:uid="{00000000-0005-0000-0000-0000C4000000}"/>
    <cellStyle name="Comma 2 2 2 2 3 2 2 3" xfId="957" xr:uid="{00000000-0005-0000-0000-0000C5000000}"/>
    <cellStyle name="Comma 2 2 2 2 3 2 3" xfId="620" xr:uid="{00000000-0005-0000-0000-0000C6000000}"/>
    <cellStyle name="Comma 2 2 2 2 3 2 3 2" xfId="1069" xr:uid="{00000000-0005-0000-0000-0000C7000000}"/>
    <cellStyle name="Comma 2 2 2 2 3 2 4" xfId="845" xr:uid="{00000000-0005-0000-0000-0000C8000000}"/>
    <cellStyle name="Comma 2 2 2 2 3 3" xfId="450" xr:uid="{00000000-0005-0000-0000-0000C9000000}"/>
    <cellStyle name="Comma 2 2 2 2 3 3 2" xfId="676" xr:uid="{00000000-0005-0000-0000-0000CA000000}"/>
    <cellStyle name="Comma 2 2 2 2 3 3 2 2" xfId="1125" xr:uid="{00000000-0005-0000-0000-0000CB000000}"/>
    <cellStyle name="Comma 2 2 2 2 3 3 3" xfId="901" xr:uid="{00000000-0005-0000-0000-0000CC000000}"/>
    <cellStyle name="Comma 2 2 2 2 3 4" xfId="564" xr:uid="{00000000-0005-0000-0000-0000CD000000}"/>
    <cellStyle name="Comma 2 2 2 2 3 4 2" xfId="1013" xr:uid="{00000000-0005-0000-0000-0000CE000000}"/>
    <cellStyle name="Comma 2 2 2 2 3 5" xfId="789" xr:uid="{00000000-0005-0000-0000-0000CF000000}"/>
    <cellStyle name="Comma 2 2 2 2 4" xfId="279" xr:uid="{00000000-0005-0000-0000-0000D0000000}"/>
    <cellStyle name="Comma 2 2 2 2 4 2" xfId="484" xr:uid="{00000000-0005-0000-0000-0000D1000000}"/>
    <cellStyle name="Comma 2 2 2 2 4 2 2" xfId="710" xr:uid="{00000000-0005-0000-0000-0000D2000000}"/>
    <cellStyle name="Comma 2 2 2 2 4 2 2 2" xfId="1159" xr:uid="{00000000-0005-0000-0000-0000D3000000}"/>
    <cellStyle name="Comma 2 2 2 2 4 2 3" xfId="935" xr:uid="{00000000-0005-0000-0000-0000D4000000}"/>
    <cellStyle name="Comma 2 2 2 2 4 3" xfId="598" xr:uid="{00000000-0005-0000-0000-0000D5000000}"/>
    <cellStyle name="Comma 2 2 2 2 4 3 2" xfId="1047" xr:uid="{00000000-0005-0000-0000-0000D6000000}"/>
    <cellStyle name="Comma 2 2 2 2 4 4" xfId="823" xr:uid="{00000000-0005-0000-0000-0000D7000000}"/>
    <cellStyle name="Comma 2 2 2 2 5" xfId="428" xr:uid="{00000000-0005-0000-0000-0000D8000000}"/>
    <cellStyle name="Comma 2 2 2 2 5 2" xfId="654" xr:uid="{00000000-0005-0000-0000-0000D9000000}"/>
    <cellStyle name="Comma 2 2 2 2 5 2 2" xfId="1103" xr:uid="{00000000-0005-0000-0000-0000DA000000}"/>
    <cellStyle name="Comma 2 2 2 2 5 3" xfId="879" xr:uid="{00000000-0005-0000-0000-0000DB000000}"/>
    <cellStyle name="Comma 2 2 2 2 6" xfId="542" xr:uid="{00000000-0005-0000-0000-0000DC000000}"/>
    <cellStyle name="Comma 2 2 2 2 6 2" xfId="991" xr:uid="{00000000-0005-0000-0000-0000DD000000}"/>
    <cellStyle name="Comma 2 2 2 2 7" xfId="767" xr:uid="{00000000-0005-0000-0000-0000DE000000}"/>
    <cellStyle name="Comma 2 2 2 3" xfId="375" xr:uid="{00000000-0005-0000-0000-0000DF000000}"/>
    <cellStyle name="Comma 2 2 2 3 2" xfId="474" xr:uid="{00000000-0005-0000-0000-0000E0000000}"/>
    <cellStyle name="Comma 2 2 2 3 2 2" xfId="700" xr:uid="{00000000-0005-0000-0000-0000E1000000}"/>
    <cellStyle name="Comma 2 2 2 3 2 2 2" xfId="1149" xr:uid="{00000000-0005-0000-0000-0000E2000000}"/>
    <cellStyle name="Comma 2 2 2 3 2 3" xfId="925" xr:uid="{00000000-0005-0000-0000-0000E3000000}"/>
    <cellStyle name="Comma 2 2 2 3 3" xfId="588" xr:uid="{00000000-0005-0000-0000-0000E4000000}"/>
    <cellStyle name="Comma 2 2 2 3 3 2" xfId="1037" xr:uid="{00000000-0005-0000-0000-0000E5000000}"/>
    <cellStyle name="Comma 2 2 2 3 4" xfId="813" xr:uid="{00000000-0005-0000-0000-0000E6000000}"/>
    <cellStyle name="Comma 2 2 2 4" xfId="418" xr:uid="{00000000-0005-0000-0000-0000E7000000}"/>
    <cellStyle name="Comma 2 2 2 4 2" xfId="644" xr:uid="{00000000-0005-0000-0000-0000E8000000}"/>
    <cellStyle name="Comma 2 2 2 4 2 2" xfId="1093" xr:uid="{00000000-0005-0000-0000-0000E9000000}"/>
    <cellStyle name="Comma 2 2 2 4 3" xfId="869" xr:uid="{00000000-0005-0000-0000-0000EA000000}"/>
    <cellStyle name="Comma 2 2 2 5" xfId="532" xr:uid="{00000000-0005-0000-0000-0000EB000000}"/>
    <cellStyle name="Comma 2 2 2 5 2" xfId="981" xr:uid="{00000000-0005-0000-0000-0000EC000000}"/>
    <cellStyle name="Comma 2 2 2 6" xfId="757" xr:uid="{00000000-0005-0000-0000-0000ED000000}"/>
    <cellStyle name="Comma 2 2 3" xfId="243" xr:uid="{00000000-0005-0000-0000-0000EE000000}"/>
    <cellStyle name="Comma 2 2 3 2" xfId="250" xr:uid="{00000000-0005-0000-0000-0000EF000000}"/>
    <cellStyle name="Comma 2 2 3 2 2" xfId="294" xr:uid="{00000000-0005-0000-0000-0000F0000000}"/>
    <cellStyle name="Comma 2 2 3 2 2 2" xfId="402" xr:uid="{00000000-0005-0000-0000-0000F1000000}"/>
    <cellStyle name="Comma 2 2 3 2 2 2 2" xfId="514" xr:uid="{00000000-0005-0000-0000-0000F2000000}"/>
    <cellStyle name="Comma 2 2 3 2 2 2 2 2" xfId="740" xr:uid="{00000000-0005-0000-0000-0000F3000000}"/>
    <cellStyle name="Comma 2 2 3 2 2 2 2 2 2" xfId="1189" xr:uid="{00000000-0005-0000-0000-0000F4000000}"/>
    <cellStyle name="Comma 2 2 3 2 2 2 2 3" xfId="965" xr:uid="{00000000-0005-0000-0000-0000F5000000}"/>
    <cellStyle name="Comma 2 2 3 2 2 2 3" xfId="628" xr:uid="{00000000-0005-0000-0000-0000F6000000}"/>
    <cellStyle name="Comma 2 2 3 2 2 2 3 2" xfId="1077" xr:uid="{00000000-0005-0000-0000-0000F7000000}"/>
    <cellStyle name="Comma 2 2 3 2 2 2 4" xfId="853" xr:uid="{00000000-0005-0000-0000-0000F8000000}"/>
    <cellStyle name="Comma 2 2 3 2 2 3" xfId="458" xr:uid="{00000000-0005-0000-0000-0000F9000000}"/>
    <cellStyle name="Comma 2 2 3 2 2 3 2" xfId="684" xr:uid="{00000000-0005-0000-0000-0000FA000000}"/>
    <cellStyle name="Comma 2 2 3 2 2 3 2 2" xfId="1133" xr:uid="{00000000-0005-0000-0000-0000FB000000}"/>
    <cellStyle name="Comma 2 2 3 2 2 3 3" xfId="909" xr:uid="{00000000-0005-0000-0000-0000FC000000}"/>
    <cellStyle name="Comma 2 2 3 2 2 4" xfId="572" xr:uid="{00000000-0005-0000-0000-0000FD000000}"/>
    <cellStyle name="Comma 2 2 3 2 2 4 2" xfId="1021" xr:uid="{00000000-0005-0000-0000-0000FE000000}"/>
    <cellStyle name="Comma 2 2 3 2 2 5" xfId="797" xr:uid="{00000000-0005-0000-0000-0000FF000000}"/>
    <cellStyle name="Comma 2 2 3 2 3" xfId="282" xr:uid="{00000000-0005-0000-0000-000000010000}"/>
    <cellStyle name="Comma 2 2 3 2 3 2" xfId="492" xr:uid="{00000000-0005-0000-0000-000001010000}"/>
    <cellStyle name="Comma 2 2 3 2 3 2 2" xfId="718" xr:uid="{00000000-0005-0000-0000-000002010000}"/>
    <cellStyle name="Comma 2 2 3 2 3 2 2 2" xfId="1167" xr:uid="{00000000-0005-0000-0000-000003010000}"/>
    <cellStyle name="Comma 2 2 3 2 3 2 3" xfId="943" xr:uid="{00000000-0005-0000-0000-000004010000}"/>
    <cellStyle name="Comma 2 2 3 2 3 3" xfId="606" xr:uid="{00000000-0005-0000-0000-000005010000}"/>
    <cellStyle name="Comma 2 2 3 2 3 3 2" xfId="1055" xr:uid="{00000000-0005-0000-0000-000006010000}"/>
    <cellStyle name="Comma 2 2 3 2 3 4" xfId="831" xr:uid="{00000000-0005-0000-0000-000007010000}"/>
    <cellStyle name="Comma 2 2 3 2 4" xfId="436" xr:uid="{00000000-0005-0000-0000-000008010000}"/>
    <cellStyle name="Comma 2 2 3 2 4 2" xfId="662" xr:uid="{00000000-0005-0000-0000-000009010000}"/>
    <cellStyle name="Comma 2 2 3 2 4 2 2" xfId="1111" xr:uid="{00000000-0005-0000-0000-00000A010000}"/>
    <cellStyle name="Comma 2 2 3 2 4 3" xfId="887" xr:uid="{00000000-0005-0000-0000-00000B010000}"/>
    <cellStyle name="Comma 2 2 3 2 5" xfId="550" xr:uid="{00000000-0005-0000-0000-00000C010000}"/>
    <cellStyle name="Comma 2 2 3 2 5 2" xfId="999" xr:uid="{00000000-0005-0000-0000-00000D010000}"/>
    <cellStyle name="Comma 2 2 3 2 6" xfId="775" xr:uid="{00000000-0005-0000-0000-00000E010000}"/>
    <cellStyle name="Comma 2 2 3 3" xfId="288" xr:uid="{00000000-0005-0000-0000-00000F010000}"/>
    <cellStyle name="Comma 2 2 3 3 2" xfId="391" xr:uid="{00000000-0005-0000-0000-000010010000}"/>
    <cellStyle name="Comma 2 2 3 3 2 2" xfId="503" xr:uid="{00000000-0005-0000-0000-000011010000}"/>
    <cellStyle name="Comma 2 2 3 3 2 2 2" xfId="729" xr:uid="{00000000-0005-0000-0000-000012010000}"/>
    <cellStyle name="Comma 2 2 3 3 2 2 2 2" xfId="1178" xr:uid="{00000000-0005-0000-0000-000013010000}"/>
    <cellStyle name="Comma 2 2 3 3 2 2 3" xfId="954" xr:uid="{00000000-0005-0000-0000-000014010000}"/>
    <cellStyle name="Comma 2 2 3 3 2 3" xfId="617" xr:uid="{00000000-0005-0000-0000-000015010000}"/>
    <cellStyle name="Comma 2 2 3 3 2 3 2" xfId="1066" xr:uid="{00000000-0005-0000-0000-000016010000}"/>
    <cellStyle name="Comma 2 2 3 3 2 4" xfId="842" xr:uid="{00000000-0005-0000-0000-000017010000}"/>
    <cellStyle name="Comma 2 2 3 3 3" xfId="447" xr:uid="{00000000-0005-0000-0000-000018010000}"/>
    <cellStyle name="Comma 2 2 3 3 3 2" xfId="673" xr:uid="{00000000-0005-0000-0000-000019010000}"/>
    <cellStyle name="Comma 2 2 3 3 3 2 2" xfId="1122" xr:uid="{00000000-0005-0000-0000-00001A010000}"/>
    <cellStyle name="Comma 2 2 3 3 3 3" xfId="898" xr:uid="{00000000-0005-0000-0000-00001B010000}"/>
    <cellStyle name="Comma 2 2 3 3 4" xfId="561" xr:uid="{00000000-0005-0000-0000-00001C010000}"/>
    <cellStyle name="Comma 2 2 3 3 4 2" xfId="1010" xr:uid="{00000000-0005-0000-0000-00001D010000}"/>
    <cellStyle name="Comma 2 2 3 3 5" xfId="786" xr:uid="{00000000-0005-0000-0000-00001E010000}"/>
    <cellStyle name="Comma 2 2 3 4" xfId="276" xr:uid="{00000000-0005-0000-0000-00001F010000}"/>
    <cellStyle name="Comma 2 2 3 4 2" xfId="481" xr:uid="{00000000-0005-0000-0000-000020010000}"/>
    <cellStyle name="Comma 2 2 3 4 2 2" xfId="707" xr:uid="{00000000-0005-0000-0000-000021010000}"/>
    <cellStyle name="Comma 2 2 3 4 2 2 2" xfId="1156" xr:uid="{00000000-0005-0000-0000-000022010000}"/>
    <cellStyle name="Comma 2 2 3 4 2 3" xfId="932" xr:uid="{00000000-0005-0000-0000-000023010000}"/>
    <cellStyle name="Comma 2 2 3 4 3" xfId="595" xr:uid="{00000000-0005-0000-0000-000024010000}"/>
    <cellStyle name="Comma 2 2 3 4 3 2" xfId="1044" xr:uid="{00000000-0005-0000-0000-000025010000}"/>
    <cellStyle name="Comma 2 2 3 4 4" xfId="820" xr:uid="{00000000-0005-0000-0000-000026010000}"/>
    <cellStyle name="Comma 2 2 3 5" xfId="425" xr:uid="{00000000-0005-0000-0000-000027010000}"/>
    <cellStyle name="Comma 2 2 3 5 2" xfId="651" xr:uid="{00000000-0005-0000-0000-000028010000}"/>
    <cellStyle name="Comma 2 2 3 5 2 2" xfId="1100" xr:uid="{00000000-0005-0000-0000-000029010000}"/>
    <cellStyle name="Comma 2 2 3 5 3" xfId="876" xr:uid="{00000000-0005-0000-0000-00002A010000}"/>
    <cellStyle name="Comma 2 2 3 6" xfId="539" xr:uid="{00000000-0005-0000-0000-00002B010000}"/>
    <cellStyle name="Comma 2 2 3 6 2" xfId="988" xr:uid="{00000000-0005-0000-0000-00002C010000}"/>
    <cellStyle name="Comma 2 2 3 7" xfId="764" xr:uid="{00000000-0005-0000-0000-00002D010000}"/>
    <cellStyle name="Comma 2 2 4" xfId="372" xr:uid="{00000000-0005-0000-0000-00002E010000}"/>
    <cellStyle name="Comma 2 2 4 2" xfId="469" xr:uid="{00000000-0005-0000-0000-00002F010000}"/>
    <cellStyle name="Comma 2 2 4 2 2" xfId="695" xr:uid="{00000000-0005-0000-0000-000030010000}"/>
    <cellStyle name="Comma 2 2 4 2 2 2" xfId="1144" xr:uid="{00000000-0005-0000-0000-000031010000}"/>
    <cellStyle name="Comma 2 2 4 2 3" xfId="920" xr:uid="{00000000-0005-0000-0000-000032010000}"/>
    <cellStyle name="Comma 2 2 4 3" xfId="583" xr:uid="{00000000-0005-0000-0000-000033010000}"/>
    <cellStyle name="Comma 2 2 4 3 2" xfId="1032" xr:uid="{00000000-0005-0000-0000-000034010000}"/>
    <cellStyle name="Comma 2 2 4 4" xfId="808" xr:uid="{00000000-0005-0000-0000-000035010000}"/>
    <cellStyle name="Comma 2 2 5" xfId="413" xr:uid="{00000000-0005-0000-0000-000036010000}"/>
    <cellStyle name="Comma 2 2 5 2" xfId="639" xr:uid="{00000000-0005-0000-0000-000037010000}"/>
    <cellStyle name="Comma 2 2 5 2 2" xfId="1088" xr:uid="{00000000-0005-0000-0000-000038010000}"/>
    <cellStyle name="Comma 2 2 5 3" xfId="864" xr:uid="{00000000-0005-0000-0000-000039010000}"/>
    <cellStyle name="Comma 2 2 6" xfId="527" xr:uid="{00000000-0005-0000-0000-00003A010000}"/>
    <cellStyle name="Comma 2 2 6 2" xfId="976" xr:uid="{00000000-0005-0000-0000-00003B010000}"/>
    <cellStyle name="Comma 2 2 7" xfId="752" xr:uid="{00000000-0005-0000-0000-00003C010000}"/>
    <cellStyle name="Comma 2 3" xfId="237" xr:uid="{00000000-0005-0000-0000-00003D010000}"/>
    <cellStyle name="Comma 2 3 2" xfId="245" xr:uid="{00000000-0005-0000-0000-00003E010000}"/>
    <cellStyle name="Comma 2 3 2 2" xfId="252" xr:uid="{00000000-0005-0000-0000-00003F010000}"/>
    <cellStyle name="Comma 2 3 2 2 2" xfId="296" xr:uid="{00000000-0005-0000-0000-000040010000}"/>
    <cellStyle name="Comma 2 3 2 2 2 2" xfId="404" xr:uid="{00000000-0005-0000-0000-000041010000}"/>
    <cellStyle name="Comma 2 3 2 2 2 2 2" xfId="516" xr:uid="{00000000-0005-0000-0000-000042010000}"/>
    <cellStyle name="Comma 2 3 2 2 2 2 2 2" xfId="742" xr:uid="{00000000-0005-0000-0000-000043010000}"/>
    <cellStyle name="Comma 2 3 2 2 2 2 2 2 2" xfId="1191" xr:uid="{00000000-0005-0000-0000-000044010000}"/>
    <cellStyle name="Comma 2 3 2 2 2 2 2 3" xfId="967" xr:uid="{00000000-0005-0000-0000-000045010000}"/>
    <cellStyle name="Comma 2 3 2 2 2 2 3" xfId="630" xr:uid="{00000000-0005-0000-0000-000046010000}"/>
    <cellStyle name="Comma 2 3 2 2 2 2 3 2" xfId="1079" xr:uid="{00000000-0005-0000-0000-000047010000}"/>
    <cellStyle name="Comma 2 3 2 2 2 2 4" xfId="855" xr:uid="{00000000-0005-0000-0000-000048010000}"/>
    <cellStyle name="Comma 2 3 2 2 2 3" xfId="460" xr:uid="{00000000-0005-0000-0000-000049010000}"/>
    <cellStyle name="Comma 2 3 2 2 2 3 2" xfId="686" xr:uid="{00000000-0005-0000-0000-00004A010000}"/>
    <cellStyle name="Comma 2 3 2 2 2 3 2 2" xfId="1135" xr:uid="{00000000-0005-0000-0000-00004B010000}"/>
    <cellStyle name="Comma 2 3 2 2 2 3 3" xfId="911" xr:uid="{00000000-0005-0000-0000-00004C010000}"/>
    <cellStyle name="Comma 2 3 2 2 2 4" xfId="574" xr:uid="{00000000-0005-0000-0000-00004D010000}"/>
    <cellStyle name="Comma 2 3 2 2 2 4 2" xfId="1023" xr:uid="{00000000-0005-0000-0000-00004E010000}"/>
    <cellStyle name="Comma 2 3 2 2 2 5" xfId="799" xr:uid="{00000000-0005-0000-0000-00004F010000}"/>
    <cellStyle name="Comma 2 3 2 2 3" xfId="284" xr:uid="{00000000-0005-0000-0000-000050010000}"/>
    <cellStyle name="Comma 2 3 2 2 3 2" xfId="494" xr:uid="{00000000-0005-0000-0000-000051010000}"/>
    <cellStyle name="Comma 2 3 2 2 3 2 2" xfId="720" xr:uid="{00000000-0005-0000-0000-000052010000}"/>
    <cellStyle name="Comma 2 3 2 2 3 2 2 2" xfId="1169" xr:uid="{00000000-0005-0000-0000-000053010000}"/>
    <cellStyle name="Comma 2 3 2 2 3 2 3" xfId="945" xr:uid="{00000000-0005-0000-0000-000054010000}"/>
    <cellStyle name="Comma 2 3 2 2 3 3" xfId="608" xr:uid="{00000000-0005-0000-0000-000055010000}"/>
    <cellStyle name="Comma 2 3 2 2 3 3 2" xfId="1057" xr:uid="{00000000-0005-0000-0000-000056010000}"/>
    <cellStyle name="Comma 2 3 2 2 3 4" xfId="833" xr:uid="{00000000-0005-0000-0000-000057010000}"/>
    <cellStyle name="Comma 2 3 2 2 4" xfId="438" xr:uid="{00000000-0005-0000-0000-000058010000}"/>
    <cellStyle name="Comma 2 3 2 2 4 2" xfId="664" xr:uid="{00000000-0005-0000-0000-000059010000}"/>
    <cellStyle name="Comma 2 3 2 2 4 2 2" xfId="1113" xr:uid="{00000000-0005-0000-0000-00005A010000}"/>
    <cellStyle name="Comma 2 3 2 2 4 3" xfId="889" xr:uid="{00000000-0005-0000-0000-00005B010000}"/>
    <cellStyle name="Comma 2 3 2 2 5" xfId="552" xr:uid="{00000000-0005-0000-0000-00005C010000}"/>
    <cellStyle name="Comma 2 3 2 2 5 2" xfId="1001" xr:uid="{00000000-0005-0000-0000-00005D010000}"/>
    <cellStyle name="Comma 2 3 2 2 6" xfId="777" xr:uid="{00000000-0005-0000-0000-00005E010000}"/>
    <cellStyle name="Comma 2 3 2 3" xfId="290" xr:uid="{00000000-0005-0000-0000-00005F010000}"/>
    <cellStyle name="Comma 2 3 2 3 2" xfId="393" xr:uid="{00000000-0005-0000-0000-000060010000}"/>
    <cellStyle name="Comma 2 3 2 3 2 2" xfId="505" xr:uid="{00000000-0005-0000-0000-000061010000}"/>
    <cellStyle name="Comma 2 3 2 3 2 2 2" xfId="731" xr:uid="{00000000-0005-0000-0000-000062010000}"/>
    <cellStyle name="Comma 2 3 2 3 2 2 2 2" xfId="1180" xr:uid="{00000000-0005-0000-0000-000063010000}"/>
    <cellStyle name="Comma 2 3 2 3 2 2 3" xfId="956" xr:uid="{00000000-0005-0000-0000-000064010000}"/>
    <cellStyle name="Comma 2 3 2 3 2 3" xfId="619" xr:uid="{00000000-0005-0000-0000-000065010000}"/>
    <cellStyle name="Comma 2 3 2 3 2 3 2" xfId="1068" xr:uid="{00000000-0005-0000-0000-000066010000}"/>
    <cellStyle name="Comma 2 3 2 3 2 4" xfId="844" xr:uid="{00000000-0005-0000-0000-000067010000}"/>
    <cellStyle name="Comma 2 3 2 3 3" xfId="449" xr:uid="{00000000-0005-0000-0000-000068010000}"/>
    <cellStyle name="Comma 2 3 2 3 3 2" xfId="675" xr:uid="{00000000-0005-0000-0000-000069010000}"/>
    <cellStyle name="Comma 2 3 2 3 3 2 2" xfId="1124" xr:uid="{00000000-0005-0000-0000-00006A010000}"/>
    <cellStyle name="Comma 2 3 2 3 3 3" xfId="900" xr:uid="{00000000-0005-0000-0000-00006B010000}"/>
    <cellStyle name="Comma 2 3 2 3 4" xfId="563" xr:uid="{00000000-0005-0000-0000-00006C010000}"/>
    <cellStyle name="Comma 2 3 2 3 4 2" xfId="1012" xr:uid="{00000000-0005-0000-0000-00006D010000}"/>
    <cellStyle name="Comma 2 3 2 3 5" xfId="788" xr:uid="{00000000-0005-0000-0000-00006E010000}"/>
    <cellStyle name="Comma 2 3 2 4" xfId="278" xr:uid="{00000000-0005-0000-0000-00006F010000}"/>
    <cellStyle name="Comma 2 3 2 4 2" xfId="483" xr:uid="{00000000-0005-0000-0000-000070010000}"/>
    <cellStyle name="Comma 2 3 2 4 2 2" xfId="709" xr:uid="{00000000-0005-0000-0000-000071010000}"/>
    <cellStyle name="Comma 2 3 2 4 2 2 2" xfId="1158" xr:uid="{00000000-0005-0000-0000-000072010000}"/>
    <cellStyle name="Comma 2 3 2 4 2 3" xfId="934" xr:uid="{00000000-0005-0000-0000-000073010000}"/>
    <cellStyle name="Comma 2 3 2 4 3" xfId="597" xr:uid="{00000000-0005-0000-0000-000074010000}"/>
    <cellStyle name="Comma 2 3 2 4 3 2" xfId="1046" xr:uid="{00000000-0005-0000-0000-000075010000}"/>
    <cellStyle name="Comma 2 3 2 4 4" xfId="822" xr:uid="{00000000-0005-0000-0000-000076010000}"/>
    <cellStyle name="Comma 2 3 2 5" xfId="427" xr:uid="{00000000-0005-0000-0000-000077010000}"/>
    <cellStyle name="Comma 2 3 2 5 2" xfId="653" xr:uid="{00000000-0005-0000-0000-000078010000}"/>
    <cellStyle name="Comma 2 3 2 5 2 2" xfId="1102" xr:uid="{00000000-0005-0000-0000-000079010000}"/>
    <cellStyle name="Comma 2 3 2 5 3" xfId="878" xr:uid="{00000000-0005-0000-0000-00007A010000}"/>
    <cellStyle name="Comma 2 3 2 6" xfId="541" xr:uid="{00000000-0005-0000-0000-00007B010000}"/>
    <cellStyle name="Comma 2 3 2 6 2" xfId="990" xr:uid="{00000000-0005-0000-0000-00007C010000}"/>
    <cellStyle name="Comma 2 3 2 7" xfId="766" xr:uid="{00000000-0005-0000-0000-00007D010000}"/>
    <cellStyle name="Comma 2 3 3" xfId="374" xr:uid="{00000000-0005-0000-0000-00007E010000}"/>
    <cellStyle name="Comma 2 3 3 2" xfId="472" xr:uid="{00000000-0005-0000-0000-00007F010000}"/>
    <cellStyle name="Comma 2 3 3 2 2" xfId="698" xr:uid="{00000000-0005-0000-0000-000080010000}"/>
    <cellStyle name="Comma 2 3 3 2 2 2" xfId="1147" xr:uid="{00000000-0005-0000-0000-000081010000}"/>
    <cellStyle name="Comma 2 3 3 2 3" xfId="923" xr:uid="{00000000-0005-0000-0000-000082010000}"/>
    <cellStyle name="Comma 2 3 3 3" xfId="586" xr:uid="{00000000-0005-0000-0000-000083010000}"/>
    <cellStyle name="Comma 2 3 3 3 2" xfId="1035" xr:uid="{00000000-0005-0000-0000-000084010000}"/>
    <cellStyle name="Comma 2 3 3 4" xfId="811" xr:uid="{00000000-0005-0000-0000-000085010000}"/>
    <cellStyle name="Comma 2 3 4" xfId="416" xr:uid="{00000000-0005-0000-0000-000086010000}"/>
    <cellStyle name="Comma 2 3 4 2" xfId="642" xr:uid="{00000000-0005-0000-0000-000087010000}"/>
    <cellStyle name="Comma 2 3 4 2 2" xfId="1091" xr:uid="{00000000-0005-0000-0000-000088010000}"/>
    <cellStyle name="Comma 2 3 4 3" xfId="867" xr:uid="{00000000-0005-0000-0000-000089010000}"/>
    <cellStyle name="Comma 2 3 5" xfId="530" xr:uid="{00000000-0005-0000-0000-00008A010000}"/>
    <cellStyle name="Comma 2 3 5 2" xfId="979" xr:uid="{00000000-0005-0000-0000-00008B010000}"/>
    <cellStyle name="Comma 2 3 6" xfId="755" xr:uid="{00000000-0005-0000-0000-00008C010000}"/>
    <cellStyle name="Comma 2 4" xfId="242" xr:uid="{00000000-0005-0000-0000-00008D010000}"/>
    <cellStyle name="Comma 2 4 2" xfId="249" xr:uid="{00000000-0005-0000-0000-00008E010000}"/>
    <cellStyle name="Comma 2 4 2 2" xfId="293" xr:uid="{00000000-0005-0000-0000-00008F010000}"/>
    <cellStyle name="Comma 2 4 2 2 2" xfId="401" xr:uid="{00000000-0005-0000-0000-000090010000}"/>
    <cellStyle name="Comma 2 4 2 2 2 2" xfId="513" xr:uid="{00000000-0005-0000-0000-000091010000}"/>
    <cellStyle name="Comma 2 4 2 2 2 2 2" xfId="739" xr:uid="{00000000-0005-0000-0000-000092010000}"/>
    <cellStyle name="Comma 2 4 2 2 2 2 2 2" xfId="1188" xr:uid="{00000000-0005-0000-0000-000093010000}"/>
    <cellStyle name="Comma 2 4 2 2 2 2 3" xfId="964" xr:uid="{00000000-0005-0000-0000-000094010000}"/>
    <cellStyle name="Comma 2 4 2 2 2 3" xfId="627" xr:uid="{00000000-0005-0000-0000-000095010000}"/>
    <cellStyle name="Comma 2 4 2 2 2 3 2" xfId="1076" xr:uid="{00000000-0005-0000-0000-000096010000}"/>
    <cellStyle name="Comma 2 4 2 2 2 4" xfId="852" xr:uid="{00000000-0005-0000-0000-000097010000}"/>
    <cellStyle name="Comma 2 4 2 2 3" xfId="457" xr:uid="{00000000-0005-0000-0000-000098010000}"/>
    <cellStyle name="Comma 2 4 2 2 3 2" xfId="683" xr:uid="{00000000-0005-0000-0000-000099010000}"/>
    <cellStyle name="Comma 2 4 2 2 3 2 2" xfId="1132" xr:uid="{00000000-0005-0000-0000-00009A010000}"/>
    <cellStyle name="Comma 2 4 2 2 3 3" xfId="908" xr:uid="{00000000-0005-0000-0000-00009B010000}"/>
    <cellStyle name="Comma 2 4 2 2 4" xfId="571" xr:uid="{00000000-0005-0000-0000-00009C010000}"/>
    <cellStyle name="Comma 2 4 2 2 4 2" xfId="1020" xr:uid="{00000000-0005-0000-0000-00009D010000}"/>
    <cellStyle name="Comma 2 4 2 2 5" xfId="796" xr:uid="{00000000-0005-0000-0000-00009E010000}"/>
    <cellStyle name="Comma 2 4 2 3" xfId="281" xr:uid="{00000000-0005-0000-0000-00009F010000}"/>
    <cellStyle name="Comma 2 4 2 3 2" xfId="491" xr:uid="{00000000-0005-0000-0000-0000A0010000}"/>
    <cellStyle name="Comma 2 4 2 3 2 2" xfId="717" xr:uid="{00000000-0005-0000-0000-0000A1010000}"/>
    <cellStyle name="Comma 2 4 2 3 2 2 2" xfId="1166" xr:uid="{00000000-0005-0000-0000-0000A2010000}"/>
    <cellStyle name="Comma 2 4 2 3 2 3" xfId="942" xr:uid="{00000000-0005-0000-0000-0000A3010000}"/>
    <cellStyle name="Comma 2 4 2 3 3" xfId="605" xr:uid="{00000000-0005-0000-0000-0000A4010000}"/>
    <cellStyle name="Comma 2 4 2 3 3 2" xfId="1054" xr:uid="{00000000-0005-0000-0000-0000A5010000}"/>
    <cellStyle name="Comma 2 4 2 3 4" xfId="830" xr:uid="{00000000-0005-0000-0000-0000A6010000}"/>
    <cellStyle name="Comma 2 4 2 4" xfId="435" xr:uid="{00000000-0005-0000-0000-0000A7010000}"/>
    <cellStyle name="Comma 2 4 2 4 2" xfId="661" xr:uid="{00000000-0005-0000-0000-0000A8010000}"/>
    <cellStyle name="Comma 2 4 2 4 2 2" xfId="1110" xr:uid="{00000000-0005-0000-0000-0000A9010000}"/>
    <cellStyle name="Comma 2 4 2 4 3" xfId="886" xr:uid="{00000000-0005-0000-0000-0000AA010000}"/>
    <cellStyle name="Comma 2 4 2 5" xfId="549" xr:uid="{00000000-0005-0000-0000-0000AB010000}"/>
    <cellStyle name="Comma 2 4 2 5 2" xfId="998" xr:uid="{00000000-0005-0000-0000-0000AC010000}"/>
    <cellStyle name="Comma 2 4 2 6" xfId="774" xr:uid="{00000000-0005-0000-0000-0000AD010000}"/>
    <cellStyle name="Comma 2 4 3" xfId="287" xr:uid="{00000000-0005-0000-0000-0000AE010000}"/>
    <cellStyle name="Comma 2 4 3 2" xfId="390" xr:uid="{00000000-0005-0000-0000-0000AF010000}"/>
    <cellStyle name="Comma 2 4 3 2 2" xfId="502" xr:uid="{00000000-0005-0000-0000-0000B0010000}"/>
    <cellStyle name="Comma 2 4 3 2 2 2" xfId="728" xr:uid="{00000000-0005-0000-0000-0000B1010000}"/>
    <cellStyle name="Comma 2 4 3 2 2 2 2" xfId="1177" xr:uid="{00000000-0005-0000-0000-0000B2010000}"/>
    <cellStyle name="Comma 2 4 3 2 2 3" xfId="953" xr:uid="{00000000-0005-0000-0000-0000B3010000}"/>
    <cellStyle name="Comma 2 4 3 2 3" xfId="616" xr:uid="{00000000-0005-0000-0000-0000B4010000}"/>
    <cellStyle name="Comma 2 4 3 2 3 2" xfId="1065" xr:uid="{00000000-0005-0000-0000-0000B5010000}"/>
    <cellStyle name="Comma 2 4 3 2 4" xfId="841" xr:uid="{00000000-0005-0000-0000-0000B6010000}"/>
    <cellStyle name="Comma 2 4 3 3" xfId="446" xr:uid="{00000000-0005-0000-0000-0000B7010000}"/>
    <cellStyle name="Comma 2 4 3 3 2" xfId="672" xr:uid="{00000000-0005-0000-0000-0000B8010000}"/>
    <cellStyle name="Comma 2 4 3 3 2 2" xfId="1121" xr:uid="{00000000-0005-0000-0000-0000B9010000}"/>
    <cellStyle name="Comma 2 4 3 3 3" xfId="897" xr:uid="{00000000-0005-0000-0000-0000BA010000}"/>
    <cellStyle name="Comma 2 4 3 4" xfId="560" xr:uid="{00000000-0005-0000-0000-0000BB010000}"/>
    <cellStyle name="Comma 2 4 3 4 2" xfId="1009" xr:uid="{00000000-0005-0000-0000-0000BC010000}"/>
    <cellStyle name="Comma 2 4 3 5" xfId="785" xr:uid="{00000000-0005-0000-0000-0000BD010000}"/>
    <cellStyle name="Comma 2 4 4" xfId="275" xr:uid="{00000000-0005-0000-0000-0000BE010000}"/>
    <cellStyle name="Comma 2 4 4 2" xfId="480" xr:uid="{00000000-0005-0000-0000-0000BF010000}"/>
    <cellStyle name="Comma 2 4 4 2 2" xfId="706" xr:uid="{00000000-0005-0000-0000-0000C0010000}"/>
    <cellStyle name="Comma 2 4 4 2 2 2" xfId="1155" xr:uid="{00000000-0005-0000-0000-0000C1010000}"/>
    <cellStyle name="Comma 2 4 4 2 3" xfId="931" xr:uid="{00000000-0005-0000-0000-0000C2010000}"/>
    <cellStyle name="Comma 2 4 4 3" xfId="594" xr:uid="{00000000-0005-0000-0000-0000C3010000}"/>
    <cellStyle name="Comma 2 4 4 3 2" xfId="1043" xr:uid="{00000000-0005-0000-0000-0000C4010000}"/>
    <cellStyle name="Comma 2 4 4 4" xfId="819" xr:uid="{00000000-0005-0000-0000-0000C5010000}"/>
    <cellStyle name="Comma 2 4 5" xfId="424" xr:uid="{00000000-0005-0000-0000-0000C6010000}"/>
    <cellStyle name="Comma 2 4 5 2" xfId="650" xr:uid="{00000000-0005-0000-0000-0000C7010000}"/>
    <cellStyle name="Comma 2 4 5 2 2" xfId="1099" xr:uid="{00000000-0005-0000-0000-0000C8010000}"/>
    <cellStyle name="Comma 2 4 5 3" xfId="875" xr:uid="{00000000-0005-0000-0000-0000C9010000}"/>
    <cellStyle name="Comma 2 4 6" xfId="538" xr:uid="{00000000-0005-0000-0000-0000CA010000}"/>
    <cellStyle name="Comma 2 4 6 2" xfId="987" xr:uid="{00000000-0005-0000-0000-0000CB010000}"/>
    <cellStyle name="Comma 2 4 7" xfId="763" xr:uid="{00000000-0005-0000-0000-0000CC010000}"/>
    <cellStyle name="Comma 2 5" xfId="371" xr:uid="{00000000-0005-0000-0000-0000CD010000}"/>
    <cellStyle name="Comma 2 5 2" xfId="467" xr:uid="{00000000-0005-0000-0000-0000CE010000}"/>
    <cellStyle name="Comma 2 5 2 2" xfId="693" xr:uid="{00000000-0005-0000-0000-0000CF010000}"/>
    <cellStyle name="Comma 2 5 2 2 2" xfId="1142" xr:uid="{00000000-0005-0000-0000-0000D0010000}"/>
    <cellStyle name="Comma 2 5 2 3" xfId="918" xr:uid="{00000000-0005-0000-0000-0000D1010000}"/>
    <cellStyle name="Comma 2 5 3" xfId="581" xr:uid="{00000000-0005-0000-0000-0000D2010000}"/>
    <cellStyle name="Comma 2 5 3 2" xfId="1030" xr:uid="{00000000-0005-0000-0000-0000D3010000}"/>
    <cellStyle name="Comma 2 5 4" xfId="806" xr:uid="{00000000-0005-0000-0000-0000D4010000}"/>
    <cellStyle name="Comma 2 6" xfId="411" xr:uid="{00000000-0005-0000-0000-0000D5010000}"/>
    <cellStyle name="Comma 2 6 2" xfId="637" xr:uid="{00000000-0005-0000-0000-0000D6010000}"/>
    <cellStyle name="Comma 2 6 2 2" xfId="1086" xr:uid="{00000000-0005-0000-0000-0000D7010000}"/>
    <cellStyle name="Comma 2 6 3" xfId="862" xr:uid="{00000000-0005-0000-0000-0000D8010000}"/>
    <cellStyle name="Comma 2 7" xfId="525" xr:uid="{00000000-0005-0000-0000-0000D9010000}"/>
    <cellStyle name="Comma 2 7 2" xfId="974" xr:uid="{00000000-0005-0000-0000-0000DA010000}"/>
    <cellStyle name="Comma 2 8" xfId="750" xr:uid="{00000000-0005-0000-0000-0000DB010000}"/>
    <cellStyle name="Comma 3" xfId="198" xr:uid="{00000000-0005-0000-0000-0000DC010000}"/>
    <cellStyle name="Comma 3 2" xfId="236" xr:uid="{00000000-0005-0000-0000-0000DD010000}"/>
    <cellStyle name="Comma 3 2 2" xfId="244" xr:uid="{00000000-0005-0000-0000-0000DE010000}"/>
    <cellStyle name="Comma 3 2 2 2" xfId="251" xr:uid="{00000000-0005-0000-0000-0000DF010000}"/>
    <cellStyle name="Comma 3 2 2 2 2" xfId="295" xr:uid="{00000000-0005-0000-0000-0000E0010000}"/>
    <cellStyle name="Comma 3 2 2 2 2 2" xfId="406" xr:uid="{00000000-0005-0000-0000-0000E1010000}"/>
    <cellStyle name="Comma 3 2 2 2 2 2 2" xfId="518" xr:uid="{00000000-0005-0000-0000-0000E2010000}"/>
    <cellStyle name="Comma 3 2 2 2 2 2 2 2" xfId="744" xr:uid="{00000000-0005-0000-0000-0000E3010000}"/>
    <cellStyle name="Comma 3 2 2 2 2 2 2 2 2" xfId="1193" xr:uid="{00000000-0005-0000-0000-0000E4010000}"/>
    <cellStyle name="Comma 3 2 2 2 2 2 2 3" xfId="969" xr:uid="{00000000-0005-0000-0000-0000E5010000}"/>
    <cellStyle name="Comma 3 2 2 2 2 2 3" xfId="632" xr:uid="{00000000-0005-0000-0000-0000E6010000}"/>
    <cellStyle name="Comma 3 2 2 2 2 2 3 2" xfId="1081" xr:uid="{00000000-0005-0000-0000-0000E7010000}"/>
    <cellStyle name="Comma 3 2 2 2 2 2 4" xfId="857" xr:uid="{00000000-0005-0000-0000-0000E8010000}"/>
    <cellStyle name="Comma 3 2 2 2 2 3" xfId="462" xr:uid="{00000000-0005-0000-0000-0000E9010000}"/>
    <cellStyle name="Comma 3 2 2 2 2 3 2" xfId="688" xr:uid="{00000000-0005-0000-0000-0000EA010000}"/>
    <cellStyle name="Comma 3 2 2 2 2 3 2 2" xfId="1137" xr:uid="{00000000-0005-0000-0000-0000EB010000}"/>
    <cellStyle name="Comma 3 2 2 2 2 3 3" xfId="913" xr:uid="{00000000-0005-0000-0000-0000EC010000}"/>
    <cellStyle name="Comma 3 2 2 2 2 4" xfId="576" xr:uid="{00000000-0005-0000-0000-0000ED010000}"/>
    <cellStyle name="Comma 3 2 2 2 2 4 2" xfId="1025" xr:uid="{00000000-0005-0000-0000-0000EE010000}"/>
    <cellStyle name="Comma 3 2 2 2 2 5" xfId="801" xr:uid="{00000000-0005-0000-0000-0000EF010000}"/>
    <cellStyle name="Comma 3 2 2 2 3" xfId="283" xr:uid="{00000000-0005-0000-0000-0000F0010000}"/>
    <cellStyle name="Comma 3 2 2 2 3 2" xfId="496" xr:uid="{00000000-0005-0000-0000-0000F1010000}"/>
    <cellStyle name="Comma 3 2 2 2 3 2 2" xfId="722" xr:uid="{00000000-0005-0000-0000-0000F2010000}"/>
    <cellStyle name="Comma 3 2 2 2 3 2 2 2" xfId="1171" xr:uid="{00000000-0005-0000-0000-0000F3010000}"/>
    <cellStyle name="Comma 3 2 2 2 3 2 3" xfId="947" xr:uid="{00000000-0005-0000-0000-0000F4010000}"/>
    <cellStyle name="Comma 3 2 2 2 3 3" xfId="610" xr:uid="{00000000-0005-0000-0000-0000F5010000}"/>
    <cellStyle name="Comma 3 2 2 2 3 3 2" xfId="1059" xr:uid="{00000000-0005-0000-0000-0000F6010000}"/>
    <cellStyle name="Comma 3 2 2 2 3 4" xfId="835" xr:uid="{00000000-0005-0000-0000-0000F7010000}"/>
    <cellStyle name="Comma 3 2 2 2 4" xfId="440" xr:uid="{00000000-0005-0000-0000-0000F8010000}"/>
    <cellStyle name="Comma 3 2 2 2 4 2" xfId="666" xr:uid="{00000000-0005-0000-0000-0000F9010000}"/>
    <cellStyle name="Comma 3 2 2 2 4 2 2" xfId="1115" xr:uid="{00000000-0005-0000-0000-0000FA010000}"/>
    <cellStyle name="Comma 3 2 2 2 4 3" xfId="891" xr:uid="{00000000-0005-0000-0000-0000FB010000}"/>
    <cellStyle name="Comma 3 2 2 2 5" xfId="554" xr:uid="{00000000-0005-0000-0000-0000FC010000}"/>
    <cellStyle name="Comma 3 2 2 2 5 2" xfId="1003" xr:uid="{00000000-0005-0000-0000-0000FD010000}"/>
    <cellStyle name="Comma 3 2 2 2 6" xfId="779" xr:uid="{00000000-0005-0000-0000-0000FE010000}"/>
    <cellStyle name="Comma 3 2 2 3" xfId="289" xr:uid="{00000000-0005-0000-0000-0000FF010000}"/>
    <cellStyle name="Comma 3 2 2 3 2" xfId="395" xr:uid="{00000000-0005-0000-0000-000000020000}"/>
    <cellStyle name="Comma 3 2 2 3 2 2" xfId="507" xr:uid="{00000000-0005-0000-0000-000001020000}"/>
    <cellStyle name="Comma 3 2 2 3 2 2 2" xfId="733" xr:uid="{00000000-0005-0000-0000-000002020000}"/>
    <cellStyle name="Comma 3 2 2 3 2 2 2 2" xfId="1182" xr:uid="{00000000-0005-0000-0000-000003020000}"/>
    <cellStyle name="Comma 3 2 2 3 2 2 3" xfId="958" xr:uid="{00000000-0005-0000-0000-000004020000}"/>
    <cellStyle name="Comma 3 2 2 3 2 3" xfId="621" xr:uid="{00000000-0005-0000-0000-000005020000}"/>
    <cellStyle name="Comma 3 2 2 3 2 3 2" xfId="1070" xr:uid="{00000000-0005-0000-0000-000006020000}"/>
    <cellStyle name="Comma 3 2 2 3 2 4" xfId="846" xr:uid="{00000000-0005-0000-0000-000007020000}"/>
    <cellStyle name="Comma 3 2 2 3 3" xfId="451" xr:uid="{00000000-0005-0000-0000-000008020000}"/>
    <cellStyle name="Comma 3 2 2 3 3 2" xfId="677" xr:uid="{00000000-0005-0000-0000-000009020000}"/>
    <cellStyle name="Comma 3 2 2 3 3 2 2" xfId="1126" xr:uid="{00000000-0005-0000-0000-00000A020000}"/>
    <cellStyle name="Comma 3 2 2 3 3 3" xfId="902" xr:uid="{00000000-0005-0000-0000-00000B020000}"/>
    <cellStyle name="Comma 3 2 2 3 4" xfId="565" xr:uid="{00000000-0005-0000-0000-00000C020000}"/>
    <cellStyle name="Comma 3 2 2 3 4 2" xfId="1014" xr:uid="{00000000-0005-0000-0000-00000D020000}"/>
    <cellStyle name="Comma 3 2 2 3 5" xfId="790" xr:uid="{00000000-0005-0000-0000-00000E020000}"/>
    <cellStyle name="Comma 3 2 2 4" xfId="277" xr:uid="{00000000-0005-0000-0000-00000F020000}"/>
    <cellStyle name="Comma 3 2 2 4 2" xfId="485" xr:uid="{00000000-0005-0000-0000-000010020000}"/>
    <cellStyle name="Comma 3 2 2 4 2 2" xfId="711" xr:uid="{00000000-0005-0000-0000-000011020000}"/>
    <cellStyle name="Comma 3 2 2 4 2 2 2" xfId="1160" xr:uid="{00000000-0005-0000-0000-000012020000}"/>
    <cellStyle name="Comma 3 2 2 4 2 3" xfId="936" xr:uid="{00000000-0005-0000-0000-000013020000}"/>
    <cellStyle name="Comma 3 2 2 4 3" xfId="599" xr:uid="{00000000-0005-0000-0000-000014020000}"/>
    <cellStyle name="Comma 3 2 2 4 3 2" xfId="1048" xr:uid="{00000000-0005-0000-0000-000015020000}"/>
    <cellStyle name="Comma 3 2 2 4 4" xfId="824" xr:uid="{00000000-0005-0000-0000-000016020000}"/>
    <cellStyle name="Comma 3 2 2 5" xfId="429" xr:uid="{00000000-0005-0000-0000-000017020000}"/>
    <cellStyle name="Comma 3 2 2 5 2" xfId="655" xr:uid="{00000000-0005-0000-0000-000018020000}"/>
    <cellStyle name="Comma 3 2 2 5 2 2" xfId="1104" xr:uid="{00000000-0005-0000-0000-000019020000}"/>
    <cellStyle name="Comma 3 2 2 5 3" xfId="880" xr:uid="{00000000-0005-0000-0000-00001A020000}"/>
    <cellStyle name="Comma 3 2 2 6" xfId="543" xr:uid="{00000000-0005-0000-0000-00001B020000}"/>
    <cellStyle name="Comma 3 2 2 6 2" xfId="992" xr:uid="{00000000-0005-0000-0000-00001C020000}"/>
    <cellStyle name="Comma 3 2 2 7" xfId="768" xr:uid="{00000000-0005-0000-0000-00001D020000}"/>
    <cellStyle name="Comma 3 2 3" xfId="377" xr:uid="{00000000-0005-0000-0000-00001E020000}"/>
    <cellStyle name="Comma 3 2 3 2" xfId="476" xr:uid="{00000000-0005-0000-0000-00001F020000}"/>
    <cellStyle name="Comma 3 2 3 2 2" xfId="702" xr:uid="{00000000-0005-0000-0000-000020020000}"/>
    <cellStyle name="Comma 3 2 3 2 2 2" xfId="1151" xr:uid="{00000000-0005-0000-0000-000021020000}"/>
    <cellStyle name="Comma 3 2 3 2 3" xfId="927" xr:uid="{00000000-0005-0000-0000-000022020000}"/>
    <cellStyle name="Comma 3 2 3 3" xfId="590" xr:uid="{00000000-0005-0000-0000-000023020000}"/>
    <cellStyle name="Comma 3 2 3 3 2" xfId="1039" xr:uid="{00000000-0005-0000-0000-000024020000}"/>
    <cellStyle name="Comma 3 2 3 4" xfId="815" xr:uid="{00000000-0005-0000-0000-000025020000}"/>
    <cellStyle name="Comma 3 2 4" xfId="420" xr:uid="{00000000-0005-0000-0000-000026020000}"/>
    <cellStyle name="Comma 3 2 4 2" xfId="646" xr:uid="{00000000-0005-0000-0000-000027020000}"/>
    <cellStyle name="Comma 3 2 4 2 2" xfId="1095" xr:uid="{00000000-0005-0000-0000-000028020000}"/>
    <cellStyle name="Comma 3 2 4 3" xfId="871" xr:uid="{00000000-0005-0000-0000-000029020000}"/>
    <cellStyle name="Comma 3 2 5" xfId="534" xr:uid="{00000000-0005-0000-0000-00002A020000}"/>
    <cellStyle name="Comma 3 2 5 2" xfId="983" xr:uid="{00000000-0005-0000-0000-00002B020000}"/>
    <cellStyle name="Comma 3 2 6" xfId="759" xr:uid="{00000000-0005-0000-0000-00002C020000}"/>
    <cellStyle name="Comma 3 3" xfId="241" xr:uid="{00000000-0005-0000-0000-00002D020000}"/>
    <cellStyle name="Comma 3 3 2" xfId="248" xr:uid="{00000000-0005-0000-0000-00002E020000}"/>
    <cellStyle name="Comma 3 3 2 2" xfId="292" xr:uid="{00000000-0005-0000-0000-00002F020000}"/>
    <cellStyle name="Comma 3 3 2 2 2" xfId="403" xr:uid="{00000000-0005-0000-0000-000030020000}"/>
    <cellStyle name="Comma 3 3 2 2 2 2" xfId="515" xr:uid="{00000000-0005-0000-0000-000031020000}"/>
    <cellStyle name="Comma 3 3 2 2 2 2 2" xfId="741" xr:uid="{00000000-0005-0000-0000-000032020000}"/>
    <cellStyle name="Comma 3 3 2 2 2 2 2 2" xfId="1190" xr:uid="{00000000-0005-0000-0000-000033020000}"/>
    <cellStyle name="Comma 3 3 2 2 2 2 3" xfId="966" xr:uid="{00000000-0005-0000-0000-000034020000}"/>
    <cellStyle name="Comma 3 3 2 2 2 3" xfId="629" xr:uid="{00000000-0005-0000-0000-000035020000}"/>
    <cellStyle name="Comma 3 3 2 2 2 3 2" xfId="1078" xr:uid="{00000000-0005-0000-0000-000036020000}"/>
    <cellStyle name="Comma 3 3 2 2 2 4" xfId="854" xr:uid="{00000000-0005-0000-0000-000037020000}"/>
    <cellStyle name="Comma 3 3 2 2 3" xfId="459" xr:uid="{00000000-0005-0000-0000-000038020000}"/>
    <cellStyle name="Comma 3 3 2 2 3 2" xfId="685" xr:uid="{00000000-0005-0000-0000-000039020000}"/>
    <cellStyle name="Comma 3 3 2 2 3 2 2" xfId="1134" xr:uid="{00000000-0005-0000-0000-00003A020000}"/>
    <cellStyle name="Comma 3 3 2 2 3 3" xfId="910" xr:uid="{00000000-0005-0000-0000-00003B020000}"/>
    <cellStyle name="Comma 3 3 2 2 4" xfId="573" xr:uid="{00000000-0005-0000-0000-00003C020000}"/>
    <cellStyle name="Comma 3 3 2 2 4 2" xfId="1022" xr:uid="{00000000-0005-0000-0000-00003D020000}"/>
    <cellStyle name="Comma 3 3 2 2 5" xfId="798" xr:uid="{00000000-0005-0000-0000-00003E020000}"/>
    <cellStyle name="Comma 3 3 2 3" xfId="280" xr:uid="{00000000-0005-0000-0000-00003F020000}"/>
    <cellStyle name="Comma 3 3 2 3 2" xfId="493" xr:uid="{00000000-0005-0000-0000-000040020000}"/>
    <cellStyle name="Comma 3 3 2 3 2 2" xfId="719" xr:uid="{00000000-0005-0000-0000-000041020000}"/>
    <cellStyle name="Comma 3 3 2 3 2 2 2" xfId="1168" xr:uid="{00000000-0005-0000-0000-000042020000}"/>
    <cellStyle name="Comma 3 3 2 3 2 3" xfId="944" xr:uid="{00000000-0005-0000-0000-000043020000}"/>
    <cellStyle name="Comma 3 3 2 3 3" xfId="607" xr:uid="{00000000-0005-0000-0000-000044020000}"/>
    <cellStyle name="Comma 3 3 2 3 3 2" xfId="1056" xr:uid="{00000000-0005-0000-0000-000045020000}"/>
    <cellStyle name="Comma 3 3 2 3 4" xfId="832" xr:uid="{00000000-0005-0000-0000-000046020000}"/>
    <cellStyle name="Comma 3 3 2 4" xfId="437" xr:uid="{00000000-0005-0000-0000-000047020000}"/>
    <cellStyle name="Comma 3 3 2 4 2" xfId="663" xr:uid="{00000000-0005-0000-0000-000048020000}"/>
    <cellStyle name="Comma 3 3 2 4 2 2" xfId="1112" xr:uid="{00000000-0005-0000-0000-000049020000}"/>
    <cellStyle name="Comma 3 3 2 4 3" xfId="888" xr:uid="{00000000-0005-0000-0000-00004A020000}"/>
    <cellStyle name="Comma 3 3 2 5" xfId="551" xr:uid="{00000000-0005-0000-0000-00004B020000}"/>
    <cellStyle name="Comma 3 3 2 5 2" xfId="1000" xr:uid="{00000000-0005-0000-0000-00004C020000}"/>
    <cellStyle name="Comma 3 3 2 6" xfId="776" xr:uid="{00000000-0005-0000-0000-00004D020000}"/>
    <cellStyle name="Comma 3 3 3" xfId="286" xr:uid="{00000000-0005-0000-0000-00004E020000}"/>
    <cellStyle name="Comma 3 3 3 2" xfId="392" xr:uid="{00000000-0005-0000-0000-00004F020000}"/>
    <cellStyle name="Comma 3 3 3 2 2" xfId="504" xr:uid="{00000000-0005-0000-0000-000050020000}"/>
    <cellStyle name="Comma 3 3 3 2 2 2" xfId="730" xr:uid="{00000000-0005-0000-0000-000051020000}"/>
    <cellStyle name="Comma 3 3 3 2 2 2 2" xfId="1179" xr:uid="{00000000-0005-0000-0000-000052020000}"/>
    <cellStyle name="Comma 3 3 3 2 2 3" xfId="955" xr:uid="{00000000-0005-0000-0000-000053020000}"/>
    <cellStyle name="Comma 3 3 3 2 3" xfId="618" xr:uid="{00000000-0005-0000-0000-000054020000}"/>
    <cellStyle name="Comma 3 3 3 2 3 2" xfId="1067" xr:uid="{00000000-0005-0000-0000-000055020000}"/>
    <cellStyle name="Comma 3 3 3 2 4" xfId="843" xr:uid="{00000000-0005-0000-0000-000056020000}"/>
    <cellStyle name="Comma 3 3 3 3" xfId="448" xr:uid="{00000000-0005-0000-0000-000057020000}"/>
    <cellStyle name="Comma 3 3 3 3 2" xfId="674" xr:uid="{00000000-0005-0000-0000-000058020000}"/>
    <cellStyle name="Comma 3 3 3 3 2 2" xfId="1123" xr:uid="{00000000-0005-0000-0000-000059020000}"/>
    <cellStyle name="Comma 3 3 3 3 3" xfId="899" xr:uid="{00000000-0005-0000-0000-00005A020000}"/>
    <cellStyle name="Comma 3 3 3 4" xfId="562" xr:uid="{00000000-0005-0000-0000-00005B020000}"/>
    <cellStyle name="Comma 3 3 3 4 2" xfId="1011" xr:uid="{00000000-0005-0000-0000-00005C020000}"/>
    <cellStyle name="Comma 3 3 3 5" xfId="787" xr:uid="{00000000-0005-0000-0000-00005D020000}"/>
    <cellStyle name="Comma 3 3 4" xfId="274" xr:uid="{00000000-0005-0000-0000-00005E020000}"/>
    <cellStyle name="Comma 3 3 4 2" xfId="482" xr:uid="{00000000-0005-0000-0000-00005F020000}"/>
    <cellStyle name="Comma 3 3 4 2 2" xfId="708" xr:uid="{00000000-0005-0000-0000-000060020000}"/>
    <cellStyle name="Comma 3 3 4 2 2 2" xfId="1157" xr:uid="{00000000-0005-0000-0000-000061020000}"/>
    <cellStyle name="Comma 3 3 4 2 3" xfId="933" xr:uid="{00000000-0005-0000-0000-000062020000}"/>
    <cellStyle name="Comma 3 3 4 3" xfId="596" xr:uid="{00000000-0005-0000-0000-000063020000}"/>
    <cellStyle name="Comma 3 3 4 3 2" xfId="1045" xr:uid="{00000000-0005-0000-0000-000064020000}"/>
    <cellStyle name="Comma 3 3 4 4" xfId="821" xr:uid="{00000000-0005-0000-0000-000065020000}"/>
    <cellStyle name="Comma 3 3 5" xfId="426" xr:uid="{00000000-0005-0000-0000-000066020000}"/>
    <cellStyle name="Comma 3 3 5 2" xfId="652" xr:uid="{00000000-0005-0000-0000-000067020000}"/>
    <cellStyle name="Comma 3 3 5 2 2" xfId="1101" xr:uid="{00000000-0005-0000-0000-000068020000}"/>
    <cellStyle name="Comma 3 3 5 3" xfId="877" xr:uid="{00000000-0005-0000-0000-000069020000}"/>
    <cellStyle name="Comma 3 3 6" xfId="540" xr:uid="{00000000-0005-0000-0000-00006A020000}"/>
    <cellStyle name="Comma 3 3 6 2" xfId="989" xr:uid="{00000000-0005-0000-0000-00006B020000}"/>
    <cellStyle name="Comma 3 3 7" xfId="765" xr:uid="{00000000-0005-0000-0000-00006C020000}"/>
    <cellStyle name="Comma 3 4" xfId="373" xr:uid="{00000000-0005-0000-0000-00006D020000}"/>
    <cellStyle name="Comma 3 4 2" xfId="471" xr:uid="{00000000-0005-0000-0000-00006E020000}"/>
    <cellStyle name="Comma 3 4 2 2" xfId="697" xr:uid="{00000000-0005-0000-0000-00006F020000}"/>
    <cellStyle name="Comma 3 4 2 2 2" xfId="1146" xr:uid="{00000000-0005-0000-0000-000070020000}"/>
    <cellStyle name="Comma 3 4 2 3" xfId="922" xr:uid="{00000000-0005-0000-0000-000071020000}"/>
    <cellStyle name="Comma 3 4 3" xfId="585" xr:uid="{00000000-0005-0000-0000-000072020000}"/>
    <cellStyle name="Comma 3 4 3 2" xfId="1034" xr:uid="{00000000-0005-0000-0000-000073020000}"/>
    <cellStyle name="Comma 3 4 4" xfId="810" xr:uid="{00000000-0005-0000-0000-000074020000}"/>
    <cellStyle name="Comma 3 5" xfId="415" xr:uid="{00000000-0005-0000-0000-000075020000}"/>
    <cellStyle name="Comma 3 5 2" xfId="641" xr:uid="{00000000-0005-0000-0000-000076020000}"/>
    <cellStyle name="Comma 3 5 2 2" xfId="1090" xr:uid="{00000000-0005-0000-0000-000077020000}"/>
    <cellStyle name="Comma 3 5 3" xfId="866" xr:uid="{00000000-0005-0000-0000-000078020000}"/>
    <cellStyle name="Comma 3 6" xfId="529" xr:uid="{00000000-0005-0000-0000-000079020000}"/>
    <cellStyle name="Comma 3 6 2" xfId="978" xr:uid="{00000000-0005-0000-0000-00007A020000}"/>
    <cellStyle name="Comma 3 7" xfId="754" xr:uid="{00000000-0005-0000-0000-00007B020000}"/>
    <cellStyle name="Comma 4" xfId="347" xr:uid="{00000000-0005-0000-0000-00007C020000}"/>
    <cellStyle name="Comma 4 2" xfId="352" xr:uid="{00000000-0005-0000-0000-00007D020000}"/>
    <cellStyle name="Comma 4 2 2" xfId="356" xr:uid="{00000000-0005-0000-0000-00007E020000}"/>
    <cellStyle name="Comma 4 2 2 2" xfId="366" xr:uid="{00000000-0005-0000-0000-00007F020000}"/>
    <cellStyle name="Comma 4 2 2 2 2" xfId="407" xr:uid="{00000000-0005-0000-0000-000080020000}"/>
    <cellStyle name="Comma 4 2 2 2 2 2" xfId="519" xr:uid="{00000000-0005-0000-0000-000081020000}"/>
    <cellStyle name="Comma 4 2 2 2 2 2 2" xfId="745" xr:uid="{00000000-0005-0000-0000-000082020000}"/>
    <cellStyle name="Comma 4 2 2 2 2 2 2 2" xfId="1194" xr:uid="{00000000-0005-0000-0000-000083020000}"/>
    <cellStyle name="Comma 4 2 2 2 2 2 3" xfId="970" xr:uid="{00000000-0005-0000-0000-000084020000}"/>
    <cellStyle name="Comma 4 2 2 2 2 3" xfId="633" xr:uid="{00000000-0005-0000-0000-000085020000}"/>
    <cellStyle name="Comma 4 2 2 2 2 3 2" xfId="1082" xr:uid="{00000000-0005-0000-0000-000086020000}"/>
    <cellStyle name="Comma 4 2 2 2 2 4" xfId="858" xr:uid="{00000000-0005-0000-0000-000087020000}"/>
    <cellStyle name="Comma 4 2 2 2 3" xfId="463" xr:uid="{00000000-0005-0000-0000-000088020000}"/>
    <cellStyle name="Comma 4 2 2 2 3 2" xfId="689" xr:uid="{00000000-0005-0000-0000-000089020000}"/>
    <cellStyle name="Comma 4 2 2 2 3 2 2" xfId="1138" xr:uid="{00000000-0005-0000-0000-00008A020000}"/>
    <cellStyle name="Comma 4 2 2 2 3 3" xfId="914" xr:uid="{00000000-0005-0000-0000-00008B020000}"/>
    <cellStyle name="Comma 4 2 2 2 4" xfId="577" xr:uid="{00000000-0005-0000-0000-00008C020000}"/>
    <cellStyle name="Comma 4 2 2 2 4 2" xfId="1026" xr:uid="{00000000-0005-0000-0000-00008D020000}"/>
    <cellStyle name="Comma 4 2 2 2 5" xfId="802" xr:uid="{00000000-0005-0000-0000-00008E020000}"/>
    <cellStyle name="Comma 4 2 2 3" xfId="385" xr:uid="{00000000-0005-0000-0000-00008F020000}"/>
    <cellStyle name="Comma 4 2 2 3 2" xfId="497" xr:uid="{00000000-0005-0000-0000-000090020000}"/>
    <cellStyle name="Comma 4 2 2 3 2 2" xfId="723" xr:uid="{00000000-0005-0000-0000-000091020000}"/>
    <cellStyle name="Comma 4 2 2 3 2 2 2" xfId="1172" xr:uid="{00000000-0005-0000-0000-000092020000}"/>
    <cellStyle name="Comma 4 2 2 3 2 3" xfId="948" xr:uid="{00000000-0005-0000-0000-000093020000}"/>
    <cellStyle name="Comma 4 2 2 3 3" xfId="611" xr:uid="{00000000-0005-0000-0000-000094020000}"/>
    <cellStyle name="Comma 4 2 2 3 3 2" xfId="1060" xr:uid="{00000000-0005-0000-0000-000095020000}"/>
    <cellStyle name="Comma 4 2 2 3 4" xfId="836" xr:uid="{00000000-0005-0000-0000-000096020000}"/>
    <cellStyle name="Comma 4 2 2 4" xfId="441" xr:uid="{00000000-0005-0000-0000-000097020000}"/>
    <cellStyle name="Comma 4 2 2 4 2" xfId="667" xr:uid="{00000000-0005-0000-0000-000098020000}"/>
    <cellStyle name="Comma 4 2 2 4 2 2" xfId="1116" xr:uid="{00000000-0005-0000-0000-000099020000}"/>
    <cellStyle name="Comma 4 2 2 4 3" xfId="892" xr:uid="{00000000-0005-0000-0000-00009A020000}"/>
    <cellStyle name="Comma 4 2 2 5" xfId="555" xr:uid="{00000000-0005-0000-0000-00009B020000}"/>
    <cellStyle name="Comma 4 2 2 5 2" xfId="1004" xr:uid="{00000000-0005-0000-0000-00009C020000}"/>
    <cellStyle name="Comma 4 2 2 6" xfId="780" xr:uid="{00000000-0005-0000-0000-00009D020000}"/>
    <cellStyle name="Comma 4 2 3" xfId="361" xr:uid="{00000000-0005-0000-0000-00009E020000}"/>
    <cellStyle name="Comma 4 2 3 2" xfId="396" xr:uid="{00000000-0005-0000-0000-00009F020000}"/>
    <cellStyle name="Comma 4 2 3 2 2" xfId="508" xr:uid="{00000000-0005-0000-0000-0000A0020000}"/>
    <cellStyle name="Comma 4 2 3 2 2 2" xfId="734" xr:uid="{00000000-0005-0000-0000-0000A1020000}"/>
    <cellStyle name="Comma 4 2 3 2 2 2 2" xfId="1183" xr:uid="{00000000-0005-0000-0000-0000A2020000}"/>
    <cellStyle name="Comma 4 2 3 2 2 3" xfId="959" xr:uid="{00000000-0005-0000-0000-0000A3020000}"/>
    <cellStyle name="Comma 4 2 3 2 3" xfId="622" xr:uid="{00000000-0005-0000-0000-0000A4020000}"/>
    <cellStyle name="Comma 4 2 3 2 3 2" xfId="1071" xr:uid="{00000000-0005-0000-0000-0000A5020000}"/>
    <cellStyle name="Comma 4 2 3 2 4" xfId="847" xr:uid="{00000000-0005-0000-0000-0000A6020000}"/>
    <cellStyle name="Comma 4 2 3 3" xfId="452" xr:uid="{00000000-0005-0000-0000-0000A7020000}"/>
    <cellStyle name="Comma 4 2 3 3 2" xfId="678" xr:uid="{00000000-0005-0000-0000-0000A8020000}"/>
    <cellStyle name="Comma 4 2 3 3 2 2" xfId="1127" xr:uid="{00000000-0005-0000-0000-0000A9020000}"/>
    <cellStyle name="Comma 4 2 3 3 3" xfId="903" xr:uid="{00000000-0005-0000-0000-0000AA020000}"/>
    <cellStyle name="Comma 4 2 3 4" xfId="566" xr:uid="{00000000-0005-0000-0000-0000AB020000}"/>
    <cellStyle name="Comma 4 2 3 4 2" xfId="1015" xr:uid="{00000000-0005-0000-0000-0000AC020000}"/>
    <cellStyle name="Comma 4 2 3 5" xfId="791" xr:uid="{00000000-0005-0000-0000-0000AD020000}"/>
    <cellStyle name="Comma 4 2 4" xfId="380" xr:uid="{00000000-0005-0000-0000-0000AE020000}"/>
    <cellStyle name="Comma 4 2 4 2" xfId="486" xr:uid="{00000000-0005-0000-0000-0000AF020000}"/>
    <cellStyle name="Comma 4 2 4 2 2" xfId="712" xr:uid="{00000000-0005-0000-0000-0000B0020000}"/>
    <cellStyle name="Comma 4 2 4 2 2 2" xfId="1161" xr:uid="{00000000-0005-0000-0000-0000B1020000}"/>
    <cellStyle name="Comma 4 2 4 2 3" xfId="937" xr:uid="{00000000-0005-0000-0000-0000B2020000}"/>
    <cellStyle name="Comma 4 2 4 3" xfId="600" xr:uid="{00000000-0005-0000-0000-0000B3020000}"/>
    <cellStyle name="Comma 4 2 4 3 2" xfId="1049" xr:uid="{00000000-0005-0000-0000-0000B4020000}"/>
    <cellStyle name="Comma 4 2 4 4" xfId="825" xr:uid="{00000000-0005-0000-0000-0000B5020000}"/>
    <cellStyle name="Comma 4 2 5" xfId="430" xr:uid="{00000000-0005-0000-0000-0000B6020000}"/>
    <cellStyle name="Comma 4 2 5 2" xfId="656" xr:uid="{00000000-0005-0000-0000-0000B7020000}"/>
    <cellStyle name="Comma 4 2 5 2 2" xfId="1105" xr:uid="{00000000-0005-0000-0000-0000B8020000}"/>
    <cellStyle name="Comma 4 2 5 3" xfId="881" xr:uid="{00000000-0005-0000-0000-0000B9020000}"/>
    <cellStyle name="Comma 4 2 6" xfId="544" xr:uid="{00000000-0005-0000-0000-0000BA020000}"/>
    <cellStyle name="Comma 4 2 6 2" xfId="993" xr:uid="{00000000-0005-0000-0000-0000BB020000}"/>
    <cellStyle name="Comma 4 2 7" xfId="769" xr:uid="{00000000-0005-0000-0000-0000BC020000}"/>
    <cellStyle name="Comma 4 3" xfId="378" xr:uid="{00000000-0005-0000-0000-0000BD020000}"/>
    <cellStyle name="Comma 4 3 2" xfId="477" xr:uid="{00000000-0005-0000-0000-0000BE020000}"/>
    <cellStyle name="Comma 4 3 2 2" xfId="703" xr:uid="{00000000-0005-0000-0000-0000BF020000}"/>
    <cellStyle name="Comma 4 3 2 2 2" xfId="1152" xr:uid="{00000000-0005-0000-0000-0000C0020000}"/>
    <cellStyle name="Comma 4 3 2 3" xfId="928" xr:uid="{00000000-0005-0000-0000-0000C1020000}"/>
    <cellStyle name="Comma 4 3 3" xfId="591" xr:uid="{00000000-0005-0000-0000-0000C2020000}"/>
    <cellStyle name="Comma 4 3 3 2" xfId="1040" xr:uid="{00000000-0005-0000-0000-0000C3020000}"/>
    <cellStyle name="Comma 4 3 4" xfId="816" xr:uid="{00000000-0005-0000-0000-0000C4020000}"/>
    <cellStyle name="Comma 4 4" xfId="421" xr:uid="{00000000-0005-0000-0000-0000C5020000}"/>
    <cellStyle name="Comma 4 4 2" xfId="647" xr:uid="{00000000-0005-0000-0000-0000C6020000}"/>
    <cellStyle name="Comma 4 4 2 2" xfId="1096" xr:uid="{00000000-0005-0000-0000-0000C7020000}"/>
    <cellStyle name="Comma 4 4 3" xfId="872" xr:uid="{00000000-0005-0000-0000-0000C8020000}"/>
    <cellStyle name="Comma 4 5" xfId="535" xr:uid="{00000000-0005-0000-0000-0000C9020000}"/>
    <cellStyle name="Comma 4 5 2" xfId="984" xr:uid="{00000000-0005-0000-0000-0000CA020000}"/>
    <cellStyle name="Comma 4 6" xfId="760" xr:uid="{00000000-0005-0000-0000-0000CB020000}"/>
    <cellStyle name="Comma 5" xfId="353" xr:uid="{00000000-0005-0000-0000-0000CC020000}"/>
    <cellStyle name="Comma 5 2" xfId="358" xr:uid="{00000000-0005-0000-0000-0000CD020000}"/>
    <cellStyle name="Comma 5 2 2" xfId="368" xr:uid="{00000000-0005-0000-0000-0000CE020000}"/>
    <cellStyle name="Comma 5 2 2 2" xfId="409" xr:uid="{00000000-0005-0000-0000-0000CF020000}"/>
    <cellStyle name="Comma 5 2 2 2 2" xfId="521" xr:uid="{00000000-0005-0000-0000-0000D0020000}"/>
    <cellStyle name="Comma 5 2 2 2 2 2" xfId="747" xr:uid="{00000000-0005-0000-0000-0000D1020000}"/>
    <cellStyle name="Comma 5 2 2 2 2 2 2" xfId="1196" xr:uid="{00000000-0005-0000-0000-0000D2020000}"/>
    <cellStyle name="Comma 5 2 2 2 2 3" xfId="972" xr:uid="{00000000-0005-0000-0000-0000D3020000}"/>
    <cellStyle name="Comma 5 2 2 2 3" xfId="635" xr:uid="{00000000-0005-0000-0000-0000D4020000}"/>
    <cellStyle name="Comma 5 2 2 2 3 2" xfId="1084" xr:uid="{00000000-0005-0000-0000-0000D5020000}"/>
    <cellStyle name="Comma 5 2 2 2 4" xfId="860" xr:uid="{00000000-0005-0000-0000-0000D6020000}"/>
    <cellStyle name="Comma 5 2 2 3" xfId="465" xr:uid="{00000000-0005-0000-0000-0000D7020000}"/>
    <cellStyle name="Comma 5 2 2 3 2" xfId="691" xr:uid="{00000000-0005-0000-0000-0000D8020000}"/>
    <cellStyle name="Comma 5 2 2 3 2 2" xfId="1140" xr:uid="{00000000-0005-0000-0000-0000D9020000}"/>
    <cellStyle name="Comma 5 2 2 3 3" xfId="916" xr:uid="{00000000-0005-0000-0000-0000DA020000}"/>
    <cellStyle name="Comma 5 2 2 4" xfId="579" xr:uid="{00000000-0005-0000-0000-0000DB020000}"/>
    <cellStyle name="Comma 5 2 2 4 2" xfId="1028" xr:uid="{00000000-0005-0000-0000-0000DC020000}"/>
    <cellStyle name="Comma 5 2 2 5" xfId="804" xr:uid="{00000000-0005-0000-0000-0000DD020000}"/>
    <cellStyle name="Comma 5 2 3" xfId="387" xr:uid="{00000000-0005-0000-0000-0000DE020000}"/>
    <cellStyle name="Comma 5 2 3 2" xfId="499" xr:uid="{00000000-0005-0000-0000-0000DF020000}"/>
    <cellStyle name="Comma 5 2 3 2 2" xfId="725" xr:uid="{00000000-0005-0000-0000-0000E0020000}"/>
    <cellStyle name="Comma 5 2 3 2 2 2" xfId="1174" xr:uid="{00000000-0005-0000-0000-0000E1020000}"/>
    <cellStyle name="Comma 5 2 3 2 3" xfId="950" xr:uid="{00000000-0005-0000-0000-0000E2020000}"/>
    <cellStyle name="Comma 5 2 3 3" xfId="613" xr:uid="{00000000-0005-0000-0000-0000E3020000}"/>
    <cellStyle name="Comma 5 2 3 3 2" xfId="1062" xr:uid="{00000000-0005-0000-0000-0000E4020000}"/>
    <cellStyle name="Comma 5 2 3 4" xfId="838" xr:uid="{00000000-0005-0000-0000-0000E5020000}"/>
    <cellStyle name="Comma 5 2 4" xfId="443" xr:uid="{00000000-0005-0000-0000-0000E6020000}"/>
    <cellStyle name="Comma 5 2 4 2" xfId="669" xr:uid="{00000000-0005-0000-0000-0000E7020000}"/>
    <cellStyle name="Comma 5 2 4 2 2" xfId="1118" xr:uid="{00000000-0005-0000-0000-0000E8020000}"/>
    <cellStyle name="Comma 5 2 4 3" xfId="894" xr:uid="{00000000-0005-0000-0000-0000E9020000}"/>
    <cellStyle name="Comma 5 2 5" xfId="557" xr:uid="{00000000-0005-0000-0000-0000EA020000}"/>
    <cellStyle name="Comma 5 2 5 2" xfId="1006" xr:uid="{00000000-0005-0000-0000-0000EB020000}"/>
    <cellStyle name="Comma 5 2 6" xfId="782" xr:uid="{00000000-0005-0000-0000-0000EC020000}"/>
    <cellStyle name="Comma 5 3" xfId="363" xr:uid="{00000000-0005-0000-0000-0000ED020000}"/>
    <cellStyle name="Comma 5 3 2" xfId="398" xr:uid="{00000000-0005-0000-0000-0000EE020000}"/>
    <cellStyle name="Comma 5 3 2 2" xfId="510" xr:uid="{00000000-0005-0000-0000-0000EF020000}"/>
    <cellStyle name="Comma 5 3 2 2 2" xfId="736" xr:uid="{00000000-0005-0000-0000-0000F0020000}"/>
    <cellStyle name="Comma 5 3 2 2 2 2" xfId="1185" xr:uid="{00000000-0005-0000-0000-0000F1020000}"/>
    <cellStyle name="Comma 5 3 2 2 3" xfId="961" xr:uid="{00000000-0005-0000-0000-0000F2020000}"/>
    <cellStyle name="Comma 5 3 2 3" xfId="624" xr:uid="{00000000-0005-0000-0000-0000F3020000}"/>
    <cellStyle name="Comma 5 3 2 3 2" xfId="1073" xr:uid="{00000000-0005-0000-0000-0000F4020000}"/>
    <cellStyle name="Comma 5 3 2 4" xfId="849" xr:uid="{00000000-0005-0000-0000-0000F5020000}"/>
    <cellStyle name="Comma 5 3 3" xfId="454" xr:uid="{00000000-0005-0000-0000-0000F6020000}"/>
    <cellStyle name="Comma 5 3 3 2" xfId="680" xr:uid="{00000000-0005-0000-0000-0000F7020000}"/>
    <cellStyle name="Comma 5 3 3 2 2" xfId="1129" xr:uid="{00000000-0005-0000-0000-0000F8020000}"/>
    <cellStyle name="Comma 5 3 3 3" xfId="905" xr:uid="{00000000-0005-0000-0000-0000F9020000}"/>
    <cellStyle name="Comma 5 3 4" xfId="568" xr:uid="{00000000-0005-0000-0000-0000FA020000}"/>
    <cellStyle name="Comma 5 3 4 2" xfId="1017" xr:uid="{00000000-0005-0000-0000-0000FB020000}"/>
    <cellStyle name="Comma 5 3 5" xfId="793" xr:uid="{00000000-0005-0000-0000-0000FC020000}"/>
    <cellStyle name="Comma 5 4" xfId="382" xr:uid="{00000000-0005-0000-0000-0000FD020000}"/>
    <cellStyle name="Comma 5 4 2" xfId="488" xr:uid="{00000000-0005-0000-0000-0000FE020000}"/>
    <cellStyle name="Comma 5 4 2 2" xfId="714" xr:uid="{00000000-0005-0000-0000-0000FF020000}"/>
    <cellStyle name="Comma 5 4 2 2 2" xfId="1163" xr:uid="{00000000-0005-0000-0000-000000030000}"/>
    <cellStyle name="Comma 5 4 2 3" xfId="939" xr:uid="{00000000-0005-0000-0000-000001030000}"/>
    <cellStyle name="Comma 5 4 3" xfId="602" xr:uid="{00000000-0005-0000-0000-000002030000}"/>
    <cellStyle name="Comma 5 4 3 2" xfId="1051" xr:uid="{00000000-0005-0000-0000-000003030000}"/>
    <cellStyle name="Comma 5 4 4" xfId="827" xr:uid="{00000000-0005-0000-0000-000004030000}"/>
    <cellStyle name="Comma 5 5" xfId="432" xr:uid="{00000000-0005-0000-0000-000005030000}"/>
    <cellStyle name="Comma 5 5 2" xfId="658" xr:uid="{00000000-0005-0000-0000-000006030000}"/>
    <cellStyle name="Comma 5 5 2 2" xfId="1107" xr:uid="{00000000-0005-0000-0000-000007030000}"/>
    <cellStyle name="Comma 5 5 3" xfId="883" xr:uid="{00000000-0005-0000-0000-000008030000}"/>
    <cellStyle name="Comma 5 6" xfId="546" xr:uid="{00000000-0005-0000-0000-000009030000}"/>
    <cellStyle name="Comma 5 6 2" xfId="995" xr:uid="{00000000-0005-0000-0000-00000A030000}"/>
    <cellStyle name="Comma 5 7" xfId="771" xr:uid="{00000000-0005-0000-0000-00000B030000}"/>
    <cellStyle name="Comma 6" xfId="355" xr:uid="{00000000-0005-0000-0000-00000C030000}"/>
    <cellStyle name="Comma 6 2" xfId="365" xr:uid="{00000000-0005-0000-0000-00000D030000}"/>
    <cellStyle name="Comma 6 2 2" xfId="400" xr:uid="{00000000-0005-0000-0000-00000E030000}"/>
    <cellStyle name="Comma 6 2 2 2" xfId="512" xr:uid="{00000000-0005-0000-0000-00000F030000}"/>
    <cellStyle name="Comma 6 2 2 2 2" xfId="738" xr:uid="{00000000-0005-0000-0000-000010030000}"/>
    <cellStyle name="Comma 6 2 2 2 2 2" xfId="1187" xr:uid="{00000000-0005-0000-0000-000011030000}"/>
    <cellStyle name="Comma 6 2 2 2 3" xfId="963" xr:uid="{00000000-0005-0000-0000-000012030000}"/>
    <cellStyle name="Comma 6 2 2 3" xfId="626" xr:uid="{00000000-0005-0000-0000-000013030000}"/>
    <cellStyle name="Comma 6 2 2 3 2" xfId="1075" xr:uid="{00000000-0005-0000-0000-000014030000}"/>
    <cellStyle name="Comma 6 2 2 4" xfId="851" xr:uid="{00000000-0005-0000-0000-000015030000}"/>
    <cellStyle name="Comma 6 2 3" xfId="456" xr:uid="{00000000-0005-0000-0000-000016030000}"/>
    <cellStyle name="Comma 6 2 3 2" xfId="682" xr:uid="{00000000-0005-0000-0000-000017030000}"/>
    <cellStyle name="Comma 6 2 3 2 2" xfId="1131" xr:uid="{00000000-0005-0000-0000-000018030000}"/>
    <cellStyle name="Comma 6 2 3 3" xfId="907" xr:uid="{00000000-0005-0000-0000-000019030000}"/>
    <cellStyle name="Comma 6 2 4" xfId="570" xr:uid="{00000000-0005-0000-0000-00001A030000}"/>
    <cellStyle name="Comma 6 2 4 2" xfId="1019" xr:uid="{00000000-0005-0000-0000-00001B030000}"/>
    <cellStyle name="Comma 6 2 5" xfId="795" xr:uid="{00000000-0005-0000-0000-00001C030000}"/>
    <cellStyle name="Comma 6 3" xfId="384" xr:uid="{00000000-0005-0000-0000-00001D030000}"/>
    <cellStyle name="Comma 6 3 2" xfId="490" xr:uid="{00000000-0005-0000-0000-00001E030000}"/>
    <cellStyle name="Comma 6 3 2 2" xfId="716" xr:uid="{00000000-0005-0000-0000-00001F030000}"/>
    <cellStyle name="Comma 6 3 2 2 2" xfId="1165" xr:uid="{00000000-0005-0000-0000-000020030000}"/>
    <cellStyle name="Comma 6 3 2 3" xfId="941" xr:uid="{00000000-0005-0000-0000-000021030000}"/>
    <cellStyle name="Comma 6 3 3" xfId="604" xr:uid="{00000000-0005-0000-0000-000022030000}"/>
    <cellStyle name="Comma 6 3 3 2" xfId="1053" xr:uid="{00000000-0005-0000-0000-000023030000}"/>
    <cellStyle name="Comma 6 3 4" xfId="829" xr:uid="{00000000-0005-0000-0000-000024030000}"/>
    <cellStyle name="Comma 6 4" xfId="434" xr:uid="{00000000-0005-0000-0000-000025030000}"/>
    <cellStyle name="Comma 6 4 2" xfId="660" xr:uid="{00000000-0005-0000-0000-000026030000}"/>
    <cellStyle name="Comma 6 4 2 2" xfId="1109" xr:uid="{00000000-0005-0000-0000-000027030000}"/>
    <cellStyle name="Comma 6 4 3" xfId="885" xr:uid="{00000000-0005-0000-0000-000028030000}"/>
    <cellStyle name="Comma 6 5" xfId="548" xr:uid="{00000000-0005-0000-0000-000029030000}"/>
    <cellStyle name="Comma 6 5 2" xfId="997" xr:uid="{00000000-0005-0000-0000-00002A030000}"/>
    <cellStyle name="Comma 6 6" xfId="773" xr:uid="{00000000-0005-0000-0000-00002B030000}"/>
    <cellStyle name="Comma 7" xfId="360" xr:uid="{00000000-0005-0000-0000-00002C030000}"/>
    <cellStyle name="Comma 7 2" xfId="389" xr:uid="{00000000-0005-0000-0000-00002D030000}"/>
    <cellStyle name="Comma 7 2 2" xfId="501" xr:uid="{00000000-0005-0000-0000-00002E030000}"/>
    <cellStyle name="Comma 7 2 2 2" xfId="727" xr:uid="{00000000-0005-0000-0000-00002F030000}"/>
    <cellStyle name="Comma 7 2 2 2 2" xfId="1176" xr:uid="{00000000-0005-0000-0000-000030030000}"/>
    <cellStyle name="Comma 7 2 2 3" xfId="952" xr:uid="{00000000-0005-0000-0000-000031030000}"/>
    <cellStyle name="Comma 7 2 3" xfId="615" xr:uid="{00000000-0005-0000-0000-000032030000}"/>
    <cellStyle name="Comma 7 2 3 2" xfId="1064" xr:uid="{00000000-0005-0000-0000-000033030000}"/>
    <cellStyle name="Comma 7 2 4" xfId="840" xr:uid="{00000000-0005-0000-0000-000034030000}"/>
    <cellStyle name="Comma 7 3" xfId="445" xr:uid="{00000000-0005-0000-0000-000035030000}"/>
    <cellStyle name="Comma 7 3 2" xfId="671" xr:uid="{00000000-0005-0000-0000-000036030000}"/>
    <cellStyle name="Comma 7 3 2 2" xfId="1120" xr:uid="{00000000-0005-0000-0000-000037030000}"/>
    <cellStyle name="Comma 7 3 3" xfId="896" xr:uid="{00000000-0005-0000-0000-000038030000}"/>
    <cellStyle name="Comma 7 4" xfId="559" xr:uid="{00000000-0005-0000-0000-000039030000}"/>
    <cellStyle name="Comma 7 4 2" xfId="1008" xr:uid="{00000000-0005-0000-0000-00003A030000}"/>
    <cellStyle name="Comma 7 5" xfId="784" xr:uid="{00000000-0005-0000-0000-00003B030000}"/>
    <cellStyle name="Comma 8" xfId="379" xr:uid="{00000000-0005-0000-0000-00003C030000}"/>
    <cellStyle name="Comma 8 2" xfId="479" xr:uid="{00000000-0005-0000-0000-00003D030000}"/>
    <cellStyle name="Comma 8 2 2" xfId="705" xr:uid="{00000000-0005-0000-0000-00003E030000}"/>
    <cellStyle name="Comma 8 2 2 2" xfId="1154" xr:uid="{00000000-0005-0000-0000-00003F030000}"/>
    <cellStyle name="Comma 8 2 3" xfId="930" xr:uid="{00000000-0005-0000-0000-000040030000}"/>
    <cellStyle name="Comma 8 3" xfId="593" xr:uid="{00000000-0005-0000-0000-000041030000}"/>
    <cellStyle name="Comma 8 3 2" xfId="1042" xr:uid="{00000000-0005-0000-0000-000042030000}"/>
    <cellStyle name="Comma 8 4" xfId="818" xr:uid="{00000000-0005-0000-0000-000043030000}"/>
    <cellStyle name="Comma 9" xfId="423" xr:uid="{00000000-0005-0000-0000-000044030000}"/>
    <cellStyle name="Comma 9 2" xfId="649" xr:uid="{00000000-0005-0000-0000-000045030000}"/>
    <cellStyle name="Comma 9 2 2" xfId="1098" xr:uid="{00000000-0005-0000-0000-000046030000}"/>
    <cellStyle name="Comma 9 3" xfId="874" xr:uid="{00000000-0005-0000-0000-000047030000}"/>
    <cellStyle name="Currency 2" xfId="5" xr:uid="{00000000-0005-0000-0000-000048030000}"/>
    <cellStyle name="Currency 2 2" xfId="6" xr:uid="{00000000-0005-0000-0000-000049030000}"/>
    <cellStyle name="Currency 2 2 2" xfId="254" xr:uid="{00000000-0005-0000-0000-00004A030000}"/>
    <cellStyle name="Currency 2 2 2 2" xfId="376" xr:uid="{00000000-0005-0000-0000-00004B030000}"/>
    <cellStyle name="Currency 2 2 2 2 2" xfId="475" xr:uid="{00000000-0005-0000-0000-00004C030000}"/>
    <cellStyle name="Currency 2 2 2 2 2 2" xfId="701" xr:uid="{00000000-0005-0000-0000-00004D030000}"/>
    <cellStyle name="Currency 2 2 2 2 2 2 2" xfId="1150" xr:uid="{00000000-0005-0000-0000-00004E030000}"/>
    <cellStyle name="Currency 2 2 2 2 2 3" xfId="926" xr:uid="{00000000-0005-0000-0000-00004F030000}"/>
    <cellStyle name="Currency 2 2 2 2 3" xfId="589" xr:uid="{00000000-0005-0000-0000-000050030000}"/>
    <cellStyle name="Currency 2 2 2 2 3 2" xfId="1038" xr:uid="{00000000-0005-0000-0000-000051030000}"/>
    <cellStyle name="Currency 2 2 2 2 4" xfId="814" xr:uid="{00000000-0005-0000-0000-000052030000}"/>
    <cellStyle name="Currency 2 2 2 3" xfId="419" xr:uid="{00000000-0005-0000-0000-000053030000}"/>
    <cellStyle name="Currency 2 2 2 3 2" xfId="645" xr:uid="{00000000-0005-0000-0000-000054030000}"/>
    <cellStyle name="Currency 2 2 2 3 2 2" xfId="1094" xr:uid="{00000000-0005-0000-0000-000055030000}"/>
    <cellStyle name="Currency 2 2 2 3 3" xfId="870" xr:uid="{00000000-0005-0000-0000-000056030000}"/>
    <cellStyle name="Currency 2 2 2 4" xfId="533" xr:uid="{00000000-0005-0000-0000-000057030000}"/>
    <cellStyle name="Currency 2 2 2 4 2" xfId="982" xr:uid="{00000000-0005-0000-0000-000058030000}"/>
    <cellStyle name="Currency 2 2 2 5" xfId="758" xr:uid="{00000000-0005-0000-0000-000059030000}"/>
    <cellStyle name="Currency 2 2 3" xfId="257" xr:uid="{00000000-0005-0000-0000-00005A030000}"/>
    <cellStyle name="Currency 2 2 3 2" xfId="470" xr:uid="{00000000-0005-0000-0000-00005B030000}"/>
    <cellStyle name="Currency 2 2 3 2 2" xfId="696" xr:uid="{00000000-0005-0000-0000-00005C030000}"/>
    <cellStyle name="Currency 2 2 3 2 2 2" xfId="1145" xr:uid="{00000000-0005-0000-0000-00005D030000}"/>
    <cellStyle name="Currency 2 2 3 2 3" xfId="921" xr:uid="{00000000-0005-0000-0000-00005E030000}"/>
    <cellStyle name="Currency 2 2 3 3" xfId="584" xr:uid="{00000000-0005-0000-0000-00005F030000}"/>
    <cellStyle name="Currency 2 2 3 3 2" xfId="1033" xr:uid="{00000000-0005-0000-0000-000060030000}"/>
    <cellStyle name="Currency 2 2 3 4" xfId="809" xr:uid="{00000000-0005-0000-0000-000061030000}"/>
    <cellStyle name="Currency 2 2 4" xfId="414" xr:uid="{00000000-0005-0000-0000-000062030000}"/>
    <cellStyle name="Currency 2 2 4 2" xfId="640" xr:uid="{00000000-0005-0000-0000-000063030000}"/>
    <cellStyle name="Currency 2 2 4 2 2" xfId="1089" xr:uid="{00000000-0005-0000-0000-000064030000}"/>
    <cellStyle name="Currency 2 2 4 3" xfId="865" xr:uid="{00000000-0005-0000-0000-000065030000}"/>
    <cellStyle name="Currency 2 2 5" xfId="528" xr:uid="{00000000-0005-0000-0000-000066030000}"/>
    <cellStyle name="Currency 2 2 5 2" xfId="977" xr:uid="{00000000-0005-0000-0000-000067030000}"/>
    <cellStyle name="Currency 2 2 6" xfId="753" xr:uid="{00000000-0005-0000-0000-000068030000}"/>
    <cellStyle name="Currency 2 3" xfId="7" xr:uid="{00000000-0005-0000-0000-000069030000}"/>
    <cellStyle name="Currency 2 3 2" xfId="258" xr:uid="{00000000-0005-0000-0000-00006A030000}"/>
    <cellStyle name="Currency 2 3 2 2" xfId="473" xr:uid="{00000000-0005-0000-0000-00006B030000}"/>
    <cellStyle name="Currency 2 3 2 2 2" xfId="699" xr:uid="{00000000-0005-0000-0000-00006C030000}"/>
    <cellStyle name="Currency 2 3 2 2 2 2" xfId="1148" xr:uid="{00000000-0005-0000-0000-00006D030000}"/>
    <cellStyle name="Currency 2 3 2 2 3" xfId="924" xr:uid="{00000000-0005-0000-0000-00006E030000}"/>
    <cellStyle name="Currency 2 3 2 3" xfId="587" xr:uid="{00000000-0005-0000-0000-00006F030000}"/>
    <cellStyle name="Currency 2 3 2 3 2" xfId="1036" xr:uid="{00000000-0005-0000-0000-000070030000}"/>
    <cellStyle name="Currency 2 3 2 4" xfId="812" xr:uid="{00000000-0005-0000-0000-000071030000}"/>
    <cellStyle name="Currency 2 3 3" xfId="417" xr:uid="{00000000-0005-0000-0000-000072030000}"/>
    <cellStyle name="Currency 2 3 3 2" xfId="643" xr:uid="{00000000-0005-0000-0000-000073030000}"/>
    <cellStyle name="Currency 2 3 3 2 2" xfId="1092" xr:uid="{00000000-0005-0000-0000-000074030000}"/>
    <cellStyle name="Currency 2 3 3 3" xfId="868" xr:uid="{00000000-0005-0000-0000-000075030000}"/>
    <cellStyle name="Currency 2 3 4" xfId="531" xr:uid="{00000000-0005-0000-0000-000076030000}"/>
    <cellStyle name="Currency 2 3 4 2" xfId="980" xr:uid="{00000000-0005-0000-0000-000077030000}"/>
    <cellStyle name="Currency 2 3 5" xfId="756" xr:uid="{00000000-0005-0000-0000-000078030000}"/>
    <cellStyle name="Currency 2 4" xfId="256" xr:uid="{00000000-0005-0000-0000-000079030000}"/>
    <cellStyle name="Currency 2 4 2" xfId="468" xr:uid="{00000000-0005-0000-0000-00007A030000}"/>
    <cellStyle name="Currency 2 4 2 2" xfId="694" xr:uid="{00000000-0005-0000-0000-00007B030000}"/>
    <cellStyle name="Currency 2 4 2 2 2" xfId="1143" xr:uid="{00000000-0005-0000-0000-00007C030000}"/>
    <cellStyle name="Currency 2 4 2 3" xfId="919" xr:uid="{00000000-0005-0000-0000-00007D030000}"/>
    <cellStyle name="Currency 2 4 3" xfId="582" xr:uid="{00000000-0005-0000-0000-00007E030000}"/>
    <cellStyle name="Currency 2 4 3 2" xfId="1031" xr:uid="{00000000-0005-0000-0000-00007F030000}"/>
    <cellStyle name="Currency 2 4 4" xfId="807" xr:uid="{00000000-0005-0000-0000-000080030000}"/>
    <cellStyle name="Currency 2 5" xfId="239" xr:uid="{00000000-0005-0000-0000-000081030000}"/>
    <cellStyle name="Currency 2 5 2" xfId="638" xr:uid="{00000000-0005-0000-0000-000082030000}"/>
    <cellStyle name="Currency 2 5 2 2" xfId="1087" xr:uid="{00000000-0005-0000-0000-000083030000}"/>
    <cellStyle name="Currency 2 5 3" xfId="863" xr:uid="{00000000-0005-0000-0000-000084030000}"/>
    <cellStyle name="Currency 2 5 4" xfId="412" xr:uid="{00000000-0005-0000-0000-000085030000}"/>
    <cellStyle name="Currency 2 6" xfId="526" xr:uid="{00000000-0005-0000-0000-000086030000}"/>
    <cellStyle name="Currency 2 6 2" xfId="975" xr:uid="{00000000-0005-0000-0000-000087030000}"/>
    <cellStyle name="Currency 2 7" xfId="751" xr:uid="{00000000-0005-0000-0000-000088030000}"/>
    <cellStyle name="Currency 3" xfId="194" xr:uid="{00000000-0005-0000-0000-000089030000}"/>
    <cellStyle name="Currency 3 2" xfId="255" xr:uid="{00000000-0005-0000-0000-00008A030000}"/>
    <cellStyle name="Currency 3 2 2" xfId="357" xr:uid="{00000000-0005-0000-0000-00008B030000}"/>
    <cellStyle name="Currency 3 2 2 2" xfId="367" xr:uid="{00000000-0005-0000-0000-00008C030000}"/>
    <cellStyle name="Currency 3 2 2 2 2" xfId="408" xr:uid="{00000000-0005-0000-0000-00008D030000}"/>
    <cellStyle name="Currency 3 2 2 2 2 2" xfId="520" xr:uid="{00000000-0005-0000-0000-00008E030000}"/>
    <cellStyle name="Currency 3 2 2 2 2 2 2" xfId="746" xr:uid="{00000000-0005-0000-0000-00008F030000}"/>
    <cellStyle name="Currency 3 2 2 2 2 2 2 2" xfId="1195" xr:uid="{00000000-0005-0000-0000-000090030000}"/>
    <cellStyle name="Currency 3 2 2 2 2 2 3" xfId="971" xr:uid="{00000000-0005-0000-0000-000091030000}"/>
    <cellStyle name="Currency 3 2 2 2 2 3" xfId="634" xr:uid="{00000000-0005-0000-0000-000092030000}"/>
    <cellStyle name="Currency 3 2 2 2 2 3 2" xfId="1083" xr:uid="{00000000-0005-0000-0000-000093030000}"/>
    <cellStyle name="Currency 3 2 2 2 2 4" xfId="859" xr:uid="{00000000-0005-0000-0000-000094030000}"/>
    <cellStyle name="Currency 3 2 2 2 3" xfId="464" xr:uid="{00000000-0005-0000-0000-000095030000}"/>
    <cellStyle name="Currency 3 2 2 2 3 2" xfId="690" xr:uid="{00000000-0005-0000-0000-000096030000}"/>
    <cellStyle name="Currency 3 2 2 2 3 2 2" xfId="1139" xr:uid="{00000000-0005-0000-0000-000097030000}"/>
    <cellStyle name="Currency 3 2 2 2 3 3" xfId="915" xr:uid="{00000000-0005-0000-0000-000098030000}"/>
    <cellStyle name="Currency 3 2 2 2 4" xfId="578" xr:uid="{00000000-0005-0000-0000-000099030000}"/>
    <cellStyle name="Currency 3 2 2 2 4 2" xfId="1027" xr:uid="{00000000-0005-0000-0000-00009A030000}"/>
    <cellStyle name="Currency 3 2 2 2 5" xfId="803" xr:uid="{00000000-0005-0000-0000-00009B030000}"/>
    <cellStyle name="Currency 3 2 2 3" xfId="386" xr:uid="{00000000-0005-0000-0000-00009C030000}"/>
    <cellStyle name="Currency 3 2 2 3 2" xfId="498" xr:uid="{00000000-0005-0000-0000-00009D030000}"/>
    <cellStyle name="Currency 3 2 2 3 2 2" xfId="724" xr:uid="{00000000-0005-0000-0000-00009E030000}"/>
    <cellStyle name="Currency 3 2 2 3 2 2 2" xfId="1173" xr:uid="{00000000-0005-0000-0000-00009F030000}"/>
    <cellStyle name="Currency 3 2 2 3 2 3" xfId="949" xr:uid="{00000000-0005-0000-0000-0000A0030000}"/>
    <cellStyle name="Currency 3 2 2 3 3" xfId="612" xr:uid="{00000000-0005-0000-0000-0000A1030000}"/>
    <cellStyle name="Currency 3 2 2 3 3 2" xfId="1061" xr:uid="{00000000-0005-0000-0000-0000A2030000}"/>
    <cellStyle name="Currency 3 2 2 3 4" xfId="837" xr:uid="{00000000-0005-0000-0000-0000A3030000}"/>
    <cellStyle name="Currency 3 2 2 4" xfId="442" xr:uid="{00000000-0005-0000-0000-0000A4030000}"/>
    <cellStyle name="Currency 3 2 2 4 2" xfId="668" xr:uid="{00000000-0005-0000-0000-0000A5030000}"/>
    <cellStyle name="Currency 3 2 2 4 2 2" xfId="1117" xr:uid="{00000000-0005-0000-0000-0000A6030000}"/>
    <cellStyle name="Currency 3 2 2 4 3" xfId="893" xr:uid="{00000000-0005-0000-0000-0000A7030000}"/>
    <cellStyle name="Currency 3 2 2 5" xfId="556" xr:uid="{00000000-0005-0000-0000-0000A8030000}"/>
    <cellStyle name="Currency 3 2 2 5 2" xfId="1005" xr:uid="{00000000-0005-0000-0000-0000A9030000}"/>
    <cellStyle name="Currency 3 2 2 6" xfId="781" xr:uid="{00000000-0005-0000-0000-0000AA030000}"/>
    <cellStyle name="Currency 3 2 3" xfId="362" xr:uid="{00000000-0005-0000-0000-0000AB030000}"/>
    <cellStyle name="Currency 3 2 3 2" xfId="397" xr:uid="{00000000-0005-0000-0000-0000AC030000}"/>
    <cellStyle name="Currency 3 2 3 2 2" xfId="509" xr:uid="{00000000-0005-0000-0000-0000AD030000}"/>
    <cellStyle name="Currency 3 2 3 2 2 2" xfId="735" xr:uid="{00000000-0005-0000-0000-0000AE030000}"/>
    <cellStyle name="Currency 3 2 3 2 2 2 2" xfId="1184" xr:uid="{00000000-0005-0000-0000-0000AF030000}"/>
    <cellStyle name="Currency 3 2 3 2 2 3" xfId="960" xr:uid="{00000000-0005-0000-0000-0000B0030000}"/>
    <cellStyle name="Currency 3 2 3 2 3" xfId="623" xr:uid="{00000000-0005-0000-0000-0000B1030000}"/>
    <cellStyle name="Currency 3 2 3 2 3 2" xfId="1072" xr:uid="{00000000-0005-0000-0000-0000B2030000}"/>
    <cellStyle name="Currency 3 2 3 2 4" xfId="848" xr:uid="{00000000-0005-0000-0000-0000B3030000}"/>
    <cellStyle name="Currency 3 2 3 3" xfId="453" xr:uid="{00000000-0005-0000-0000-0000B4030000}"/>
    <cellStyle name="Currency 3 2 3 3 2" xfId="679" xr:uid="{00000000-0005-0000-0000-0000B5030000}"/>
    <cellStyle name="Currency 3 2 3 3 2 2" xfId="1128" xr:uid="{00000000-0005-0000-0000-0000B6030000}"/>
    <cellStyle name="Currency 3 2 3 3 3" xfId="904" xr:uid="{00000000-0005-0000-0000-0000B7030000}"/>
    <cellStyle name="Currency 3 2 3 4" xfId="567" xr:uid="{00000000-0005-0000-0000-0000B8030000}"/>
    <cellStyle name="Currency 3 2 3 4 2" xfId="1016" xr:uid="{00000000-0005-0000-0000-0000B9030000}"/>
    <cellStyle name="Currency 3 2 3 5" xfId="792" xr:uid="{00000000-0005-0000-0000-0000BA030000}"/>
    <cellStyle name="Currency 3 2 4" xfId="381" xr:uid="{00000000-0005-0000-0000-0000BB030000}"/>
    <cellStyle name="Currency 3 2 4 2" xfId="487" xr:uid="{00000000-0005-0000-0000-0000BC030000}"/>
    <cellStyle name="Currency 3 2 4 2 2" xfId="713" xr:uid="{00000000-0005-0000-0000-0000BD030000}"/>
    <cellStyle name="Currency 3 2 4 2 2 2" xfId="1162" xr:uid="{00000000-0005-0000-0000-0000BE030000}"/>
    <cellStyle name="Currency 3 2 4 2 3" xfId="938" xr:uid="{00000000-0005-0000-0000-0000BF030000}"/>
    <cellStyle name="Currency 3 2 4 3" xfId="601" xr:uid="{00000000-0005-0000-0000-0000C0030000}"/>
    <cellStyle name="Currency 3 2 4 3 2" xfId="1050" xr:uid="{00000000-0005-0000-0000-0000C1030000}"/>
    <cellStyle name="Currency 3 2 4 4" xfId="826" xr:uid="{00000000-0005-0000-0000-0000C2030000}"/>
    <cellStyle name="Currency 3 2 5" xfId="431" xr:uid="{00000000-0005-0000-0000-0000C3030000}"/>
    <cellStyle name="Currency 3 2 5 2" xfId="657" xr:uid="{00000000-0005-0000-0000-0000C4030000}"/>
    <cellStyle name="Currency 3 2 5 2 2" xfId="1106" xr:uid="{00000000-0005-0000-0000-0000C5030000}"/>
    <cellStyle name="Currency 3 2 5 3" xfId="882" xr:uid="{00000000-0005-0000-0000-0000C6030000}"/>
    <cellStyle name="Currency 3 2 6" xfId="545" xr:uid="{00000000-0005-0000-0000-0000C7030000}"/>
    <cellStyle name="Currency 3 2 6 2" xfId="994" xr:uid="{00000000-0005-0000-0000-0000C8030000}"/>
    <cellStyle name="Currency 3 2 7" xfId="770" xr:uid="{00000000-0005-0000-0000-0000C9030000}"/>
    <cellStyle name="Currency 3 3" xfId="271" xr:uid="{00000000-0005-0000-0000-0000CA030000}"/>
    <cellStyle name="Currency 3 3 2" xfId="364" xr:uid="{00000000-0005-0000-0000-0000CB030000}"/>
    <cellStyle name="Currency 3 3 2 2" xfId="399" xr:uid="{00000000-0005-0000-0000-0000CC030000}"/>
    <cellStyle name="Currency 3 3 2 2 2" xfId="511" xr:uid="{00000000-0005-0000-0000-0000CD030000}"/>
    <cellStyle name="Currency 3 3 2 2 2 2" xfId="737" xr:uid="{00000000-0005-0000-0000-0000CE030000}"/>
    <cellStyle name="Currency 3 3 2 2 2 2 2" xfId="1186" xr:uid="{00000000-0005-0000-0000-0000CF030000}"/>
    <cellStyle name="Currency 3 3 2 2 2 3" xfId="962" xr:uid="{00000000-0005-0000-0000-0000D0030000}"/>
    <cellStyle name="Currency 3 3 2 2 3" xfId="625" xr:uid="{00000000-0005-0000-0000-0000D1030000}"/>
    <cellStyle name="Currency 3 3 2 2 3 2" xfId="1074" xr:uid="{00000000-0005-0000-0000-0000D2030000}"/>
    <cellStyle name="Currency 3 3 2 2 4" xfId="850" xr:uid="{00000000-0005-0000-0000-0000D3030000}"/>
    <cellStyle name="Currency 3 3 2 3" xfId="455" xr:uid="{00000000-0005-0000-0000-0000D4030000}"/>
    <cellStyle name="Currency 3 3 2 3 2" xfId="681" xr:uid="{00000000-0005-0000-0000-0000D5030000}"/>
    <cellStyle name="Currency 3 3 2 3 2 2" xfId="1130" xr:uid="{00000000-0005-0000-0000-0000D6030000}"/>
    <cellStyle name="Currency 3 3 2 3 3" xfId="906" xr:uid="{00000000-0005-0000-0000-0000D7030000}"/>
    <cellStyle name="Currency 3 3 2 4" xfId="569" xr:uid="{00000000-0005-0000-0000-0000D8030000}"/>
    <cellStyle name="Currency 3 3 2 4 2" xfId="1018" xr:uid="{00000000-0005-0000-0000-0000D9030000}"/>
    <cellStyle name="Currency 3 3 2 5" xfId="794" xr:uid="{00000000-0005-0000-0000-0000DA030000}"/>
    <cellStyle name="Currency 3 3 3" xfId="383" xr:uid="{00000000-0005-0000-0000-0000DB030000}"/>
    <cellStyle name="Currency 3 3 3 2" xfId="489" xr:uid="{00000000-0005-0000-0000-0000DC030000}"/>
    <cellStyle name="Currency 3 3 3 2 2" xfId="715" xr:uid="{00000000-0005-0000-0000-0000DD030000}"/>
    <cellStyle name="Currency 3 3 3 2 2 2" xfId="1164" xr:uid="{00000000-0005-0000-0000-0000DE030000}"/>
    <cellStyle name="Currency 3 3 3 2 3" xfId="940" xr:uid="{00000000-0005-0000-0000-0000DF030000}"/>
    <cellStyle name="Currency 3 3 3 3" xfId="603" xr:uid="{00000000-0005-0000-0000-0000E0030000}"/>
    <cellStyle name="Currency 3 3 3 3 2" xfId="1052" xr:uid="{00000000-0005-0000-0000-0000E1030000}"/>
    <cellStyle name="Currency 3 3 3 4" xfId="828" xr:uid="{00000000-0005-0000-0000-0000E2030000}"/>
    <cellStyle name="Currency 3 3 4" xfId="433" xr:uid="{00000000-0005-0000-0000-0000E3030000}"/>
    <cellStyle name="Currency 3 3 4 2" xfId="659" xr:uid="{00000000-0005-0000-0000-0000E4030000}"/>
    <cellStyle name="Currency 3 3 4 2 2" xfId="1108" xr:uid="{00000000-0005-0000-0000-0000E5030000}"/>
    <cellStyle name="Currency 3 3 4 3" xfId="884" xr:uid="{00000000-0005-0000-0000-0000E6030000}"/>
    <cellStyle name="Currency 3 3 5" xfId="547" xr:uid="{00000000-0005-0000-0000-0000E7030000}"/>
    <cellStyle name="Currency 3 3 5 2" xfId="996" xr:uid="{00000000-0005-0000-0000-0000E8030000}"/>
    <cellStyle name="Currency 3 3 6" xfId="772" xr:uid="{00000000-0005-0000-0000-0000E9030000}"/>
    <cellStyle name="Currency 3 3 7" xfId="354" xr:uid="{00000000-0005-0000-0000-0000EA030000}"/>
    <cellStyle name="Currency 3 4" xfId="273" xr:uid="{00000000-0005-0000-0000-0000EB030000}"/>
    <cellStyle name="Currency 3 4 2" xfId="388" xr:uid="{00000000-0005-0000-0000-0000EC030000}"/>
    <cellStyle name="Currency 3 4 2 2" xfId="500" xr:uid="{00000000-0005-0000-0000-0000ED030000}"/>
    <cellStyle name="Currency 3 4 2 2 2" xfId="726" xr:uid="{00000000-0005-0000-0000-0000EE030000}"/>
    <cellStyle name="Currency 3 4 2 2 2 2" xfId="1175" xr:uid="{00000000-0005-0000-0000-0000EF030000}"/>
    <cellStyle name="Currency 3 4 2 2 3" xfId="951" xr:uid="{00000000-0005-0000-0000-0000F0030000}"/>
    <cellStyle name="Currency 3 4 2 3" xfId="614" xr:uid="{00000000-0005-0000-0000-0000F1030000}"/>
    <cellStyle name="Currency 3 4 2 3 2" xfId="1063" xr:uid="{00000000-0005-0000-0000-0000F2030000}"/>
    <cellStyle name="Currency 3 4 2 4" xfId="839" xr:uid="{00000000-0005-0000-0000-0000F3030000}"/>
    <cellStyle name="Currency 3 4 3" xfId="444" xr:uid="{00000000-0005-0000-0000-0000F4030000}"/>
    <cellStyle name="Currency 3 4 3 2" xfId="670" xr:uid="{00000000-0005-0000-0000-0000F5030000}"/>
    <cellStyle name="Currency 3 4 3 2 2" xfId="1119" xr:uid="{00000000-0005-0000-0000-0000F6030000}"/>
    <cellStyle name="Currency 3 4 3 3" xfId="895" xr:uid="{00000000-0005-0000-0000-0000F7030000}"/>
    <cellStyle name="Currency 3 4 4" xfId="558" xr:uid="{00000000-0005-0000-0000-0000F8030000}"/>
    <cellStyle name="Currency 3 4 4 2" xfId="1007" xr:uid="{00000000-0005-0000-0000-0000F9030000}"/>
    <cellStyle name="Currency 3 4 5" xfId="783" xr:uid="{00000000-0005-0000-0000-0000FA030000}"/>
    <cellStyle name="Currency 3 4 6" xfId="359" xr:uid="{00000000-0005-0000-0000-0000FB030000}"/>
    <cellStyle name="Currency 3 5" xfId="247" xr:uid="{00000000-0005-0000-0000-0000FC030000}"/>
    <cellStyle name="Currency 3 5 2" xfId="478" xr:uid="{00000000-0005-0000-0000-0000FD030000}"/>
    <cellStyle name="Currency 3 5 2 2" xfId="704" xr:uid="{00000000-0005-0000-0000-0000FE030000}"/>
    <cellStyle name="Currency 3 5 2 2 2" xfId="1153" xr:uid="{00000000-0005-0000-0000-0000FF030000}"/>
    <cellStyle name="Currency 3 5 2 3" xfId="929" xr:uid="{00000000-0005-0000-0000-000000040000}"/>
    <cellStyle name="Currency 3 5 3" xfId="592" xr:uid="{00000000-0005-0000-0000-000001040000}"/>
    <cellStyle name="Currency 3 5 3 2" xfId="1041" xr:uid="{00000000-0005-0000-0000-000002040000}"/>
    <cellStyle name="Currency 3 5 4" xfId="817" xr:uid="{00000000-0005-0000-0000-000003040000}"/>
    <cellStyle name="Currency 3 6" xfId="422" xr:uid="{00000000-0005-0000-0000-000004040000}"/>
    <cellStyle name="Currency 3 6 2" xfId="648" xr:uid="{00000000-0005-0000-0000-000005040000}"/>
    <cellStyle name="Currency 3 6 2 2" xfId="1097" xr:uid="{00000000-0005-0000-0000-000006040000}"/>
    <cellStyle name="Currency 3 6 3" xfId="873" xr:uid="{00000000-0005-0000-0000-000007040000}"/>
    <cellStyle name="Currency 3 7" xfId="536" xr:uid="{00000000-0005-0000-0000-000008040000}"/>
    <cellStyle name="Currency 3 7 2" xfId="985" xr:uid="{00000000-0005-0000-0000-000009040000}"/>
    <cellStyle name="Currency 3 8" xfId="761" xr:uid="{00000000-0005-0000-0000-00000A040000}"/>
    <cellStyle name="Currency 4" xfId="240" xr:uid="{00000000-0005-0000-0000-00000B040000}"/>
    <cellStyle name="Currency 4 2" xfId="466" xr:uid="{00000000-0005-0000-0000-00000C040000}"/>
    <cellStyle name="Currency 4 2 2" xfId="692" xr:uid="{00000000-0005-0000-0000-00000D040000}"/>
    <cellStyle name="Currency 4 2 2 2" xfId="1141" xr:uid="{00000000-0005-0000-0000-00000E040000}"/>
    <cellStyle name="Currency 4 2 3" xfId="917" xr:uid="{00000000-0005-0000-0000-00000F040000}"/>
    <cellStyle name="Currency 4 3" xfId="580" xr:uid="{00000000-0005-0000-0000-000010040000}"/>
    <cellStyle name="Currency 4 3 2" xfId="1029" xr:uid="{00000000-0005-0000-0000-000011040000}"/>
    <cellStyle name="Currency 4 4" xfId="805" xr:uid="{00000000-0005-0000-0000-000012040000}"/>
    <cellStyle name="Currency 4 5" xfId="370" xr:uid="{00000000-0005-0000-0000-000013040000}"/>
    <cellStyle name="Currency 5" xfId="410" xr:uid="{00000000-0005-0000-0000-000014040000}"/>
    <cellStyle name="Currency 5 2" xfId="636" xr:uid="{00000000-0005-0000-0000-000015040000}"/>
    <cellStyle name="Currency 5 2 2" xfId="1085" xr:uid="{00000000-0005-0000-0000-000016040000}"/>
    <cellStyle name="Currency 5 3" xfId="861" xr:uid="{00000000-0005-0000-0000-000017040000}"/>
    <cellStyle name="Currency 6" xfId="524" xr:uid="{00000000-0005-0000-0000-000018040000}"/>
    <cellStyle name="Currency 6 2" xfId="973" xr:uid="{00000000-0005-0000-0000-000019040000}"/>
    <cellStyle name="Currency 7" xfId="749" xr:uid="{00000000-0005-0000-0000-00001A040000}"/>
    <cellStyle name="Entrée" xfId="309" builtinId="20" customBuiltin="1"/>
    <cellStyle name="Entrée 2" xfId="226" xr:uid="{00000000-0005-0000-0000-00001C040000}"/>
    <cellStyle name="Explanatory Text 2" xfId="97" xr:uid="{00000000-0005-0000-0000-00001D040000}"/>
    <cellStyle name="Explanatory Text 2 2" xfId="156" xr:uid="{00000000-0005-0000-0000-00001E040000}"/>
    <cellStyle name="Explanatory Text 3" xfId="98" xr:uid="{00000000-0005-0000-0000-00001F040000}"/>
    <cellStyle name="Explanatory Text 3 2" xfId="157" xr:uid="{00000000-0005-0000-0000-000020040000}"/>
    <cellStyle name="Explanatory Text 4" xfId="155" xr:uid="{00000000-0005-0000-0000-000021040000}"/>
    <cellStyle name="Explanatory Text 5" xfId="96" xr:uid="{00000000-0005-0000-0000-000022040000}"/>
    <cellStyle name="Good 2" xfId="100" xr:uid="{00000000-0005-0000-0000-000023040000}"/>
    <cellStyle name="Good 3" xfId="101" xr:uid="{00000000-0005-0000-0000-000024040000}"/>
    <cellStyle name="Good 4" xfId="99" xr:uid="{00000000-0005-0000-0000-000025040000}"/>
    <cellStyle name="Heading 1 2" xfId="103" xr:uid="{00000000-0005-0000-0000-000026040000}"/>
    <cellStyle name="Heading 1 2 2" xfId="159" xr:uid="{00000000-0005-0000-0000-000027040000}"/>
    <cellStyle name="Heading 1 3" xfId="104" xr:uid="{00000000-0005-0000-0000-000028040000}"/>
    <cellStyle name="Heading 1 3 2" xfId="160" xr:uid="{00000000-0005-0000-0000-000029040000}"/>
    <cellStyle name="Heading 1 4" xfId="158" xr:uid="{00000000-0005-0000-0000-00002A040000}"/>
    <cellStyle name="Heading 1 5" xfId="102" xr:uid="{00000000-0005-0000-0000-00002B040000}"/>
    <cellStyle name="Heading 2 2" xfId="106" xr:uid="{00000000-0005-0000-0000-00002C040000}"/>
    <cellStyle name="Heading 2 2 2" xfId="162" xr:uid="{00000000-0005-0000-0000-00002D040000}"/>
    <cellStyle name="Heading 2 3" xfId="107" xr:uid="{00000000-0005-0000-0000-00002E040000}"/>
    <cellStyle name="Heading 2 3 2" xfId="163" xr:uid="{00000000-0005-0000-0000-00002F040000}"/>
    <cellStyle name="Heading 2 4" xfId="161" xr:uid="{00000000-0005-0000-0000-000030040000}"/>
    <cellStyle name="Heading 2 5" xfId="105" xr:uid="{00000000-0005-0000-0000-000031040000}"/>
    <cellStyle name="Heading 3 2" xfId="109" xr:uid="{00000000-0005-0000-0000-000032040000}"/>
    <cellStyle name="Heading 3 2 2" xfId="165" xr:uid="{00000000-0005-0000-0000-000033040000}"/>
    <cellStyle name="Heading 3 3" xfId="110" xr:uid="{00000000-0005-0000-0000-000034040000}"/>
    <cellStyle name="Heading 3 3 2" xfId="166" xr:uid="{00000000-0005-0000-0000-000035040000}"/>
    <cellStyle name="Heading 3 4" xfId="164" xr:uid="{00000000-0005-0000-0000-000036040000}"/>
    <cellStyle name="Heading 3 5" xfId="108" xr:uid="{00000000-0005-0000-0000-000037040000}"/>
    <cellStyle name="Heading 4 2" xfId="112" xr:uid="{00000000-0005-0000-0000-000038040000}"/>
    <cellStyle name="Heading 4 2 2" xfId="168" xr:uid="{00000000-0005-0000-0000-000039040000}"/>
    <cellStyle name="Heading 4 3" xfId="113" xr:uid="{00000000-0005-0000-0000-00003A040000}"/>
    <cellStyle name="Heading 4 3 2" xfId="169" xr:uid="{00000000-0005-0000-0000-00003B040000}"/>
    <cellStyle name="Heading 4 4" xfId="167" xr:uid="{00000000-0005-0000-0000-00003C040000}"/>
    <cellStyle name="Heading 4 5" xfId="111" xr:uid="{00000000-0005-0000-0000-00003D040000}"/>
    <cellStyle name="Hyperlink 2" xfId="115" xr:uid="{00000000-0005-0000-0000-00003E040000}"/>
    <cellStyle name="Hyperlink 2 2" xfId="171" xr:uid="{00000000-0005-0000-0000-00003F040000}"/>
    <cellStyle name="Hyperlink 2 3" xfId="267" xr:uid="{00000000-0005-0000-0000-000040040000}"/>
    <cellStyle name="Hyperlink 2 4" xfId="227" xr:uid="{00000000-0005-0000-0000-000041040000}"/>
    <cellStyle name="Hyperlink 3" xfId="170" xr:uid="{00000000-0005-0000-0000-000042040000}"/>
    <cellStyle name="Hyperlink 4" xfId="114" xr:uid="{00000000-0005-0000-0000-000043040000}"/>
    <cellStyle name="Input 2" xfId="117" xr:uid="{00000000-0005-0000-0000-000044040000}"/>
    <cellStyle name="Input 3" xfId="118" xr:uid="{00000000-0005-0000-0000-000045040000}"/>
    <cellStyle name="Input 4" xfId="116" xr:uid="{00000000-0005-0000-0000-000046040000}"/>
    <cellStyle name="Insatisfaisant" xfId="307" builtinId="27" customBuiltin="1"/>
    <cellStyle name="Insatisfaisant 2" xfId="228" xr:uid="{00000000-0005-0000-0000-000048040000}"/>
    <cellStyle name="Lien hypertexte 2" xfId="229" xr:uid="{00000000-0005-0000-0000-000049040000}"/>
    <cellStyle name="Linked Cell 2" xfId="120" xr:uid="{00000000-0005-0000-0000-00004A040000}"/>
    <cellStyle name="Linked Cell 2 2" xfId="173" xr:uid="{00000000-0005-0000-0000-00004B040000}"/>
    <cellStyle name="Linked Cell 3" xfId="121" xr:uid="{00000000-0005-0000-0000-00004C040000}"/>
    <cellStyle name="Linked Cell 3 2" xfId="174" xr:uid="{00000000-0005-0000-0000-00004D040000}"/>
    <cellStyle name="Linked Cell 4" xfId="172" xr:uid="{00000000-0005-0000-0000-00004E040000}"/>
    <cellStyle name="Linked Cell 5" xfId="119" xr:uid="{00000000-0005-0000-0000-00004F040000}"/>
    <cellStyle name="Monétaire 2" xfId="1199" xr:uid="{0F158E29-A57B-4C40-9F02-9966CE4B28EB}"/>
    <cellStyle name="Neutral 2" xfId="4" xr:uid="{00000000-0005-0000-0000-000050040000}"/>
    <cellStyle name="Neutral 2 2" xfId="123" xr:uid="{00000000-0005-0000-0000-000051040000}"/>
    <cellStyle name="Neutral 3" xfId="124" xr:uid="{00000000-0005-0000-0000-000052040000}"/>
    <cellStyle name="Neutral 4" xfId="122" xr:uid="{00000000-0005-0000-0000-000053040000}"/>
    <cellStyle name="Neutre" xfId="308" builtinId="28" customBuiltin="1"/>
    <cellStyle name="Neutre 2" xfId="230" xr:uid="{00000000-0005-0000-0000-000055040000}"/>
    <cellStyle name="Neutre 2 2" xfId="1200" xr:uid="{31D81744-40F4-4DC9-B3D4-C4D7027B78D0}"/>
    <cellStyle name="Neutre 3 2" xfId="3" xr:uid="{00000000-0005-0000-0000-000056040000}"/>
    <cellStyle name="Normal" xfId="0" builtinId="0"/>
    <cellStyle name="Normal 10 7 2" xfId="342" xr:uid="{00000000-0005-0000-0000-000058040000}"/>
    <cellStyle name="Normal 10 7 3" xfId="346" xr:uid="{00000000-0005-0000-0000-000059040000}"/>
    <cellStyle name="Normal 114" xfId="523" xr:uid="{00000000-0005-0000-0000-00005A040000}"/>
    <cellStyle name="Normal 130" xfId="344" xr:uid="{00000000-0005-0000-0000-00005B040000}"/>
    <cellStyle name="Normal 132" xfId="348" xr:uid="{00000000-0005-0000-0000-00005C040000}"/>
    <cellStyle name="Normal 2" xfId="8" xr:uid="{00000000-0005-0000-0000-00005D040000}"/>
    <cellStyle name="Normal 2 16 5 5" xfId="345" xr:uid="{00000000-0005-0000-0000-00005E040000}"/>
    <cellStyle name="Normal 2 2" xfId="175" xr:uid="{00000000-0005-0000-0000-00005F040000}"/>
    <cellStyle name="Normal 2 3" xfId="125" xr:uid="{00000000-0005-0000-0000-000060040000}"/>
    <cellStyle name="Normal 2 3 2" xfId="748" xr:uid="{00000000-0005-0000-0000-000061040000}"/>
    <cellStyle name="Normal 2 4" xfId="259" xr:uid="{00000000-0005-0000-0000-000062040000}"/>
    <cellStyle name="Normal 277" xfId="350" xr:uid="{00000000-0005-0000-0000-000063040000}"/>
    <cellStyle name="Normal 281" xfId="351" xr:uid="{00000000-0005-0000-0000-000064040000}"/>
    <cellStyle name="Normal 3" xfId="126" xr:uid="{00000000-0005-0000-0000-000065040000}"/>
    <cellStyle name="Normal 3 2" xfId="176" xr:uid="{00000000-0005-0000-0000-000066040000}"/>
    <cellStyle name="Normal 3 2 2" xfId="270" xr:uid="{00000000-0005-0000-0000-000067040000}"/>
    <cellStyle name="Normal 3 2 3" xfId="231" xr:uid="{00000000-0005-0000-0000-000068040000}"/>
    <cellStyle name="Normal 4" xfId="2" xr:uid="{00000000-0005-0000-0000-000069040000}"/>
    <cellStyle name="Normal 4 2" xfId="144" xr:uid="{00000000-0005-0000-0000-00006A040000}"/>
    <cellStyle name="Normal 4 2 2" xfId="193" xr:uid="{00000000-0005-0000-0000-00006B040000}"/>
    <cellStyle name="Normal 4 3" xfId="177" xr:uid="{00000000-0005-0000-0000-00006C040000}"/>
    <cellStyle name="Normal 4 4" xfId="127" xr:uid="{00000000-0005-0000-0000-00006D040000}"/>
    <cellStyle name="Normal 4 5" xfId="522" xr:uid="{00000000-0005-0000-0000-00006E040000}"/>
    <cellStyle name="Normal 44" xfId="349" xr:uid="{00000000-0005-0000-0000-00006F040000}"/>
    <cellStyle name="Normal 5" xfId="145" xr:uid="{00000000-0005-0000-0000-000070040000}"/>
    <cellStyle name="Normal 5 2" xfId="1198" xr:uid="{00000000-0005-0000-0000-000071040000}"/>
    <cellStyle name="Normal 57" xfId="298" xr:uid="{00000000-0005-0000-0000-000072040000}"/>
    <cellStyle name="Normal 6" xfId="146" xr:uid="{00000000-0005-0000-0000-000073040000}"/>
    <cellStyle name="Normal 7" xfId="9" xr:uid="{00000000-0005-0000-0000-000074040000}"/>
    <cellStyle name="Normal 7 2" xfId="272" xr:uid="{00000000-0005-0000-0000-000075040000}"/>
    <cellStyle name="Normal 7 3" xfId="260" xr:uid="{00000000-0005-0000-0000-000076040000}"/>
    <cellStyle name="Normal 8" xfId="369" xr:uid="{00000000-0005-0000-0000-000077040000}"/>
    <cellStyle name="Normal 9" xfId="299" xr:uid="{00000000-0005-0000-0000-000078040000}"/>
    <cellStyle name="Normal 9 10" xfId="300" xr:uid="{00000000-0005-0000-0000-000079040000}"/>
    <cellStyle name="Normal_Matinfo 2 Lot3macV_3" xfId="1" xr:uid="{00000000-0005-0000-0000-00007A040000}"/>
    <cellStyle name="Note" xfId="315" builtinId="10" customBuiltin="1"/>
    <cellStyle name="Note 2" xfId="129" xr:uid="{00000000-0005-0000-0000-00007C040000}"/>
    <cellStyle name="Note 2 2" xfId="178" xr:uid="{00000000-0005-0000-0000-00007D040000}"/>
    <cellStyle name="Note 3" xfId="130" xr:uid="{00000000-0005-0000-0000-00007E040000}"/>
    <cellStyle name="Note 3 2" xfId="179" xr:uid="{00000000-0005-0000-0000-00007F040000}"/>
    <cellStyle name="Note 4" xfId="128" xr:uid="{00000000-0005-0000-0000-000080040000}"/>
    <cellStyle name="Output 2" xfId="132" xr:uid="{00000000-0005-0000-0000-000081040000}"/>
    <cellStyle name="Output 2 2" xfId="181" xr:uid="{00000000-0005-0000-0000-000082040000}"/>
    <cellStyle name="Output 3" xfId="133" xr:uid="{00000000-0005-0000-0000-000083040000}"/>
    <cellStyle name="Output 3 2" xfId="182" xr:uid="{00000000-0005-0000-0000-000084040000}"/>
    <cellStyle name="Output 4" xfId="180" xr:uid="{00000000-0005-0000-0000-000085040000}"/>
    <cellStyle name="Output 5" xfId="131" xr:uid="{00000000-0005-0000-0000-000086040000}"/>
    <cellStyle name="Satisfaisant" xfId="306" builtinId="26" customBuiltin="1"/>
    <cellStyle name="Satisfaisant 2" xfId="232" xr:uid="{00000000-0005-0000-0000-000088040000}"/>
    <cellStyle name="Sortie" xfId="310" builtinId="21" customBuiltin="1"/>
    <cellStyle name="Sortie 2" xfId="233" xr:uid="{00000000-0005-0000-0000-00008A040000}"/>
    <cellStyle name="Style 1" xfId="134" xr:uid="{00000000-0005-0000-0000-00008B040000}"/>
    <cellStyle name="Style 1 2" xfId="183" xr:uid="{00000000-0005-0000-0000-00008C040000}"/>
    <cellStyle name="Style 1 3" xfId="268" xr:uid="{00000000-0005-0000-0000-00008D040000}"/>
    <cellStyle name="Style 1 4" xfId="195" xr:uid="{00000000-0005-0000-0000-00008E040000}"/>
    <cellStyle name="Style 1 5" xfId="343" xr:uid="{00000000-0005-0000-0000-00008F040000}"/>
    <cellStyle name="Texte explicatif" xfId="316" builtinId="53" customBuiltin="1"/>
    <cellStyle name="Title 2" xfId="136" xr:uid="{00000000-0005-0000-0000-000091040000}"/>
    <cellStyle name="Title 2 2" xfId="185" xr:uid="{00000000-0005-0000-0000-000092040000}"/>
    <cellStyle name="Title 2 3" xfId="269" xr:uid="{00000000-0005-0000-0000-000093040000}"/>
    <cellStyle name="Title 2 4" xfId="196" xr:uid="{00000000-0005-0000-0000-000094040000}"/>
    <cellStyle name="Title 3" xfId="137" xr:uid="{00000000-0005-0000-0000-000095040000}"/>
    <cellStyle name="Title 3 2" xfId="186" xr:uid="{00000000-0005-0000-0000-000096040000}"/>
    <cellStyle name="Title 4" xfId="184" xr:uid="{00000000-0005-0000-0000-000097040000}"/>
    <cellStyle name="Title 5" xfId="135" xr:uid="{00000000-0005-0000-0000-000098040000}"/>
    <cellStyle name="Titre" xfId="301" builtinId="15" customBuiltin="1"/>
    <cellStyle name="Titre 1" xfId="234" xr:uid="{00000000-0005-0000-0000-00009A040000}"/>
    <cellStyle name="Titre 1" xfId="302" builtinId="16" customBuiltin="1"/>
    <cellStyle name="Titre 2" xfId="303" builtinId="17" customBuiltin="1"/>
    <cellStyle name="Titre 3" xfId="304" builtinId="18" customBuiltin="1"/>
    <cellStyle name="Titre 4" xfId="305" builtinId="19" customBuiltin="1"/>
    <cellStyle name="Total" xfId="317" builtinId="25" customBuiltin="1"/>
    <cellStyle name="Total 2" xfId="139" xr:uid="{00000000-0005-0000-0000-0000A0040000}"/>
    <cellStyle name="Total 2 2" xfId="188" xr:uid="{00000000-0005-0000-0000-0000A1040000}"/>
    <cellStyle name="Total 3" xfId="140" xr:uid="{00000000-0005-0000-0000-0000A2040000}"/>
    <cellStyle name="Total 3 2" xfId="189" xr:uid="{00000000-0005-0000-0000-0000A3040000}"/>
    <cellStyle name="Total 4" xfId="187" xr:uid="{00000000-0005-0000-0000-0000A4040000}"/>
    <cellStyle name="Total 5" xfId="138" xr:uid="{00000000-0005-0000-0000-0000A5040000}"/>
    <cellStyle name="Vérification" xfId="313" builtinId="23" customBuiltin="1"/>
    <cellStyle name="Vérification 2" xfId="235" xr:uid="{00000000-0005-0000-0000-0000A7040000}"/>
    <cellStyle name="Warning Text 2" xfId="142" xr:uid="{00000000-0005-0000-0000-0000A8040000}"/>
    <cellStyle name="Warning Text 2 2" xfId="191" xr:uid="{00000000-0005-0000-0000-0000A9040000}"/>
    <cellStyle name="Warning Text 3" xfId="143" xr:uid="{00000000-0005-0000-0000-0000AA040000}"/>
    <cellStyle name="Warning Text 3 2" xfId="192" xr:uid="{00000000-0005-0000-0000-0000AB040000}"/>
    <cellStyle name="Warning Text 4" xfId="190" xr:uid="{00000000-0005-0000-0000-0000AC040000}"/>
    <cellStyle name="Warning Text 5" xfId="141" xr:uid="{00000000-0005-0000-0000-0000AD040000}"/>
    <cellStyle name="一般_Crockett 2.0 &amp; Boone 1.1" xfId="197" xr:uid="{00000000-0005-0000-0000-0000AE040000}"/>
  </cellStyles>
  <dxfs count="2">
    <dxf>
      <font>
        <color theme="0"/>
      </font>
      <fill>
        <patternFill>
          <bgColor rgb="FF00B0F0"/>
        </patternFill>
      </fill>
    </dxf>
    <dxf>
      <border diagonalUp="0" diagonalDown="0">
        <left style="thin">
          <color theme="0" tint="-0.14996795556505021"/>
        </left>
        <right style="thin">
          <color theme="0" tint="-0.14996795556505021"/>
        </right>
        <top style="thin">
          <color theme="0" tint="-0.14996795556505021"/>
        </top>
        <bottom style="thin">
          <color theme="0" tint="-0.14996795556505021"/>
        </bottom>
        <vertical style="thin">
          <color theme="0" tint="-0.14996795556505021"/>
        </vertical>
        <horizontal style="thin">
          <color theme="0" tint="-0.14996795556505021"/>
        </horizontal>
      </border>
    </dxf>
  </dxfs>
  <tableStyles count="2" defaultTableStyle="TableStyleMedium2" defaultPivotStyle="PivotStyleLight16">
    <tableStyle name="tab_style_PFV_Template" pivot="0" count="2" xr9:uid="{00000000-0011-0000-FFFF-FFFF00000000}">
      <tableStyleElement type="wholeTable" dxfId="1"/>
      <tableStyleElement type="headerRow" dxfId="0"/>
    </tableStyle>
    <tableStyle name="Table Style 1" pivot="0" count="0" xr9:uid="{00000000-0011-0000-FFFF-FFFF01000000}"/>
  </tableStyles>
  <colors>
    <mruColors>
      <color rgb="FFFA7272"/>
      <color rgb="FFCC0000"/>
      <color rgb="FFFF66FF"/>
      <color rgb="FFC53AE6"/>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2606902" cy="829469"/>
    <xdr:pic>
      <xdr:nvPicPr>
        <xdr:cNvPr id="2" name="Image 2" descr="C:\Users\nma\AppData\Local\Microsoft\Windows\INetCache\Content.Outlook\K4E67URS\matinfo-logo.png">
          <a:extLst>
            <a:ext uri="{FF2B5EF4-FFF2-40B4-BE49-F238E27FC236}">
              <a16:creationId xmlns:a16="http://schemas.microsoft.com/office/drawing/2014/main" id="{F7671538-DFC1-4A0A-A737-1F414A6C9A6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606902" cy="829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2606902" cy="829469"/>
    <xdr:pic>
      <xdr:nvPicPr>
        <xdr:cNvPr id="5" name="Image 2" descr="C:\Users\nma\AppData\Local\Microsoft\Windows\INetCache\Content.Outlook\K4E67URS\matinfo-logo.png">
          <a:extLst>
            <a:ext uri="{FF2B5EF4-FFF2-40B4-BE49-F238E27FC236}">
              <a16:creationId xmlns:a16="http://schemas.microsoft.com/office/drawing/2014/main" id="{C64A5EDE-581E-4FFE-962B-0C1292B9478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606902" cy="829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2606902" cy="829469"/>
    <xdr:pic>
      <xdr:nvPicPr>
        <xdr:cNvPr id="2" name="Image 2" descr="C:\Users\nma\AppData\Local\Microsoft\Windows\INetCache\Content.Outlook\K4E67URS\matinfo-logo.png">
          <a:extLst>
            <a:ext uri="{FF2B5EF4-FFF2-40B4-BE49-F238E27FC236}">
              <a16:creationId xmlns:a16="http://schemas.microsoft.com/office/drawing/2014/main" id="{BFBC3E21-11C7-4CF0-8A6D-B4ACDD8CB16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606902" cy="829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0</xdr:row>
      <xdr:rowOff>0</xdr:rowOff>
    </xdr:from>
    <xdr:ext cx="2606902" cy="829469"/>
    <xdr:pic>
      <xdr:nvPicPr>
        <xdr:cNvPr id="4" name="Image 2" descr="C:\Users\nma\AppData\Local\Microsoft\Windows\INetCache\Content.Outlook\K4E67URS\matinfo-logo.png">
          <a:extLst>
            <a:ext uri="{FF2B5EF4-FFF2-40B4-BE49-F238E27FC236}">
              <a16:creationId xmlns:a16="http://schemas.microsoft.com/office/drawing/2014/main" id="{937B72C3-E1C2-4ED6-B946-A0F4630D9F2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606902" cy="829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5.xml><?xml version="1.0" encoding="utf-8"?>
<xdr:wsDr xmlns:xdr="http://schemas.openxmlformats.org/drawingml/2006/spreadsheetDrawing" xmlns:a="http://schemas.openxmlformats.org/drawingml/2006/main">
  <xdr:oneCellAnchor>
    <xdr:from>
      <xdr:col>0</xdr:col>
      <xdr:colOff>0</xdr:colOff>
      <xdr:row>0</xdr:row>
      <xdr:rowOff>0</xdr:rowOff>
    </xdr:from>
    <xdr:ext cx="2606902" cy="829469"/>
    <xdr:pic>
      <xdr:nvPicPr>
        <xdr:cNvPr id="2" name="Image 2" descr="C:\Users\nma\AppData\Local\Microsoft\Windows\INetCache\Content.Outlook\K4E67URS\matinfo-logo.png">
          <a:extLst>
            <a:ext uri="{FF2B5EF4-FFF2-40B4-BE49-F238E27FC236}">
              <a16:creationId xmlns:a16="http://schemas.microsoft.com/office/drawing/2014/main" id="{9F6A3B7A-C9E6-4517-8F4E-9D3C56D57C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606902" cy="829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6.xml><?xml version="1.0" encoding="utf-8"?>
<xdr:wsDr xmlns:xdr="http://schemas.openxmlformats.org/drawingml/2006/spreadsheetDrawing" xmlns:a="http://schemas.openxmlformats.org/drawingml/2006/main">
  <xdr:oneCellAnchor>
    <xdr:from>
      <xdr:col>0</xdr:col>
      <xdr:colOff>0</xdr:colOff>
      <xdr:row>0</xdr:row>
      <xdr:rowOff>0</xdr:rowOff>
    </xdr:from>
    <xdr:ext cx="2606902" cy="829469"/>
    <xdr:pic>
      <xdr:nvPicPr>
        <xdr:cNvPr id="4" name="Image 2" descr="C:\Users\nma\AppData\Local\Microsoft\Windows\INetCache\Content.Outlook\K4E67URS\matinfo-logo.png">
          <a:extLst>
            <a:ext uri="{FF2B5EF4-FFF2-40B4-BE49-F238E27FC236}">
              <a16:creationId xmlns:a16="http://schemas.microsoft.com/office/drawing/2014/main" id="{077D6A13-68FB-4C37-8E0D-310E28D0E6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606902" cy="829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D57"/>
  <sheetViews>
    <sheetView tabSelected="1" topLeftCell="A47" zoomScaleNormal="100" workbookViewId="0">
      <selection activeCell="B51" sqref="B51:B57"/>
    </sheetView>
  </sheetViews>
  <sheetFormatPr baseColWidth="10" defaultColWidth="9.44140625" defaultRowHeight="13.8"/>
  <cols>
    <col min="1" max="1" width="29.5546875" style="236" customWidth="1"/>
    <col min="2" max="2" width="20.44140625" style="236" customWidth="1"/>
    <col min="3" max="3" width="9.44140625" style="236"/>
    <col min="4" max="4" width="110.6640625" style="236" customWidth="1"/>
    <col min="5" max="16384" width="9.44140625" style="236"/>
  </cols>
  <sheetData>
    <row r="2" spans="1:4" ht="27.6">
      <c r="A2" s="240" t="s">
        <v>0</v>
      </c>
      <c r="B2" s="240" t="s">
        <v>1</v>
      </c>
      <c r="C2" s="213" t="s">
        <v>2</v>
      </c>
      <c r="D2" s="213" t="s">
        <v>3</v>
      </c>
    </row>
    <row r="3" spans="1:4">
      <c r="A3" s="239"/>
      <c r="B3" s="238">
        <v>44440</v>
      </c>
      <c r="C3" s="178" t="s">
        <v>4</v>
      </c>
      <c r="D3" s="95" t="s">
        <v>5</v>
      </c>
    </row>
    <row r="4" spans="1:4">
      <c r="A4" s="384">
        <v>44477</v>
      </c>
      <c r="B4" s="385" t="s">
        <v>6</v>
      </c>
      <c r="C4" s="383" t="s">
        <v>7</v>
      </c>
      <c r="D4" s="95" t="s">
        <v>8</v>
      </c>
    </row>
    <row r="5" spans="1:4">
      <c r="A5" s="384"/>
      <c r="B5" s="385"/>
      <c r="C5" s="383"/>
      <c r="D5" s="95" t="s">
        <v>9</v>
      </c>
    </row>
    <row r="6" spans="1:4">
      <c r="A6" s="384">
        <v>44558</v>
      </c>
      <c r="B6" s="385" t="s">
        <v>10</v>
      </c>
      <c r="C6" s="383" t="s">
        <v>11</v>
      </c>
      <c r="D6" s="241" t="s">
        <v>12</v>
      </c>
    </row>
    <row r="7" spans="1:4">
      <c r="A7" s="384"/>
      <c r="B7" s="385"/>
      <c r="C7" s="383"/>
      <c r="D7" s="241" t="s">
        <v>13</v>
      </c>
    </row>
    <row r="8" spans="1:4">
      <c r="A8" s="384"/>
      <c r="B8" s="385"/>
      <c r="C8" s="383"/>
      <c r="D8" s="241" t="s">
        <v>14</v>
      </c>
    </row>
    <row r="9" spans="1:4">
      <c r="A9" s="384"/>
      <c r="B9" s="385"/>
      <c r="C9" s="383"/>
      <c r="D9" s="241" t="s">
        <v>15</v>
      </c>
    </row>
    <row r="10" spans="1:4">
      <c r="A10" s="384"/>
      <c r="B10" s="385"/>
      <c r="C10" s="383"/>
      <c r="D10" s="241" t="s">
        <v>16</v>
      </c>
    </row>
    <row r="11" spans="1:4">
      <c r="A11" s="384"/>
      <c r="B11" s="385"/>
      <c r="C11" s="383"/>
      <c r="D11" s="241" t="s">
        <v>17</v>
      </c>
    </row>
    <row r="12" spans="1:4">
      <c r="A12" s="384"/>
      <c r="B12" s="385"/>
      <c r="C12" s="383"/>
      <c r="D12" s="241" t="s">
        <v>18</v>
      </c>
    </row>
    <row r="13" spans="1:4">
      <c r="A13" s="384"/>
      <c r="B13" s="385"/>
      <c r="C13" s="383"/>
      <c r="D13" s="241" t="s">
        <v>19</v>
      </c>
    </row>
    <row r="14" spans="1:4" ht="43.35" customHeight="1">
      <c r="A14" s="384">
        <v>44630</v>
      </c>
      <c r="B14" s="384" t="s">
        <v>20</v>
      </c>
      <c r="C14" s="383" t="s">
        <v>21</v>
      </c>
      <c r="D14" s="241" t="s">
        <v>22</v>
      </c>
    </row>
    <row r="15" spans="1:4">
      <c r="A15" s="384"/>
      <c r="B15" s="384"/>
      <c r="C15" s="383"/>
      <c r="D15" s="241" t="s">
        <v>23</v>
      </c>
    </row>
    <row r="16" spans="1:4">
      <c r="A16" s="384"/>
      <c r="B16" s="384"/>
      <c r="C16" s="383"/>
      <c r="D16" s="241" t="s">
        <v>24</v>
      </c>
    </row>
    <row r="17" spans="1:4">
      <c r="A17" s="384"/>
      <c r="B17" s="384"/>
      <c r="C17" s="383"/>
      <c r="D17" s="241" t="s">
        <v>25</v>
      </c>
    </row>
    <row r="18" spans="1:4">
      <c r="A18" s="384"/>
      <c r="B18" s="384"/>
      <c r="C18" s="383"/>
      <c r="D18" s="241" t="s">
        <v>26</v>
      </c>
    </row>
    <row r="19" spans="1:4">
      <c r="A19" s="384"/>
      <c r="B19" s="384"/>
      <c r="C19" s="383"/>
      <c r="D19" s="241" t="s">
        <v>27</v>
      </c>
    </row>
    <row r="20" spans="1:4">
      <c r="A20" s="384">
        <v>44686</v>
      </c>
      <c r="B20" s="384" t="s">
        <v>28</v>
      </c>
      <c r="C20" s="383" t="s">
        <v>29</v>
      </c>
      <c r="D20" s="241" t="s">
        <v>30</v>
      </c>
    </row>
    <row r="21" spans="1:4">
      <c r="A21" s="384"/>
      <c r="B21" s="384"/>
      <c r="C21" s="383"/>
      <c r="D21" s="241" t="s">
        <v>31</v>
      </c>
    </row>
    <row r="22" spans="1:4">
      <c r="A22" s="384"/>
      <c r="B22" s="384"/>
      <c r="C22" s="383"/>
      <c r="D22" s="241" t="s">
        <v>32</v>
      </c>
    </row>
    <row r="23" spans="1:4">
      <c r="A23" s="384"/>
      <c r="B23" s="384"/>
      <c r="C23" s="383"/>
      <c r="D23" s="241" t="s">
        <v>33</v>
      </c>
    </row>
    <row r="24" spans="1:4">
      <c r="A24" s="384"/>
      <c r="B24" s="384"/>
      <c r="C24" s="383"/>
      <c r="D24" s="241" t="s">
        <v>34</v>
      </c>
    </row>
    <row r="25" spans="1:4">
      <c r="A25" s="384">
        <v>44795</v>
      </c>
      <c r="B25" s="384">
        <v>44824</v>
      </c>
      <c r="C25" s="383" t="s">
        <v>35</v>
      </c>
      <c r="D25" s="241" t="s">
        <v>36</v>
      </c>
    </row>
    <row r="26" spans="1:4">
      <c r="A26" s="384"/>
      <c r="B26" s="384"/>
      <c r="C26" s="383"/>
      <c r="D26" s="241" t="s">
        <v>37</v>
      </c>
    </row>
    <row r="27" spans="1:4">
      <c r="A27" s="384"/>
      <c r="B27" s="384"/>
      <c r="C27" s="383"/>
      <c r="D27" s="241" t="s">
        <v>38</v>
      </c>
    </row>
    <row r="28" spans="1:4" ht="27.6">
      <c r="A28" s="384"/>
      <c r="B28" s="384"/>
      <c r="C28" s="383"/>
      <c r="D28" s="241" t="s">
        <v>39</v>
      </c>
    </row>
    <row r="29" spans="1:4">
      <c r="A29" s="384"/>
      <c r="B29" s="384"/>
      <c r="C29" s="383"/>
      <c r="D29" s="241" t="s">
        <v>40</v>
      </c>
    </row>
    <row r="30" spans="1:4">
      <c r="A30" s="384"/>
      <c r="B30" s="384"/>
      <c r="C30" s="383"/>
      <c r="D30" s="241" t="s">
        <v>41</v>
      </c>
    </row>
    <row r="31" spans="1:4">
      <c r="A31" s="384"/>
      <c r="B31" s="384"/>
      <c r="C31" s="383"/>
      <c r="D31" s="241" t="s">
        <v>42</v>
      </c>
    </row>
    <row r="32" spans="1:4" ht="27.6">
      <c r="A32" s="384">
        <v>44917</v>
      </c>
      <c r="B32" s="384">
        <v>44963</v>
      </c>
      <c r="C32" s="383" t="s">
        <v>43</v>
      </c>
      <c r="D32" s="241" t="s">
        <v>44</v>
      </c>
    </row>
    <row r="33" spans="1:4">
      <c r="A33" s="384"/>
      <c r="B33" s="384"/>
      <c r="C33" s="383"/>
      <c r="D33" s="241" t="s">
        <v>45</v>
      </c>
    </row>
    <row r="34" spans="1:4">
      <c r="A34" s="384"/>
      <c r="B34" s="384"/>
      <c r="C34" s="383"/>
      <c r="D34" s="241" t="s">
        <v>46</v>
      </c>
    </row>
    <row r="35" spans="1:4" ht="27.6">
      <c r="A35" s="384"/>
      <c r="B35" s="384"/>
      <c r="C35" s="383"/>
      <c r="D35" s="241" t="s">
        <v>47</v>
      </c>
    </row>
    <row r="36" spans="1:4">
      <c r="A36" s="384"/>
      <c r="B36" s="384"/>
      <c r="C36" s="383"/>
      <c r="D36" s="241" t="s">
        <v>48</v>
      </c>
    </row>
    <row r="37" spans="1:4">
      <c r="A37" s="384"/>
      <c r="B37" s="384"/>
      <c r="C37" s="383"/>
      <c r="D37" s="241" t="s">
        <v>49</v>
      </c>
    </row>
    <row r="38" spans="1:4" ht="163.35" customHeight="1">
      <c r="A38" s="238">
        <v>45015</v>
      </c>
      <c r="B38" s="238">
        <v>45047</v>
      </c>
      <c r="C38" s="178" t="s">
        <v>50</v>
      </c>
      <c r="D38" s="241" t="s">
        <v>51</v>
      </c>
    </row>
    <row r="39" spans="1:4" ht="69">
      <c r="A39" s="246">
        <v>45078</v>
      </c>
      <c r="B39" s="246">
        <v>45089</v>
      </c>
      <c r="C39" s="252" t="s">
        <v>52</v>
      </c>
      <c r="D39" s="250" t="s">
        <v>53</v>
      </c>
    </row>
    <row r="40" spans="1:4" ht="27.6">
      <c r="A40" s="384">
        <v>45128</v>
      </c>
      <c r="B40" s="384">
        <v>45173</v>
      </c>
      <c r="C40" s="383" t="s">
        <v>54</v>
      </c>
      <c r="D40" s="247" t="s">
        <v>55</v>
      </c>
    </row>
    <row r="41" spans="1:4">
      <c r="A41" s="384"/>
      <c r="B41" s="384"/>
      <c r="C41" s="383"/>
      <c r="D41" s="251" t="s">
        <v>56</v>
      </c>
    </row>
    <row r="42" spans="1:4">
      <c r="A42" s="384"/>
      <c r="B42" s="384"/>
      <c r="C42" s="383"/>
      <c r="D42" s="247" t="s">
        <v>57</v>
      </c>
    </row>
    <row r="43" spans="1:4">
      <c r="A43" s="384"/>
      <c r="B43" s="384"/>
      <c r="C43" s="383"/>
      <c r="D43" s="247" t="s">
        <v>58</v>
      </c>
    </row>
    <row r="44" spans="1:4">
      <c r="A44" s="384"/>
      <c r="B44" s="384"/>
      <c r="C44" s="383"/>
      <c r="D44" s="241" t="s">
        <v>59</v>
      </c>
    </row>
    <row r="45" spans="1:4" ht="130.5" customHeight="1">
      <c r="A45" s="238">
        <v>45271</v>
      </c>
      <c r="B45" s="238">
        <v>45306</v>
      </c>
      <c r="C45" s="178" t="s">
        <v>60</v>
      </c>
      <c r="D45" s="241" t="s">
        <v>61</v>
      </c>
    </row>
    <row r="46" spans="1:4" ht="124.2">
      <c r="A46" s="238">
        <v>45448</v>
      </c>
      <c r="B46" s="238">
        <v>45474</v>
      </c>
      <c r="C46" s="178" t="s">
        <v>62</v>
      </c>
      <c r="D46" s="241" t="s">
        <v>63</v>
      </c>
    </row>
    <row r="47" spans="1:4" ht="179.4">
      <c r="A47" s="238">
        <v>45484</v>
      </c>
      <c r="B47" s="238">
        <v>45331</v>
      </c>
      <c r="C47" s="178" t="s">
        <v>64</v>
      </c>
      <c r="D47" s="241" t="s">
        <v>65</v>
      </c>
    </row>
    <row r="48" spans="1:4" ht="96.6">
      <c r="A48" s="238">
        <v>45605</v>
      </c>
      <c r="B48" s="238" t="s">
        <v>66</v>
      </c>
      <c r="C48" s="178" t="s">
        <v>67</v>
      </c>
      <c r="D48" s="241" t="s">
        <v>68</v>
      </c>
    </row>
    <row r="49" spans="1:4" ht="110.4">
      <c r="A49" s="238">
        <v>45575</v>
      </c>
      <c r="B49" s="238">
        <v>45588</v>
      </c>
      <c r="C49" s="178" t="s">
        <v>69</v>
      </c>
      <c r="D49" s="280" t="s">
        <v>70</v>
      </c>
    </row>
    <row r="50" spans="1:4" ht="69">
      <c r="A50" s="238">
        <v>45933</v>
      </c>
      <c r="B50" s="238" t="s">
        <v>71</v>
      </c>
      <c r="C50" s="178" t="s">
        <v>72</v>
      </c>
      <c r="D50" s="313" t="s">
        <v>73</v>
      </c>
    </row>
    <row r="51" spans="1:4">
      <c r="A51" s="384">
        <v>45860</v>
      </c>
      <c r="B51" s="384">
        <v>45873</v>
      </c>
      <c r="C51" s="386" t="s">
        <v>1708</v>
      </c>
      <c r="D51" s="314" t="s">
        <v>1908</v>
      </c>
    </row>
    <row r="52" spans="1:4">
      <c r="A52" s="383"/>
      <c r="B52" s="383"/>
      <c r="C52" s="386"/>
      <c r="D52" s="315" t="s">
        <v>1909</v>
      </c>
    </row>
    <row r="53" spans="1:4">
      <c r="A53" s="383"/>
      <c r="B53" s="383"/>
      <c r="C53" s="386"/>
      <c r="D53" s="315" t="s">
        <v>1910</v>
      </c>
    </row>
    <row r="54" spans="1:4">
      <c r="A54" s="383"/>
      <c r="B54" s="383"/>
      <c r="C54" s="386"/>
      <c r="D54" s="315" t="s">
        <v>1911</v>
      </c>
    </row>
    <row r="55" spans="1:4">
      <c r="A55" s="383"/>
      <c r="B55" s="383"/>
      <c r="C55" s="386"/>
      <c r="D55" s="315" t="s">
        <v>1709</v>
      </c>
    </row>
    <row r="56" spans="1:4">
      <c r="A56" s="383"/>
      <c r="B56" s="383"/>
      <c r="C56" s="386"/>
      <c r="D56" s="315" t="s">
        <v>1710</v>
      </c>
    </row>
    <row r="57" spans="1:4">
      <c r="A57" s="383"/>
      <c r="B57" s="383"/>
      <c r="C57" s="386"/>
      <c r="D57" s="316" t="s">
        <v>1912</v>
      </c>
    </row>
  </sheetData>
  <mergeCells count="24">
    <mergeCell ref="C51:C57"/>
    <mergeCell ref="A51:A57"/>
    <mergeCell ref="B51:B57"/>
    <mergeCell ref="C14:C19"/>
    <mergeCell ref="B14:B19"/>
    <mergeCell ref="A14:A19"/>
    <mergeCell ref="A20:A24"/>
    <mergeCell ref="C20:C24"/>
    <mergeCell ref="B20:B24"/>
    <mergeCell ref="C25:C31"/>
    <mergeCell ref="B25:B31"/>
    <mergeCell ref="C40:C44"/>
    <mergeCell ref="B40:B44"/>
    <mergeCell ref="A40:A44"/>
    <mergeCell ref="A32:A37"/>
    <mergeCell ref="A25:A31"/>
    <mergeCell ref="C32:C37"/>
    <mergeCell ref="B32:B37"/>
    <mergeCell ref="A6:A13"/>
    <mergeCell ref="B4:B5"/>
    <mergeCell ref="A4:A5"/>
    <mergeCell ref="C4:C5"/>
    <mergeCell ref="C6:C13"/>
    <mergeCell ref="B6:B13"/>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J84"/>
  <sheetViews>
    <sheetView zoomScaleNormal="100" workbookViewId="0">
      <selection activeCell="C32" sqref="C32"/>
    </sheetView>
  </sheetViews>
  <sheetFormatPr baseColWidth="10" defaultColWidth="69.5546875" defaultRowHeight="13.8"/>
  <cols>
    <col min="1" max="1" width="101.44140625" style="242" bestFit="1" customWidth="1"/>
    <col min="2" max="3" width="17.5546875" style="242" bestFit="1" customWidth="1"/>
    <col min="4" max="4" width="30.5546875" style="242" bestFit="1" customWidth="1"/>
    <col min="5" max="5" width="18.5546875" style="242" bestFit="1" customWidth="1"/>
    <col min="6" max="6" width="17.44140625" style="242" bestFit="1" customWidth="1"/>
    <col min="7" max="7" width="15.6640625" style="242" bestFit="1" customWidth="1"/>
    <col min="8" max="8" width="17.6640625" style="242" bestFit="1" customWidth="1"/>
    <col min="9" max="9" width="23.44140625" style="243" bestFit="1" customWidth="1"/>
    <col min="10" max="10" width="11" style="243" customWidth="1"/>
    <col min="11" max="16384" width="69.5546875" style="243"/>
  </cols>
  <sheetData>
    <row r="1" spans="1:9">
      <c r="A1" s="214" t="s">
        <v>74</v>
      </c>
      <c r="B1" s="36" t="s">
        <v>75</v>
      </c>
      <c r="C1" s="36" t="s">
        <v>76</v>
      </c>
      <c r="D1" s="36" t="s">
        <v>77</v>
      </c>
      <c r="E1" s="36" t="s">
        <v>78</v>
      </c>
      <c r="F1" s="249"/>
      <c r="G1" s="249"/>
      <c r="H1" s="249"/>
      <c r="I1" s="249"/>
    </row>
    <row r="2" spans="1:9">
      <c r="A2" s="390" t="s">
        <v>79</v>
      </c>
      <c r="B2" s="390"/>
      <c r="C2" s="390"/>
      <c r="D2" s="390"/>
      <c r="E2" s="390"/>
      <c r="F2" s="249"/>
      <c r="G2" s="249"/>
      <c r="H2" s="249"/>
      <c r="I2" s="249"/>
    </row>
    <row r="3" spans="1:9">
      <c r="A3" s="245" t="s">
        <v>80</v>
      </c>
      <c r="B3" s="192">
        <v>82</v>
      </c>
      <c r="C3" s="392"/>
      <c r="D3" s="392"/>
      <c r="E3" s="392"/>
      <c r="F3" s="249"/>
      <c r="G3" s="249"/>
      <c r="H3" s="249"/>
      <c r="I3" s="168"/>
    </row>
    <row r="4" spans="1:9">
      <c r="A4" s="233" t="s">
        <v>81</v>
      </c>
      <c r="B4" s="195"/>
      <c r="C4" s="195"/>
      <c r="D4" s="195"/>
      <c r="E4" s="211"/>
      <c r="F4" s="249"/>
      <c r="G4" s="249"/>
      <c r="H4" s="249"/>
      <c r="I4" s="168"/>
    </row>
    <row r="5" spans="1:9">
      <c r="A5" s="68" t="s">
        <v>1689</v>
      </c>
      <c r="B5" s="106"/>
      <c r="C5" s="149">
        <v>156</v>
      </c>
      <c r="D5" s="149">
        <v>75</v>
      </c>
      <c r="E5" s="211"/>
      <c r="F5" s="249"/>
      <c r="G5" s="249"/>
      <c r="H5" s="249"/>
      <c r="I5" s="168"/>
    </row>
    <row r="6" spans="1:9">
      <c r="A6" s="68" t="s">
        <v>82</v>
      </c>
      <c r="B6" s="393"/>
      <c r="C6" s="394"/>
      <c r="D6" s="195"/>
      <c r="E6" s="211"/>
      <c r="F6" s="249"/>
      <c r="G6" s="249"/>
      <c r="H6" s="249"/>
      <c r="I6" s="168"/>
    </row>
    <row r="7" spans="1:9">
      <c r="A7" s="244" t="s">
        <v>1692</v>
      </c>
      <c r="B7" s="106"/>
      <c r="C7" s="309"/>
      <c r="D7" s="149">
        <v>193</v>
      </c>
      <c r="E7" s="211"/>
      <c r="F7" s="249"/>
      <c r="G7" s="249"/>
      <c r="H7" s="249"/>
      <c r="I7" s="168"/>
    </row>
    <row r="8" spans="1:9">
      <c r="A8" s="245" t="s">
        <v>83</v>
      </c>
      <c r="B8" s="192">
        <v>209</v>
      </c>
      <c r="C8" s="389"/>
      <c r="D8" s="389"/>
      <c r="E8" s="389"/>
      <c r="F8" s="249"/>
      <c r="G8" s="249"/>
      <c r="H8" s="249"/>
      <c r="I8" s="168"/>
    </row>
    <row r="9" spans="1:9">
      <c r="A9" s="233" t="s">
        <v>84</v>
      </c>
      <c r="B9" s="207"/>
      <c r="C9" s="20"/>
      <c r="D9" s="20"/>
      <c r="E9" s="211"/>
      <c r="G9" s="249"/>
      <c r="H9" s="249"/>
      <c r="I9" s="168"/>
    </row>
    <row r="10" spans="1:9">
      <c r="A10" s="233" t="s">
        <v>1896</v>
      </c>
      <c r="B10" s="207"/>
      <c r="C10" s="149">
        <v>150</v>
      </c>
      <c r="D10" s="20"/>
      <c r="E10" s="211"/>
      <c r="G10" s="249"/>
      <c r="H10" s="249"/>
      <c r="I10" s="168"/>
    </row>
    <row r="11" spans="1:9">
      <c r="A11" s="142" t="s">
        <v>85</v>
      </c>
      <c r="B11" s="195"/>
      <c r="C11" s="20"/>
      <c r="D11" s="20"/>
      <c r="E11" s="211"/>
      <c r="F11" s="249"/>
      <c r="G11" s="249"/>
      <c r="H11" s="249"/>
      <c r="I11" s="168"/>
    </row>
    <row r="12" spans="1:9">
      <c r="A12" s="68" t="s">
        <v>86</v>
      </c>
      <c r="B12" s="195"/>
      <c r="C12" s="20"/>
      <c r="D12" s="20"/>
      <c r="E12" s="25"/>
      <c r="F12" s="249"/>
      <c r="G12" s="249"/>
      <c r="H12" s="249"/>
      <c r="I12" s="168"/>
    </row>
    <row r="13" spans="1:9">
      <c r="A13" s="68" t="s">
        <v>1690</v>
      </c>
      <c r="B13" s="106"/>
      <c r="C13" s="149">
        <v>150</v>
      </c>
      <c r="D13" s="20"/>
      <c r="E13" s="25"/>
      <c r="F13" s="249"/>
      <c r="G13" s="249"/>
      <c r="H13" s="249"/>
      <c r="I13" s="168"/>
    </row>
    <row r="14" spans="1:9">
      <c r="A14" s="68" t="s">
        <v>87</v>
      </c>
      <c r="B14" s="393"/>
      <c r="C14" s="393"/>
      <c r="D14" s="20"/>
      <c r="E14" s="25"/>
      <c r="F14" s="249"/>
      <c r="G14" s="249"/>
      <c r="H14" s="249"/>
      <c r="I14" s="168"/>
    </row>
    <row r="15" spans="1:9">
      <c r="A15" s="68" t="s">
        <v>1691</v>
      </c>
      <c r="B15" s="106"/>
      <c r="C15" s="299"/>
      <c r="D15" s="149">
        <v>204</v>
      </c>
      <c r="E15" s="25"/>
      <c r="F15" s="249"/>
      <c r="G15" s="249"/>
      <c r="H15" s="249"/>
      <c r="I15" s="168"/>
    </row>
    <row r="16" spans="1:9">
      <c r="A16" s="233" t="s">
        <v>88</v>
      </c>
      <c r="B16" s="195"/>
      <c r="C16" s="25"/>
      <c r="D16" s="25"/>
      <c r="E16" s="149">
        <v>122</v>
      </c>
      <c r="F16" s="249"/>
      <c r="G16" s="249"/>
      <c r="H16" s="249"/>
      <c r="I16" s="168"/>
    </row>
    <row r="17" spans="1:10">
      <c r="A17" s="233" t="s">
        <v>811</v>
      </c>
      <c r="B17" s="195"/>
      <c r="C17" s="25"/>
      <c r="D17" s="25"/>
      <c r="E17" s="149">
        <v>249</v>
      </c>
      <c r="F17" s="249"/>
      <c r="G17" s="249"/>
      <c r="H17" s="249"/>
      <c r="I17" s="168"/>
    </row>
    <row r="18" spans="1:10">
      <c r="A18" s="233" t="s">
        <v>815</v>
      </c>
      <c r="B18" s="195"/>
      <c r="C18" s="25"/>
      <c r="D18" s="25"/>
      <c r="E18" s="149">
        <v>362</v>
      </c>
      <c r="F18" s="249"/>
      <c r="G18" s="249"/>
      <c r="H18" s="249"/>
      <c r="I18" s="168"/>
    </row>
    <row r="19" spans="1:10">
      <c r="A19" s="233" t="s">
        <v>1985</v>
      </c>
      <c r="B19" s="195"/>
      <c r="C19" s="149">
        <v>335</v>
      </c>
      <c r="D19" s="149">
        <v>260</v>
      </c>
      <c r="E19" s="321"/>
      <c r="F19" s="249"/>
      <c r="G19" s="249"/>
      <c r="I19" s="168"/>
      <c r="J19" s="327"/>
    </row>
    <row r="20" spans="1:10" ht="14.4">
      <c r="A20" s="233" t="s">
        <v>1984</v>
      </c>
      <c r="B20" s="207"/>
      <c r="C20" s="326"/>
      <c r="D20" s="149">
        <v>82</v>
      </c>
      <c r="E20" s="149">
        <v>55</v>
      </c>
      <c r="F20" s="249"/>
      <c r="G20" s="297"/>
      <c r="I20" s="168"/>
      <c r="J20" s="328"/>
    </row>
    <row r="21" spans="1:10" ht="14.4">
      <c r="A21" s="155" t="s">
        <v>1913</v>
      </c>
      <c r="B21" s="207"/>
      <c r="C21" s="326"/>
      <c r="D21" s="149">
        <v>75</v>
      </c>
      <c r="E21" s="329"/>
      <c r="F21" s="249"/>
      <c r="G21" s="297"/>
      <c r="I21" s="168"/>
      <c r="J21" s="328"/>
    </row>
    <row r="22" spans="1:10" ht="14.4">
      <c r="A22" s="155" t="s">
        <v>1914</v>
      </c>
      <c r="B22" s="207"/>
      <c r="C22" s="326"/>
      <c r="D22" s="149">
        <v>157</v>
      </c>
      <c r="E22" s="149">
        <v>122</v>
      </c>
      <c r="F22" s="249"/>
      <c r="G22" s="297"/>
      <c r="I22" s="168"/>
      <c r="J22" s="328"/>
    </row>
    <row r="23" spans="1:10" ht="14.4">
      <c r="A23" s="155" t="s">
        <v>1915</v>
      </c>
      <c r="B23" s="207"/>
      <c r="C23" s="326"/>
      <c r="D23" s="149">
        <v>110</v>
      </c>
      <c r="E23" s="149">
        <v>110</v>
      </c>
      <c r="F23" s="249"/>
      <c r="G23" s="297"/>
      <c r="I23" s="168"/>
      <c r="J23" s="328"/>
    </row>
    <row r="24" spans="1:10" ht="14.4">
      <c r="A24" s="155" t="s">
        <v>1916</v>
      </c>
      <c r="B24" s="207"/>
      <c r="C24" s="326"/>
      <c r="D24" s="149">
        <v>155</v>
      </c>
      <c r="E24" s="149">
        <v>160</v>
      </c>
      <c r="F24" s="249"/>
      <c r="G24" s="297"/>
      <c r="I24" s="168"/>
      <c r="J24" s="328"/>
    </row>
    <row r="25" spans="1:10" ht="14.4">
      <c r="A25" s="155" t="s">
        <v>1917</v>
      </c>
      <c r="B25" s="325"/>
      <c r="C25" s="325"/>
      <c r="D25" s="149">
        <v>190</v>
      </c>
      <c r="E25" s="149">
        <v>160</v>
      </c>
      <c r="F25" s="249"/>
      <c r="G25" s="297"/>
      <c r="H25" s="168"/>
      <c r="I25" s="168"/>
      <c r="J25" s="328"/>
    </row>
    <row r="26" spans="1:10">
      <c r="A26" s="155" t="s">
        <v>1918</v>
      </c>
      <c r="B26" s="325"/>
      <c r="C26" s="325"/>
      <c r="D26" s="149">
        <v>235</v>
      </c>
      <c r="E26" s="149">
        <v>249</v>
      </c>
      <c r="F26" s="249"/>
      <c r="G26" s="243"/>
      <c r="H26" s="168"/>
      <c r="I26" s="168"/>
      <c r="J26" s="327"/>
    </row>
    <row r="27" spans="1:10">
      <c r="A27" s="249"/>
      <c r="B27" s="249"/>
      <c r="C27" s="249"/>
      <c r="D27" s="249"/>
      <c r="E27" s="149"/>
      <c r="F27" s="249"/>
      <c r="G27" s="243"/>
      <c r="H27" s="168"/>
      <c r="I27" s="168"/>
    </row>
    <row r="28" spans="1:10">
      <c r="A28" s="390" t="s">
        <v>89</v>
      </c>
      <c r="B28" s="390"/>
      <c r="C28" s="390"/>
      <c r="D28" s="390"/>
      <c r="E28" s="390"/>
      <c r="F28" s="249"/>
      <c r="G28" s="249"/>
      <c r="H28" s="168"/>
      <c r="I28" s="168"/>
    </row>
    <row r="29" spans="1:10">
      <c r="A29" s="245" t="s">
        <v>90</v>
      </c>
      <c r="B29" s="231">
        <v>64</v>
      </c>
      <c r="C29" s="196"/>
      <c r="D29" s="196"/>
      <c r="E29" s="227"/>
      <c r="F29" s="249"/>
      <c r="G29" s="249"/>
      <c r="H29" s="249"/>
      <c r="I29" s="168"/>
    </row>
    <row r="30" spans="1:10">
      <c r="A30" s="245" t="s">
        <v>91</v>
      </c>
      <c r="B30" s="106"/>
      <c r="C30" s="207"/>
      <c r="D30" s="207"/>
      <c r="E30" s="227"/>
      <c r="F30" s="249"/>
      <c r="G30" s="249"/>
      <c r="H30" s="249"/>
      <c r="I30" s="168"/>
    </row>
    <row r="31" spans="1:10">
      <c r="A31" s="245" t="s">
        <v>1897</v>
      </c>
      <c r="B31" s="106"/>
      <c r="C31" s="224">
        <v>36</v>
      </c>
      <c r="D31" s="207"/>
      <c r="E31" s="227"/>
      <c r="F31" s="249"/>
      <c r="G31" s="249"/>
      <c r="H31" s="249"/>
      <c r="I31" s="168"/>
    </row>
    <row r="32" spans="1:10">
      <c r="A32" s="245" t="s">
        <v>1695</v>
      </c>
      <c r="B32" s="106"/>
      <c r="C32" s="310"/>
      <c r="D32" s="224">
        <v>82</v>
      </c>
      <c r="E32" s="227"/>
      <c r="F32" s="249"/>
      <c r="G32" s="249"/>
      <c r="H32" s="249"/>
      <c r="I32" s="168"/>
    </row>
    <row r="33" spans="1:9">
      <c r="A33" s="245" t="s">
        <v>92</v>
      </c>
      <c r="B33" s="224">
        <v>156</v>
      </c>
      <c r="C33" s="196"/>
      <c r="D33" s="207"/>
      <c r="E33" s="196"/>
      <c r="F33" s="249"/>
      <c r="G33" s="249"/>
      <c r="H33" s="249"/>
      <c r="I33" s="168"/>
    </row>
    <row r="34" spans="1:9">
      <c r="A34" s="245" t="s">
        <v>93</v>
      </c>
      <c r="B34" s="195"/>
      <c r="C34" s="207"/>
      <c r="D34" s="207"/>
      <c r="E34" s="196"/>
      <c r="F34" s="249"/>
      <c r="G34" s="249"/>
      <c r="H34" s="249"/>
      <c r="I34" s="168"/>
    </row>
    <row r="35" spans="1:9">
      <c r="A35" s="245" t="s">
        <v>1898</v>
      </c>
      <c r="B35" s="195"/>
      <c r="C35" s="224">
        <v>99</v>
      </c>
      <c r="D35" s="207"/>
      <c r="E35" s="196"/>
      <c r="F35" s="249"/>
      <c r="G35" s="249"/>
      <c r="H35" s="249"/>
      <c r="I35" s="168"/>
    </row>
    <row r="36" spans="1:9">
      <c r="A36" s="245" t="s">
        <v>94</v>
      </c>
      <c r="B36" s="195"/>
      <c r="C36" s="227"/>
      <c r="D36" s="207"/>
      <c r="E36" s="196"/>
      <c r="F36" s="249"/>
      <c r="G36" s="249"/>
      <c r="H36" s="249"/>
      <c r="I36" s="168"/>
    </row>
    <row r="37" spans="1:9">
      <c r="A37" s="245" t="s">
        <v>1693</v>
      </c>
      <c r="B37" s="195"/>
      <c r="C37" s="227"/>
      <c r="D37" s="224">
        <v>97</v>
      </c>
      <c r="E37" s="196"/>
      <c r="F37" s="249"/>
      <c r="G37" s="249"/>
      <c r="H37" s="249"/>
      <c r="I37" s="168"/>
    </row>
    <row r="38" spans="1:9">
      <c r="A38" s="142" t="s">
        <v>95</v>
      </c>
      <c r="B38" s="158"/>
      <c r="C38" s="14"/>
      <c r="D38" s="207"/>
      <c r="E38" s="158"/>
      <c r="F38" s="249"/>
      <c r="G38" s="249"/>
      <c r="H38" s="249"/>
      <c r="I38" s="168"/>
    </row>
    <row r="39" spans="1:9">
      <c r="A39" s="322" t="s">
        <v>1694</v>
      </c>
      <c r="B39" s="323"/>
      <c r="C39" s="324"/>
      <c r="D39" s="224">
        <v>179</v>
      </c>
      <c r="E39" s="323"/>
      <c r="F39" s="249"/>
      <c r="G39" s="249"/>
      <c r="H39" s="249"/>
      <c r="I39" s="168"/>
    </row>
    <row r="40" spans="1:9">
      <c r="A40" s="155" t="s">
        <v>1919</v>
      </c>
      <c r="B40" s="325"/>
      <c r="C40" s="325"/>
      <c r="D40" s="224">
        <v>55</v>
      </c>
      <c r="E40" s="325"/>
      <c r="F40" s="249"/>
      <c r="G40" s="249"/>
      <c r="H40" s="249"/>
      <c r="I40" s="168"/>
    </row>
    <row r="41" spans="1:9">
      <c r="A41" s="155" t="s">
        <v>1920</v>
      </c>
      <c r="B41" s="325"/>
      <c r="C41" s="325"/>
      <c r="D41" s="224">
        <v>75</v>
      </c>
      <c r="E41" s="325"/>
      <c r="F41" s="249"/>
      <c r="G41" s="249"/>
      <c r="H41" s="249"/>
      <c r="I41" s="168"/>
    </row>
    <row r="42" spans="1:9">
      <c r="A42" s="155" t="s">
        <v>1921</v>
      </c>
      <c r="B42" s="325"/>
      <c r="C42" s="325"/>
      <c r="D42" s="224">
        <v>30</v>
      </c>
      <c r="E42" s="325"/>
      <c r="F42" s="249"/>
      <c r="G42" s="249"/>
      <c r="H42" s="249"/>
      <c r="I42" s="168"/>
    </row>
    <row r="43" spans="1:9">
      <c r="A43" s="320" t="s">
        <v>1922</v>
      </c>
      <c r="B43" s="325"/>
      <c r="C43" s="325"/>
      <c r="D43" s="325"/>
      <c r="E43" s="325"/>
      <c r="F43" s="249"/>
      <c r="G43" s="249"/>
      <c r="H43" s="249"/>
      <c r="I43" s="168"/>
    </row>
    <row r="44" spans="1:9">
      <c r="A44" s="320" t="s">
        <v>1923</v>
      </c>
      <c r="B44" s="325"/>
      <c r="C44" s="325"/>
      <c r="D44" s="224">
        <v>155</v>
      </c>
      <c r="E44" s="325"/>
      <c r="F44" s="249"/>
      <c r="G44" s="249"/>
      <c r="H44" s="249"/>
      <c r="I44" s="168"/>
    </row>
    <row r="45" spans="1:9">
      <c r="A45" s="320" t="s">
        <v>1924</v>
      </c>
      <c r="B45" s="325"/>
      <c r="C45" s="325"/>
      <c r="D45" s="224">
        <v>190</v>
      </c>
      <c r="E45" s="325"/>
      <c r="F45" s="249"/>
      <c r="G45" s="249"/>
      <c r="H45" s="249"/>
      <c r="I45" s="168"/>
    </row>
    <row r="46" spans="1:9">
      <c r="A46" s="320" t="s">
        <v>2023</v>
      </c>
      <c r="B46" s="325"/>
      <c r="C46" s="325"/>
      <c r="D46" s="224">
        <v>260</v>
      </c>
      <c r="E46" s="382"/>
      <c r="F46" s="249"/>
      <c r="G46" s="249"/>
      <c r="H46" s="249"/>
      <c r="I46" s="168"/>
    </row>
    <row r="47" spans="1:9">
      <c r="A47" s="320" t="s">
        <v>2024</v>
      </c>
      <c r="B47" s="325"/>
      <c r="C47" s="325"/>
      <c r="D47" s="224">
        <v>335</v>
      </c>
      <c r="E47" s="325"/>
      <c r="F47" s="249"/>
      <c r="G47" s="249"/>
      <c r="H47" s="249"/>
      <c r="I47" s="168"/>
    </row>
    <row r="48" spans="1:9">
      <c r="A48" s="320" t="s">
        <v>2025</v>
      </c>
      <c r="B48" s="325"/>
      <c r="C48" s="325"/>
      <c r="D48" s="224">
        <v>370</v>
      </c>
      <c r="E48" s="325"/>
      <c r="F48" s="249"/>
      <c r="G48" s="249"/>
      <c r="H48" s="249"/>
      <c r="I48" s="168"/>
    </row>
    <row r="49" spans="1:9">
      <c r="A49" s="249"/>
      <c r="B49" s="249"/>
      <c r="C49" s="249"/>
      <c r="D49" s="249"/>
      <c r="E49" s="249"/>
      <c r="F49" s="249"/>
      <c r="G49" s="249"/>
      <c r="H49" s="249"/>
      <c r="I49" s="168"/>
    </row>
    <row r="50" spans="1:9">
      <c r="A50" s="390" t="s">
        <v>96</v>
      </c>
      <c r="B50" s="390"/>
      <c r="C50" s="390"/>
      <c r="D50" s="390"/>
      <c r="E50" s="390"/>
      <c r="F50" s="249"/>
      <c r="G50" s="249"/>
      <c r="H50" s="249"/>
      <c r="I50" s="168"/>
    </row>
    <row r="51" spans="1:9">
      <c r="A51" s="245" t="s">
        <v>97</v>
      </c>
      <c r="B51" s="192">
        <v>41</v>
      </c>
      <c r="C51" s="389"/>
      <c r="D51" s="389"/>
      <c r="E51" s="389"/>
      <c r="F51" s="249"/>
      <c r="G51" s="249"/>
      <c r="H51" s="249"/>
      <c r="I51" s="168"/>
    </row>
    <row r="52" spans="1:9">
      <c r="A52" s="245" t="s">
        <v>98</v>
      </c>
      <c r="B52" s="192">
        <v>128</v>
      </c>
      <c r="C52" s="391">
        <v>82</v>
      </c>
      <c r="D52" s="391"/>
      <c r="E52" s="325"/>
      <c r="F52" s="249"/>
      <c r="G52" s="249"/>
      <c r="H52" s="249"/>
      <c r="I52" s="168"/>
    </row>
    <row r="53" spans="1:9">
      <c r="A53" s="245" t="s">
        <v>99</v>
      </c>
      <c r="B53" s="227"/>
      <c r="C53" s="192">
        <v>183</v>
      </c>
      <c r="D53" s="192">
        <v>183</v>
      </c>
      <c r="E53" s="325"/>
      <c r="F53" s="249"/>
      <c r="G53" s="249"/>
      <c r="H53" s="249"/>
      <c r="I53" s="168"/>
    </row>
    <row r="54" spans="1:9">
      <c r="A54" s="249"/>
      <c r="B54" s="249"/>
      <c r="C54" s="249"/>
      <c r="D54" s="249"/>
      <c r="E54" s="249"/>
      <c r="F54" s="249"/>
      <c r="G54" s="249"/>
      <c r="H54" s="249"/>
      <c r="I54" s="249"/>
    </row>
    <row r="55" spans="1:9">
      <c r="A55" s="390" t="s">
        <v>100</v>
      </c>
      <c r="B55" s="390"/>
      <c r="C55" s="390"/>
      <c r="D55" s="390"/>
      <c r="E55" s="390"/>
      <c r="F55" s="249"/>
      <c r="G55" s="249"/>
      <c r="H55" s="249"/>
      <c r="I55" s="249"/>
    </row>
    <row r="56" spans="1:9">
      <c r="A56" s="245" t="s">
        <v>101</v>
      </c>
      <c r="B56" s="388">
        <v>30</v>
      </c>
      <c r="C56" s="388"/>
      <c r="D56" s="56"/>
      <c r="E56" s="194"/>
      <c r="F56" s="249"/>
      <c r="G56" s="249"/>
      <c r="H56" s="249"/>
      <c r="I56" s="249"/>
    </row>
    <row r="57" spans="1:9">
      <c r="A57" s="245" t="s">
        <v>102</v>
      </c>
      <c r="B57" s="388">
        <v>104</v>
      </c>
      <c r="C57" s="388"/>
      <c r="D57" s="192">
        <v>82</v>
      </c>
      <c r="E57" s="192">
        <v>82</v>
      </c>
      <c r="F57" s="249"/>
      <c r="G57" s="249"/>
      <c r="H57" s="249"/>
      <c r="I57" s="249"/>
    </row>
    <row r="58" spans="1:9">
      <c r="A58" s="249"/>
      <c r="B58" s="249"/>
      <c r="C58" s="249"/>
      <c r="D58" s="249"/>
      <c r="E58" s="249"/>
      <c r="F58" s="249"/>
      <c r="G58" s="249"/>
      <c r="H58" s="249"/>
      <c r="I58" s="249"/>
    </row>
    <row r="59" spans="1:9">
      <c r="A59" s="390" t="s">
        <v>103</v>
      </c>
      <c r="B59" s="390"/>
      <c r="C59" s="390"/>
      <c r="D59" s="390"/>
      <c r="E59" s="390"/>
      <c r="F59" s="249"/>
      <c r="G59" s="249"/>
      <c r="H59" s="249"/>
      <c r="I59" s="249"/>
    </row>
    <row r="60" spans="1:9" ht="41.4">
      <c r="A60" s="142" t="s">
        <v>104</v>
      </c>
      <c r="B60" s="149" t="s">
        <v>105</v>
      </c>
      <c r="C60" s="149" t="s">
        <v>106</v>
      </c>
      <c r="D60" s="149" t="s">
        <v>107</v>
      </c>
      <c r="E60" s="158"/>
      <c r="F60" s="249"/>
      <c r="G60" s="249"/>
      <c r="H60" s="249"/>
      <c r="I60" s="249"/>
    </row>
    <row r="61" spans="1:9" ht="41.4">
      <c r="A61" s="245" t="s">
        <v>108</v>
      </c>
      <c r="B61" s="224" t="s">
        <v>109</v>
      </c>
      <c r="C61" s="149" t="s">
        <v>110</v>
      </c>
      <c r="D61" s="149" t="s">
        <v>111</v>
      </c>
      <c r="E61" s="61" t="s">
        <v>2022</v>
      </c>
      <c r="F61" s="249"/>
      <c r="G61" s="249"/>
      <c r="H61" s="249"/>
    </row>
    <row r="62" spans="1:9">
      <c r="A62" s="94" t="s">
        <v>112</v>
      </c>
      <c r="B62" s="391">
        <v>6</v>
      </c>
      <c r="C62" s="391"/>
      <c r="D62" s="391"/>
      <c r="E62" s="387"/>
      <c r="F62" s="249"/>
      <c r="G62" s="249"/>
      <c r="H62" s="249"/>
    </row>
    <row r="63" spans="1:9">
      <c r="A63" s="94" t="s">
        <v>113</v>
      </c>
      <c r="B63" s="388">
        <v>7</v>
      </c>
      <c r="C63" s="388"/>
      <c r="D63" s="388"/>
      <c r="E63" s="387"/>
      <c r="F63" s="249"/>
      <c r="G63" s="249"/>
      <c r="H63" s="249"/>
    </row>
    <row r="64" spans="1:9">
      <c r="A64" s="62" t="s">
        <v>114</v>
      </c>
      <c r="B64" s="97"/>
      <c r="C64" s="192">
        <v>87</v>
      </c>
      <c r="D64" s="192">
        <v>87</v>
      </c>
      <c r="E64" s="192">
        <v>87</v>
      </c>
      <c r="F64" s="249"/>
      <c r="G64" s="249"/>
      <c r="H64" s="249"/>
    </row>
    <row r="65" spans="1:9">
      <c r="A65" s="62" t="s">
        <v>115</v>
      </c>
      <c r="B65" s="97"/>
      <c r="C65" s="215"/>
      <c r="D65" s="192">
        <v>267</v>
      </c>
      <c r="E65" s="192">
        <v>267</v>
      </c>
      <c r="F65" s="249"/>
      <c r="G65" s="249"/>
      <c r="H65" s="249"/>
    </row>
    <row r="66" spans="1:9" ht="14.4" thickBot="1">
      <c r="A66" s="249"/>
      <c r="B66" s="249"/>
      <c r="C66" s="249"/>
      <c r="D66" s="249"/>
      <c r="E66" s="249"/>
      <c r="F66" s="249"/>
      <c r="G66" s="249"/>
      <c r="H66" s="249"/>
      <c r="I66" s="249"/>
    </row>
    <row r="67" spans="1:9" ht="14.4" thickBot="1">
      <c r="A67" s="70" t="s">
        <v>116</v>
      </c>
      <c r="B67" s="81"/>
      <c r="C67" s="81"/>
      <c r="D67" s="81"/>
      <c r="E67" s="58"/>
      <c r="F67" s="249"/>
      <c r="G67" s="249"/>
      <c r="H67" s="249"/>
      <c r="I67" s="249"/>
    </row>
    <row r="68" spans="1:9">
      <c r="A68" s="124" t="s">
        <v>117</v>
      </c>
      <c r="B68" s="124" t="s">
        <v>118</v>
      </c>
      <c r="C68" s="124" t="s">
        <v>119</v>
      </c>
      <c r="D68" s="124" t="s">
        <v>120</v>
      </c>
      <c r="E68" s="124" t="s">
        <v>121</v>
      </c>
      <c r="F68" s="245" t="s">
        <v>122</v>
      </c>
      <c r="G68" s="245" t="s">
        <v>123</v>
      </c>
      <c r="H68" s="245" t="s">
        <v>124</v>
      </c>
      <c r="I68" s="245" t="s">
        <v>125</v>
      </c>
    </row>
    <row r="69" spans="1:9">
      <c r="A69" s="245" t="s">
        <v>126</v>
      </c>
      <c r="B69" s="248">
        <v>30</v>
      </c>
      <c r="C69" s="248">
        <v>10</v>
      </c>
      <c r="D69" s="215"/>
      <c r="E69" s="248">
        <v>158</v>
      </c>
      <c r="F69" s="215"/>
      <c r="G69" s="215"/>
      <c r="H69" s="248">
        <v>22</v>
      </c>
      <c r="I69" s="248">
        <f>B69+H69</f>
        <v>52</v>
      </c>
    </row>
    <row r="70" spans="1:9">
      <c r="A70" s="245" t="s">
        <v>127</v>
      </c>
      <c r="B70" s="248">
        <v>30</v>
      </c>
      <c r="C70" s="248">
        <v>20</v>
      </c>
      <c r="D70" s="248">
        <v>50</v>
      </c>
      <c r="E70" s="248">
        <v>158</v>
      </c>
      <c r="F70" s="248">
        <v>10</v>
      </c>
      <c r="G70" s="248">
        <v>10</v>
      </c>
      <c r="H70" s="248">
        <v>22</v>
      </c>
      <c r="I70" s="248">
        <f>B70+H70</f>
        <v>52</v>
      </c>
    </row>
    <row r="71" spans="1:9">
      <c r="A71" s="245" t="s">
        <v>128</v>
      </c>
      <c r="B71" s="248">
        <v>60</v>
      </c>
      <c r="C71" s="248">
        <v>20</v>
      </c>
      <c r="D71" s="248">
        <v>80</v>
      </c>
      <c r="E71" s="248">
        <v>158</v>
      </c>
      <c r="F71" s="248">
        <v>10</v>
      </c>
      <c r="G71" s="248">
        <v>10</v>
      </c>
      <c r="H71" s="248">
        <v>22</v>
      </c>
      <c r="I71" s="248">
        <f>B71+H71</f>
        <v>82</v>
      </c>
    </row>
    <row r="72" spans="1:9">
      <c r="A72" s="245" t="s">
        <v>129</v>
      </c>
      <c r="B72" s="248">
        <v>30</v>
      </c>
      <c r="C72" s="248">
        <v>10</v>
      </c>
      <c r="D72" s="248">
        <v>60</v>
      </c>
      <c r="E72" s="248">
        <v>158</v>
      </c>
      <c r="F72" s="248">
        <v>10</v>
      </c>
      <c r="G72" s="248">
        <v>10</v>
      </c>
      <c r="H72" s="248">
        <v>22</v>
      </c>
      <c r="I72" s="248">
        <f>B72+H72</f>
        <v>52</v>
      </c>
    </row>
    <row r="73" spans="1:9">
      <c r="A73" s="249"/>
      <c r="B73" s="249"/>
      <c r="C73" s="249"/>
      <c r="D73" s="249"/>
      <c r="E73" s="249"/>
      <c r="F73" s="249"/>
      <c r="G73" s="249"/>
      <c r="H73" s="249"/>
      <c r="I73" s="249"/>
    </row>
    <row r="74" spans="1:9">
      <c r="A74" s="249" t="s">
        <v>130</v>
      </c>
      <c r="B74" s="249"/>
      <c r="C74" s="249"/>
      <c r="D74" s="249"/>
      <c r="E74" s="249"/>
      <c r="F74" s="249"/>
      <c r="G74" s="249"/>
      <c r="H74" s="249"/>
      <c r="I74" s="249"/>
    </row>
    <row r="75" spans="1:9">
      <c r="A75" s="249" t="s">
        <v>131</v>
      </c>
      <c r="B75" s="249"/>
      <c r="C75" s="249"/>
      <c r="D75" s="249"/>
      <c r="E75" s="249"/>
      <c r="F75" s="249"/>
      <c r="G75" s="249"/>
      <c r="H75" s="249"/>
      <c r="I75" s="244"/>
    </row>
    <row r="76" spans="1:9">
      <c r="A76" s="249" t="s">
        <v>132</v>
      </c>
      <c r="B76" s="249"/>
      <c r="C76" s="249"/>
      <c r="D76" s="249"/>
      <c r="E76" s="249"/>
      <c r="F76" s="249"/>
      <c r="G76" s="249"/>
      <c r="H76" s="249"/>
      <c r="I76" s="244"/>
    </row>
    <row r="77" spans="1:9" ht="14.4" thickBot="1">
      <c r="A77" s="249"/>
      <c r="B77" s="249"/>
      <c r="C77" s="249"/>
      <c r="D77" s="249"/>
      <c r="E77" s="249"/>
      <c r="F77" s="249"/>
      <c r="G77" s="249"/>
      <c r="H77" s="249"/>
      <c r="I77" s="244"/>
    </row>
    <row r="78" spans="1:9" ht="14.4" thickBot="1">
      <c r="A78" s="153" t="s">
        <v>133</v>
      </c>
      <c r="B78" s="101"/>
      <c r="C78" s="101"/>
      <c r="D78" s="101"/>
      <c r="E78" s="93"/>
    </row>
    <row r="79" spans="1:9">
      <c r="A79" s="249" t="s">
        <v>134</v>
      </c>
      <c r="B79" s="249"/>
      <c r="C79" s="249"/>
      <c r="D79" s="249"/>
      <c r="E79" s="249"/>
    </row>
    <row r="80" spans="1:9">
      <c r="A80" s="249" t="s">
        <v>135</v>
      </c>
      <c r="B80" s="249"/>
      <c r="C80" s="249"/>
      <c r="D80" s="249"/>
      <c r="E80" s="249"/>
    </row>
    <row r="81" spans="1:5">
      <c r="A81" s="249" t="s">
        <v>136</v>
      </c>
      <c r="B81" s="249"/>
      <c r="C81" s="249"/>
      <c r="D81" s="249"/>
      <c r="E81" s="249"/>
    </row>
    <row r="82" spans="1:5">
      <c r="A82" s="249"/>
      <c r="B82" s="249"/>
      <c r="C82" s="249"/>
      <c r="D82" s="249"/>
      <c r="E82" s="249"/>
    </row>
    <row r="83" spans="1:5">
      <c r="A83" s="249"/>
      <c r="B83" s="249"/>
      <c r="C83" s="249"/>
      <c r="D83" s="249"/>
      <c r="E83" s="249"/>
    </row>
    <row r="84" spans="1:5">
      <c r="A84" s="249"/>
      <c r="B84" s="249"/>
      <c r="C84" s="249"/>
      <c r="D84" s="249"/>
      <c r="E84" s="249"/>
    </row>
  </sheetData>
  <mergeCells count="16">
    <mergeCell ref="A2:E2"/>
    <mergeCell ref="A28:E28"/>
    <mergeCell ref="A50:E50"/>
    <mergeCell ref="C3:E3"/>
    <mergeCell ref="B6:C6"/>
    <mergeCell ref="C8:E8"/>
    <mergeCell ref="B14:C14"/>
    <mergeCell ref="E62:E63"/>
    <mergeCell ref="B63:D63"/>
    <mergeCell ref="C51:E51"/>
    <mergeCell ref="A55:E55"/>
    <mergeCell ref="B57:C57"/>
    <mergeCell ref="C52:D52"/>
    <mergeCell ref="B56:C56"/>
    <mergeCell ref="A59:E59"/>
    <mergeCell ref="B62:D62"/>
  </mergeCells>
  <phoneticPr fontId="10"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S439"/>
  <sheetViews>
    <sheetView zoomScaleNormal="100" zoomScaleSheetLayoutView="50" workbookViewId="0">
      <pane xSplit="1" topLeftCell="C1" activePane="topRight" state="frozen"/>
      <selection activeCell="A101" sqref="A101"/>
      <selection pane="topRight" activeCell="A6" sqref="A6"/>
    </sheetView>
  </sheetViews>
  <sheetFormatPr baseColWidth="10" defaultColWidth="51.44140625" defaultRowHeight="13.8"/>
  <cols>
    <col min="1" max="1" width="87" style="171" customWidth="1"/>
    <col min="2" max="2" width="112.6640625" style="171" bestFit="1" customWidth="1"/>
    <col min="3" max="3" width="7.33203125" style="237" customWidth="1"/>
    <col min="4" max="4" width="12.6640625" style="237" customWidth="1"/>
    <col min="5" max="5" width="13.6640625" style="205" customWidth="1"/>
    <col min="6" max="6" width="12.33203125" style="205" customWidth="1"/>
    <col min="7" max="9" width="18.6640625" style="205" customWidth="1"/>
    <col min="10" max="10" width="11" style="205" customWidth="1"/>
    <col min="11" max="12" width="14.33203125" style="205" customWidth="1"/>
    <col min="13" max="13" width="10.5546875" style="205" customWidth="1"/>
    <col min="14" max="15" width="14.33203125" style="205" customWidth="1"/>
    <col min="16" max="16" width="12.5546875" style="205" customWidth="1"/>
    <col min="17" max="17" width="17.33203125" style="205" bestFit="1" customWidth="1"/>
    <col min="18" max="18" width="12.5546875" style="205" customWidth="1"/>
    <col min="19" max="21" width="11.5546875" style="162" customWidth="1"/>
    <col min="22" max="22" width="15.33203125" style="167" bestFit="1" customWidth="1"/>
    <col min="23" max="45" width="51.44140625" style="253"/>
    <col min="46" max="16384" width="51.44140625" style="171"/>
  </cols>
  <sheetData>
    <row r="1" spans="1:45">
      <c r="E1" s="205" t="s">
        <v>137</v>
      </c>
    </row>
    <row r="7" spans="1:45" s="177" customFormat="1" ht="15.6">
      <c r="A7" s="128" t="s">
        <v>138</v>
      </c>
      <c r="B7" s="220"/>
      <c r="C7" s="38"/>
      <c r="D7" s="38"/>
      <c r="E7" s="127"/>
      <c r="F7" s="127"/>
      <c r="G7" s="127"/>
      <c r="H7" s="127"/>
      <c r="I7" s="127"/>
      <c r="J7" s="127"/>
      <c r="K7" s="127"/>
      <c r="L7" s="127"/>
      <c r="M7" s="127"/>
      <c r="N7" s="127"/>
      <c r="O7" s="127"/>
      <c r="P7" s="127"/>
      <c r="Q7" s="127"/>
      <c r="R7" s="127"/>
      <c r="S7" s="127"/>
      <c r="T7" s="127"/>
      <c r="U7" s="127"/>
      <c r="V7" s="173"/>
      <c r="W7" s="172"/>
      <c r="X7" s="172"/>
      <c r="Y7" s="172"/>
      <c r="Z7" s="172"/>
      <c r="AA7" s="172"/>
      <c r="AB7" s="172"/>
      <c r="AC7" s="172"/>
      <c r="AD7" s="172"/>
      <c r="AE7" s="172"/>
      <c r="AF7" s="172"/>
      <c r="AG7" s="172"/>
      <c r="AH7" s="172"/>
      <c r="AI7" s="172"/>
      <c r="AJ7" s="172"/>
      <c r="AK7" s="172"/>
      <c r="AL7" s="172"/>
      <c r="AM7" s="172"/>
      <c r="AN7" s="172"/>
      <c r="AO7" s="172"/>
      <c r="AP7" s="172"/>
      <c r="AQ7" s="172"/>
      <c r="AR7" s="172"/>
      <c r="AS7" s="172"/>
    </row>
    <row r="8" spans="1:45" s="177" customFormat="1" ht="31.2">
      <c r="A8" s="128" t="s">
        <v>139</v>
      </c>
      <c r="B8" s="220"/>
      <c r="C8" s="38"/>
      <c r="D8" s="38"/>
      <c r="E8" s="127"/>
      <c r="F8" s="127"/>
      <c r="G8" s="127"/>
      <c r="H8" s="127"/>
      <c r="I8" s="127"/>
      <c r="J8" s="127"/>
      <c r="K8" s="127"/>
      <c r="L8" s="127"/>
      <c r="M8" s="127"/>
      <c r="N8" s="127"/>
      <c r="O8" s="127"/>
      <c r="P8" s="127"/>
      <c r="Q8" s="127"/>
      <c r="R8" s="127"/>
      <c r="S8" s="127"/>
      <c r="T8" s="127"/>
      <c r="U8" s="127"/>
      <c r="V8" s="171"/>
      <c r="W8" s="172"/>
      <c r="X8" s="172"/>
      <c r="Y8" s="172"/>
      <c r="Z8" s="172"/>
      <c r="AA8" s="172"/>
      <c r="AB8" s="172"/>
      <c r="AC8" s="172"/>
      <c r="AD8" s="172"/>
      <c r="AE8" s="172"/>
      <c r="AF8" s="172"/>
      <c r="AG8" s="172"/>
      <c r="AH8" s="172"/>
      <c r="AI8" s="172"/>
      <c r="AJ8" s="172"/>
      <c r="AK8" s="172"/>
      <c r="AL8" s="172"/>
      <c r="AM8" s="172"/>
      <c r="AN8" s="172"/>
      <c r="AO8" s="172"/>
      <c r="AP8" s="172"/>
      <c r="AQ8" s="172"/>
      <c r="AR8" s="172"/>
      <c r="AS8" s="172"/>
    </row>
    <row r="9" spans="1:45" s="177" customFormat="1">
      <c r="A9" s="38"/>
      <c r="B9" s="38"/>
      <c r="C9" s="38"/>
      <c r="D9" s="38"/>
      <c r="E9" s="127"/>
      <c r="F9" s="127"/>
      <c r="G9" s="127"/>
      <c r="H9" s="127"/>
      <c r="I9" s="127"/>
      <c r="J9" s="127"/>
      <c r="K9" s="127"/>
      <c r="L9" s="127"/>
      <c r="M9" s="127"/>
      <c r="N9" s="127"/>
      <c r="O9" s="127"/>
      <c r="P9" s="127"/>
      <c r="Q9" s="127"/>
      <c r="R9" s="127"/>
      <c r="S9" s="127"/>
      <c r="T9" s="127"/>
      <c r="U9" s="127"/>
      <c r="V9" s="197"/>
      <c r="W9" s="172"/>
      <c r="X9" s="172"/>
      <c r="Y9" s="172"/>
      <c r="Z9" s="172"/>
      <c r="AA9" s="172"/>
      <c r="AB9" s="172"/>
      <c r="AC9" s="172"/>
      <c r="AD9" s="172"/>
      <c r="AE9" s="172"/>
      <c r="AF9" s="172"/>
      <c r="AG9" s="172"/>
      <c r="AH9" s="172"/>
      <c r="AI9" s="172"/>
      <c r="AJ9" s="172"/>
      <c r="AK9" s="172"/>
      <c r="AL9" s="172"/>
      <c r="AM9" s="172"/>
      <c r="AN9" s="172"/>
      <c r="AO9" s="172"/>
      <c r="AP9" s="172"/>
      <c r="AQ9" s="172"/>
      <c r="AR9" s="172"/>
      <c r="AS9" s="172"/>
    </row>
    <row r="10" spans="1:45" s="175" customFormat="1">
      <c r="A10" s="210" t="s">
        <v>140</v>
      </c>
      <c r="B10" s="210"/>
      <c r="C10" s="210"/>
      <c r="D10" s="210"/>
      <c r="E10" s="210"/>
      <c r="F10" s="210"/>
      <c r="G10" s="210"/>
      <c r="H10" s="210"/>
      <c r="I10" s="210"/>
      <c r="J10" s="210"/>
      <c r="K10" s="210"/>
      <c r="L10" s="210"/>
      <c r="M10" s="210"/>
      <c r="N10" s="210"/>
      <c r="O10" s="210"/>
      <c r="P10" s="210"/>
      <c r="Q10" s="210"/>
      <c r="R10" s="210"/>
      <c r="S10" s="210"/>
      <c r="T10" s="210"/>
      <c r="U10" s="210"/>
      <c r="V10" s="206"/>
      <c r="W10" s="174"/>
      <c r="X10" s="174"/>
      <c r="Y10" s="174"/>
      <c r="Z10" s="174"/>
      <c r="AA10" s="174"/>
      <c r="AB10" s="174"/>
      <c r="AC10" s="174"/>
      <c r="AD10" s="174"/>
      <c r="AE10" s="174"/>
      <c r="AF10" s="174"/>
      <c r="AG10" s="174"/>
      <c r="AH10" s="174"/>
      <c r="AI10" s="174"/>
      <c r="AJ10" s="174"/>
      <c r="AK10" s="174"/>
      <c r="AL10" s="174"/>
      <c r="AM10" s="174"/>
      <c r="AN10" s="174"/>
      <c r="AO10" s="174"/>
      <c r="AP10" s="174"/>
      <c r="AQ10" s="174"/>
      <c r="AR10" s="174"/>
      <c r="AS10" s="174"/>
    </row>
    <row r="11" spans="1:45" s="8" customFormat="1" ht="82.8">
      <c r="A11" s="16" t="s">
        <v>141</v>
      </c>
      <c r="B11" s="16" t="s">
        <v>142</v>
      </c>
      <c r="C11" s="16" t="s">
        <v>143</v>
      </c>
      <c r="D11" s="16" t="s">
        <v>144</v>
      </c>
      <c r="E11" s="16"/>
      <c r="F11" s="16"/>
      <c r="G11" s="16"/>
      <c r="H11" s="16"/>
      <c r="I11" s="16"/>
      <c r="J11" s="16"/>
      <c r="K11" s="16"/>
      <c r="L11" s="16"/>
      <c r="M11" s="16"/>
      <c r="N11" s="16"/>
      <c r="O11" s="16"/>
      <c r="P11" s="16"/>
      <c r="Q11" s="16"/>
      <c r="R11" s="16"/>
      <c r="S11" s="16"/>
      <c r="T11" s="16"/>
      <c r="U11" s="16"/>
      <c r="V11" s="204" t="s">
        <v>145</v>
      </c>
      <c r="W11" s="7"/>
      <c r="X11" s="7"/>
      <c r="Y11" s="7"/>
      <c r="Z11" s="7"/>
      <c r="AA11" s="7"/>
      <c r="AB11" s="7"/>
      <c r="AC11" s="7"/>
      <c r="AD11" s="7"/>
      <c r="AE11" s="7"/>
      <c r="AF11" s="7"/>
      <c r="AG11" s="7"/>
      <c r="AH11" s="7"/>
      <c r="AI11" s="7"/>
      <c r="AJ11" s="7"/>
      <c r="AK11" s="7"/>
      <c r="AL11" s="7"/>
      <c r="AM11" s="7"/>
      <c r="AN11" s="7"/>
      <c r="AO11" s="7"/>
      <c r="AP11" s="7"/>
      <c r="AQ11" s="7"/>
      <c r="AR11" s="7"/>
      <c r="AS11" s="7"/>
    </row>
    <row r="12" spans="1:45" s="177" customFormat="1" ht="165.6">
      <c r="A12" s="132" t="s">
        <v>146</v>
      </c>
      <c r="B12" s="140" t="s">
        <v>147</v>
      </c>
      <c r="C12" s="134"/>
      <c r="D12" s="134"/>
      <c r="E12" s="45"/>
      <c r="F12" s="45"/>
      <c r="G12" s="45"/>
      <c r="H12" s="45"/>
      <c r="I12" s="45"/>
      <c r="J12" s="45"/>
      <c r="K12" s="45"/>
      <c r="L12" s="45"/>
      <c r="M12" s="45"/>
      <c r="N12" s="45"/>
      <c r="O12" s="45"/>
      <c r="P12" s="45"/>
      <c r="Q12" s="45"/>
      <c r="R12" s="45"/>
      <c r="S12" s="45"/>
      <c r="T12" s="45"/>
      <c r="U12" s="45"/>
      <c r="V12" s="122">
        <v>361</v>
      </c>
      <c r="W12" s="172"/>
      <c r="X12" s="172"/>
      <c r="Y12" s="172"/>
      <c r="Z12" s="172"/>
      <c r="AA12" s="172"/>
      <c r="AB12" s="172"/>
      <c r="AC12" s="172"/>
      <c r="AD12" s="172"/>
      <c r="AE12" s="172"/>
      <c r="AF12" s="172"/>
      <c r="AG12" s="172"/>
      <c r="AH12" s="172"/>
      <c r="AI12" s="172"/>
      <c r="AJ12" s="172"/>
      <c r="AK12" s="172"/>
      <c r="AL12" s="172"/>
      <c r="AM12" s="172"/>
      <c r="AN12" s="172"/>
      <c r="AO12" s="172"/>
      <c r="AP12" s="172"/>
      <c r="AQ12" s="172"/>
      <c r="AR12" s="172"/>
      <c r="AS12" s="172"/>
    </row>
    <row r="13" spans="1:45" s="177" customFormat="1">
      <c r="A13" s="235"/>
      <c r="B13" s="140"/>
      <c r="C13" s="134"/>
      <c r="D13" s="134"/>
      <c r="E13" s="45"/>
      <c r="F13" s="45"/>
      <c r="G13" s="45"/>
      <c r="H13" s="45"/>
      <c r="I13" s="45"/>
      <c r="J13" s="45"/>
      <c r="K13" s="45"/>
      <c r="L13" s="45"/>
      <c r="M13" s="45"/>
      <c r="N13" s="45"/>
      <c r="O13" s="45"/>
      <c r="P13" s="45"/>
      <c r="Q13" s="45"/>
      <c r="R13" s="45"/>
      <c r="S13" s="45"/>
      <c r="T13" s="45"/>
      <c r="U13" s="45"/>
      <c r="V13" s="183"/>
      <c r="W13" s="172"/>
      <c r="X13" s="172"/>
      <c r="Y13" s="172"/>
      <c r="Z13" s="172"/>
      <c r="AA13" s="172"/>
      <c r="AB13" s="172"/>
      <c r="AC13" s="172"/>
      <c r="AD13" s="172"/>
      <c r="AE13" s="172"/>
      <c r="AF13" s="172"/>
      <c r="AG13" s="172"/>
      <c r="AH13" s="172"/>
      <c r="AI13" s="172"/>
      <c r="AJ13" s="172"/>
      <c r="AK13" s="172"/>
      <c r="AL13" s="172"/>
      <c r="AM13" s="172"/>
      <c r="AN13" s="172"/>
      <c r="AO13" s="172"/>
      <c r="AP13" s="172"/>
      <c r="AQ13" s="172"/>
      <c r="AR13" s="172"/>
      <c r="AS13" s="172"/>
    </row>
    <row r="14" spans="1:45" s="177" customFormat="1" ht="165.6">
      <c r="A14" s="235" t="s">
        <v>148</v>
      </c>
      <c r="B14" s="140" t="s">
        <v>149</v>
      </c>
      <c r="C14" s="134"/>
      <c r="D14" s="134"/>
      <c r="E14" s="45"/>
      <c r="F14" s="45"/>
      <c r="G14" s="45"/>
      <c r="H14" s="45"/>
      <c r="I14" s="45"/>
      <c r="J14" s="45"/>
      <c r="K14" s="45"/>
      <c r="L14" s="45"/>
      <c r="M14" s="45"/>
      <c r="N14" s="45"/>
      <c r="O14" s="45"/>
      <c r="P14" s="45"/>
      <c r="Q14" s="45"/>
      <c r="R14" s="45"/>
      <c r="S14" s="45"/>
      <c r="T14" s="45"/>
      <c r="U14" s="45"/>
      <c r="V14" s="122">
        <v>341</v>
      </c>
      <c r="W14" s="172"/>
      <c r="X14" s="172"/>
      <c r="Y14" s="172"/>
      <c r="Z14" s="172"/>
      <c r="AA14" s="172"/>
      <c r="AB14" s="172"/>
      <c r="AC14" s="172"/>
      <c r="AD14" s="172"/>
      <c r="AE14" s="172"/>
      <c r="AF14" s="172"/>
      <c r="AG14" s="172"/>
      <c r="AH14" s="172"/>
      <c r="AI14" s="172"/>
      <c r="AJ14" s="172"/>
      <c r="AK14" s="172"/>
      <c r="AL14" s="172"/>
      <c r="AM14" s="172"/>
      <c r="AN14" s="172"/>
      <c r="AO14" s="172"/>
      <c r="AP14" s="172"/>
      <c r="AQ14" s="172"/>
      <c r="AR14" s="172"/>
      <c r="AS14" s="172"/>
    </row>
    <row r="15" spans="1:45" s="177" customFormat="1">
      <c r="A15" s="235"/>
      <c r="B15" s="140"/>
      <c r="C15" s="134"/>
      <c r="D15" s="134"/>
      <c r="E15" s="45"/>
      <c r="F15" s="45"/>
      <c r="G15" s="45"/>
      <c r="H15" s="45"/>
      <c r="I15" s="45"/>
      <c r="J15" s="45"/>
      <c r="K15" s="45"/>
      <c r="L15" s="45"/>
      <c r="M15" s="45"/>
      <c r="N15" s="45"/>
      <c r="O15" s="45"/>
      <c r="P15" s="45"/>
      <c r="Q15" s="45"/>
      <c r="R15" s="45"/>
      <c r="S15" s="45"/>
      <c r="T15" s="45"/>
      <c r="U15" s="45"/>
      <c r="V15" s="180"/>
      <c r="W15" s="172"/>
      <c r="X15" s="172"/>
      <c r="Y15" s="172"/>
      <c r="Z15" s="172"/>
      <c r="AA15" s="172"/>
      <c r="AB15" s="172"/>
      <c r="AC15" s="172"/>
      <c r="AD15" s="172"/>
      <c r="AE15" s="172"/>
      <c r="AF15" s="172"/>
      <c r="AG15" s="172"/>
      <c r="AH15" s="172"/>
      <c r="AI15" s="172"/>
      <c r="AJ15" s="172"/>
      <c r="AK15" s="172"/>
      <c r="AL15" s="172"/>
      <c r="AM15" s="172"/>
      <c r="AN15" s="172"/>
      <c r="AO15" s="172"/>
      <c r="AP15" s="172"/>
      <c r="AQ15" s="172"/>
      <c r="AR15" s="172"/>
      <c r="AS15" s="172"/>
    </row>
    <row r="16" spans="1:45" s="177" customFormat="1" ht="165.6">
      <c r="A16" s="132" t="s">
        <v>150</v>
      </c>
      <c r="B16" s="140" t="s">
        <v>151</v>
      </c>
      <c r="C16" s="134"/>
      <c r="D16" s="134"/>
      <c r="E16" s="45"/>
      <c r="F16" s="45"/>
      <c r="G16" s="45"/>
      <c r="H16" s="45"/>
      <c r="I16" s="45"/>
      <c r="J16" s="45"/>
      <c r="K16" s="45"/>
      <c r="L16" s="45"/>
      <c r="M16" s="45"/>
      <c r="N16" s="45"/>
      <c r="O16" s="45"/>
      <c r="P16" s="45"/>
      <c r="Q16" s="45"/>
      <c r="R16" s="45"/>
      <c r="S16" s="45"/>
      <c r="T16" s="45"/>
      <c r="U16" s="45"/>
      <c r="V16" s="122">
        <v>361</v>
      </c>
      <c r="W16" s="172"/>
      <c r="X16" s="172"/>
      <c r="Y16" s="172"/>
      <c r="Z16" s="172"/>
      <c r="AA16" s="172"/>
      <c r="AB16" s="172"/>
      <c r="AC16" s="172"/>
      <c r="AD16" s="172"/>
      <c r="AE16" s="172"/>
      <c r="AF16" s="172"/>
      <c r="AG16" s="172"/>
      <c r="AH16" s="172"/>
      <c r="AI16" s="172"/>
      <c r="AJ16" s="172"/>
      <c r="AK16" s="172"/>
      <c r="AL16" s="172"/>
      <c r="AM16" s="172"/>
      <c r="AN16" s="172"/>
      <c r="AO16" s="172"/>
      <c r="AP16" s="172"/>
      <c r="AQ16" s="172"/>
      <c r="AR16" s="172"/>
      <c r="AS16" s="172"/>
    </row>
    <row r="17" spans="1:45">
      <c r="A17" s="235"/>
      <c r="B17" s="140"/>
      <c r="C17" s="134"/>
      <c r="D17" s="134"/>
      <c r="E17" s="45"/>
      <c r="F17" s="45"/>
      <c r="G17" s="45"/>
      <c r="H17" s="45"/>
      <c r="I17" s="45"/>
      <c r="J17" s="45"/>
      <c r="K17" s="45"/>
      <c r="L17" s="45"/>
      <c r="M17" s="45"/>
      <c r="N17" s="45"/>
      <c r="O17" s="45"/>
      <c r="P17" s="45"/>
      <c r="Q17" s="45"/>
      <c r="R17" s="45"/>
      <c r="S17" s="45"/>
      <c r="T17" s="45"/>
      <c r="U17" s="45"/>
      <c r="V17" s="181"/>
    </row>
    <row r="18" spans="1:45" ht="165.6">
      <c r="A18" s="209" t="s">
        <v>152</v>
      </c>
      <c r="B18" s="140" t="s">
        <v>153</v>
      </c>
      <c r="C18" s="134"/>
      <c r="D18" s="134"/>
      <c r="E18" s="45"/>
      <c r="F18" s="45"/>
      <c r="G18" s="45"/>
      <c r="H18" s="45"/>
      <c r="I18" s="45"/>
      <c r="J18" s="45"/>
      <c r="K18" s="45"/>
      <c r="L18" s="45"/>
      <c r="M18" s="45"/>
      <c r="N18" s="45"/>
      <c r="O18" s="45"/>
      <c r="P18" s="45"/>
      <c r="Q18" s="45"/>
      <c r="R18" s="45"/>
      <c r="S18" s="45"/>
      <c r="T18" s="45"/>
      <c r="U18" s="45"/>
      <c r="V18" s="122">
        <v>341</v>
      </c>
    </row>
    <row r="19" spans="1:45">
      <c r="A19" s="235"/>
      <c r="B19" s="140"/>
      <c r="C19" s="134"/>
      <c r="D19" s="134"/>
      <c r="E19" s="45"/>
      <c r="F19" s="45"/>
      <c r="G19" s="45"/>
      <c r="H19" s="45"/>
      <c r="I19" s="45"/>
      <c r="J19" s="45"/>
      <c r="K19" s="45"/>
      <c r="L19" s="45"/>
      <c r="M19" s="45"/>
      <c r="N19" s="45"/>
      <c r="O19" s="45"/>
      <c r="P19" s="45"/>
      <c r="Q19" s="45"/>
      <c r="R19" s="45"/>
      <c r="S19" s="45"/>
      <c r="T19" s="45"/>
      <c r="U19" s="45"/>
      <c r="V19" s="181"/>
    </row>
    <row r="20" spans="1:45" ht="151.80000000000001">
      <c r="A20" s="109" t="s">
        <v>154</v>
      </c>
      <c r="B20" s="140" t="s">
        <v>155</v>
      </c>
      <c r="C20" s="134"/>
      <c r="D20" s="134"/>
      <c r="E20" s="45"/>
      <c r="F20" s="45"/>
      <c r="G20" s="45"/>
      <c r="H20" s="45"/>
      <c r="I20" s="45"/>
      <c r="J20" s="45"/>
      <c r="K20" s="45"/>
      <c r="L20" s="45"/>
      <c r="M20" s="45"/>
      <c r="N20" s="45"/>
      <c r="O20" s="45"/>
      <c r="P20" s="45"/>
      <c r="Q20" s="45"/>
      <c r="R20" s="45"/>
      <c r="S20" s="45"/>
      <c r="T20" s="45"/>
      <c r="U20" s="45"/>
      <c r="V20" s="122">
        <v>449</v>
      </c>
    </row>
    <row r="21" spans="1:45">
      <c r="A21" s="235"/>
      <c r="B21" s="140"/>
      <c r="C21" s="134"/>
      <c r="D21" s="134"/>
      <c r="E21" s="45"/>
      <c r="F21" s="45"/>
      <c r="G21" s="45"/>
      <c r="H21" s="45"/>
      <c r="I21" s="45"/>
      <c r="J21" s="45"/>
      <c r="K21" s="45"/>
      <c r="L21" s="45"/>
      <c r="M21" s="45"/>
      <c r="N21" s="45"/>
      <c r="O21" s="45"/>
      <c r="P21" s="45"/>
      <c r="Q21" s="45"/>
      <c r="R21" s="45"/>
      <c r="S21" s="45"/>
      <c r="T21" s="45"/>
      <c r="U21" s="45"/>
      <c r="V21" s="181"/>
    </row>
    <row r="22" spans="1:45" s="10" customFormat="1" ht="27.6">
      <c r="A22" s="304" t="s">
        <v>156</v>
      </c>
      <c r="B22" s="303" t="s">
        <v>142</v>
      </c>
      <c r="C22" s="303" t="s">
        <v>143</v>
      </c>
      <c r="D22" s="303" t="s">
        <v>144</v>
      </c>
      <c r="E22" s="303" t="s">
        <v>157</v>
      </c>
      <c r="F22" s="303"/>
      <c r="G22" s="303" t="s">
        <v>158</v>
      </c>
      <c r="H22" s="303"/>
      <c r="I22" s="303"/>
      <c r="J22" s="303" t="s">
        <v>159</v>
      </c>
      <c r="K22" s="303"/>
      <c r="L22" s="303"/>
      <c r="M22" s="303" t="s">
        <v>160</v>
      </c>
      <c r="N22" s="303"/>
      <c r="O22" s="303"/>
      <c r="P22" s="303" t="s">
        <v>161</v>
      </c>
      <c r="Q22" s="303"/>
      <c r="R22" s="303"/>
      <c r="S22" s="303"/>
      <c r="T22" s="303"/>
      <c r="U22" s="303"/>
      <c r="V22" s="305"/>
      <c r="W22" s="9"/>
      <c r="X22" s="9"/>
      <c r="Y22" s="9"/>
      <c r="Z22" s="9"/>
      <c r="AA22" s="9"/>
      <c r="AB22" s="9"/>
      <c r="AC22" s="9"/>
      <c r="AD22" s="9"/>
      <c r="AE22" s="9"/>
      <c r="AF22" s="9"/>
      <c r="AG22" s="9"/>
      <c r="AH22" s="9"/>
      <c r="AI22" s="9"/>
      <c r="AJ22" s="9"/>
      <c r="AK22" s="9"/>
      <c r="AL22" s="9"/>
      <c r="AM22" s="9"/>
      <c r="AN22" s="9"/>
      <c r="AO22" s="9"/>
      <c r="AP22" s="9"/>
      <c r="AQ22" s="9"/>
      <c r="AR22" s="9"/>
      <c r="AS22" s="9"/>
    </row>
    <row r="23" spans="1:45">
      <c r="A23" s="98" t="s">
        <v>162</v>
      </c>
      <c r="B23" s="108"/>
      <c r="C23" s="108"/>
      <c r="D23" s="108"/>
      <c r="E23" s="223"/>
      <c r="F23" s="223"/>
      <c r="G23" s="223"/>
      <c r="H23" s="223"/>
      <c r="I23" s="223"/>
      <c r="J23" s="223"/>
      <c r="K23" s="223"/>
      <c r="L23" s="223"/>
      <c r="M23" s="223"/>
      <c r="N23" s="223"/>
      <c r="O23" s="223"/>
      <c r="P23" s="223"/>
      <c r="Q23" s="223"/>
      <c r="R23" s="223"/>
      <c r="S23" s="226"/>
      <c r="T23" s="226"/>
      <c r="U23" s="226"/>
      <c r="V23" s="182"/>
    </row>
    <row r="24" spans="1:45">
      <c r="A24" s="132" t="s">
        <v>163</v>
      </c>
      <c r="B24" s="132" t="s">
        <v>164</v>
      </c>
      <c r="C24" s="107"/>
      <c r="D24" s="107"/>
      <c r="E24" s="230"/>
      <c r="F24" s="230"/>
      <c r="G24" s="230" t="s">
        <v>165</v>
      </c>
      <c r="H24" s="230"/>
      <c r="I24" s="230"/>
      <c r="J24" s="230"/>
      <c r="K24" s="230"/>
      <c r="L24" s="230"/>
      <c r="M24" s="230" t="s">
        <v>166</v>
      </c>
      <c r="N24" s="230"/>
      <c r="O24" s="230"/>
      <c r="P24" s="230" t="s">
        <v>167</v>
      </c>
      <c r="Q24" s="230"/>
      <c r="R24" s="230"/>
      <c r="S24" s="230"/>
      <c r="T24" s="230"/>
      <c r="U24" s="230"/>
      <c r="V24" s="122">
        <v>64</v>
      </c>
    </row>
    <row r="25" spans="1:45" ht="14.7" customHeight="1">
      <c r="A25" s="132" t="s">
        <v>168</v>
      </c>
      <c r="B25" s="132" t="s">
        <v>169</v>
      </c>
      <c r="C25" s="107"/>
      <c r="D25" s="107"/>
      <c r="E25" s="230"/>
      <c r="F25" s="230"/>
      <c r="G25" s="230" t="s">
        <v>170</v>
      </c>
      <c r="H25" s="230"/>
      <c r="I25" s="230"/>
      <c r="J25" s="230"/>
      <c r="K25" s="230"/>
      <c r="L25" s="230"/>
      <c r="M25" s="230" t="s">
        <v>171</v>
      </c>
      <c r="N25" s="298"/>
      <c r="O25" s="298"/>
      <c r="P25" s="65"/>
      <c r="Q25" s="65"/>
      <c r="R25" s="65"/>
      <c r="S25" s="72"/>
      <c r="T25" s="72"/>
      <c r="U25" s="72"/>
      <c r="V25" s="122">
        <v>64</v>
      </c>
    </row>
    <row r="26" spans="1:45">
      <c r="A26" s="99" t="s">
        <v>172</v>
      </c>
      <c r="B26" s="132" t="s">
        <v>173</v>
      </c>
      <c r="C26" s="107"/>
      <c r="D26" s="107"/>
      <c r="E26" s="230"/>
      <c r="F26" s="230"/>
      <c r="G26" s="230"/>
      <c r="H26" s="230"/>
      <c r="I26" s="230"/>
      <c r="J26" s="230"/>
      <c r="K26" s="230"/>
      <c r="L26" s="230"/>
      <c r="M26" s="230"/>
      <c r="N26" s="230"/>
      <c r="O26" s="230"/>
      <c r="P26" s="230" t="s">
        <v>174</v>
      </c>
      <c r="Q26" s="230"/>
      <c r="R26" s="230"/>
      <c r="S26" s="230"/>
      <c r="T26" s="230"/>
      <c r="U26" s="230"/>
      <c r="V26" s="122">
        <v>64</v>
      </c>
    </row>
    <row r="27" spans="1:45">
      <c r="A27" s="132" t="s">
        <v>175</v>
      </c>
      <c r="B27" s="132" t="s">
        <v>176</v>
      </c>
      <c r="C27" s="107"/>
      <c r="D27" s="107"/>
      <c r="E27" s="230" t="s">
        <v>177</v>
      </c>
      <c r="F27" s="230"/>
      <c r="G27" s="230"/>
      <c r="H27" s="230"/>
      <c r="I27" s="230"/>
      <c r="J27" s="230" t="s">
        <v>178</v>
      </c>
      <c r="K27" s="230"/>
      <c r="L27" s="230"/>
      <c r="M27" s="230"/>
      <c r="N27" s="230"/>
      <c r="O27" s="230"/>
      <c r="P27" s="230"/>
      <c r="Q27" s="230"/>
      <c r="R27" s="230"/>
      <c r="S27" s="72"/>
      <c r="T27" s="72"/>
      <c r="U27" s="72"/>
      <c r="V27" s="122">
        <v>82</v>
      </c>
    </row>
    <row r="28" spans="1:45">
      <c r="A28" s="132" t="s">
        <v>179</v>
      </c>
      <c r="B28" s="132" t="s">
        <v>180</v>
      </c>
      <c r="C28" s="107"/>
      <c r="D28" s="107"/>
      <c r="E28" s="230" t="s">
        <v>181</v>
      </c>
      <c r="F28" s="230"/>
      <c r="G28" s="230"/>
      <c r="H28" s="230"/>
      <c r="I28" s="230"/>
      <c r="J28" s="230"/>
      <c r="K28" s="230"/>
      <c r="L28" s="230"/>
      <c r="M28" s="230"/>
      <c r="N28" s="230"/>
      <c r="O28" s="230"/>
      <c r="P28" s="230"/>
      <c r="Q28" s="230"/>
      <c r="R28" s="230"/>
      <c r="S28" s="72"/>
      <c r="T28" s="72"/>
      <c r="U28" s="72"/>
      <c r="V28" s="122">
        <v>209</v>
      </c>
    </row>
    <row r="29" spans="1:45">
      <c r="A29" s="235"/>
      <c r="B29" s="140"/>
      <c r="C29" s="134"/>
      <c r="D29" s="134"/>
      <c r="E29" s="45"/>
      <c r="F29" s="45"/>
      <c r="G29" s="45"/>
      <c r="H29" s="45"/>
      <c r="I29" s="45"/>
      <c r="J29" s="45"/>
      <c r="K29" s="45"/>
      <c r="L29" s="45"/>
      <c r="M29" s="45"/>
      <c r="N29" s="45"/>
      <c r="O29" s="45"/>
      <c r="P29" s="45"/>
      <c r="Q29" s="45"/>
      <c r="R29" s="45"/>
      <c r="S29" s="45"/>
      <c r="T29" s="45"/>
      <c r="U29" s="45"/>
      <c r="V29" s="122"/>
    </row>
    <row r="30" spans="1:45">
      <c r="A30" s="98" t="s">
        <v>182</v>
      </c>
      <c r="B30" s="108"/>
      <c r="C30" s="108"/>
      <c r="D30" s="108"/>
      <c r="E30" s="223"/>
      <c r="F30" s="223"/>
      <c r="G30" s="223"/>
      <c r="H30" s="223"/>
      <c r="I30" s="223"/>
      <c r="J30" s="223"/>
      <c r="K30" s="223"/>
      <c r="L30" s="223"/>
      <c r="M30" s="223"/>
      <c r="N30" s="223"/>
      <c r="O30" s="223"/>
      <c r="P30" s="223"/>
      <c r="Q30" s="223"/>
      <c r="R30" s="223"/>
      <c r="S30" s="226"/>
      <c r="T30" s="226"/>
      <c r="U30" s="226"/>
      <c r="V30" s="182"/>
    </row>
    <row r="31" spans="1:45">
      <c r="A31" s="132" t="s">
        <v>183</v>
      </c>
      <c r="B31" s="132" t="s">
        <v>183</v>
      </c>
      <c r="C31" s="107"/>
      <c r="D31" s="107"/>
      <c r="E31" s="230" t="s">
        <v>184</v>
      </c>
      <c r="F31" s="230"/>
      <c r="G31" s="230" t="s">
        <v>185</v>
      </c>
      <c r="H31" s="230"/>
      <c r="I31" s="230"/>
      <c r="J31" s="230" t="s">
        <v>186</v>
      </c>
      <c r="K31" s="230"/>
      <c r="L31" s="230"/>
      <c r="M31" s="230" t="s">
        <v>187</v>
      </c>
      <c r="N31" s="230"/>
      <c r="O31" s="230"/>
      <c r="P31" s="230" t="s">
        <v>188</v>
      </c>
      <c r="Q31" s="230"/>
      <c r="R31" s="230"/>
      <c r="S31" s="230"/>
      <c r="T31" s="230"/>
      <c r="U31" s="230"/>
      <c r="V31" s="122">
        <v>41</v>
      </c>
    </row>
    <row r="32" spans="1:45">
      <c r="A32" s="132" t="s">
        <v>189</v>
      </c>
      <c r="B32" s="132" t="s">
        <v>189</v>
      </c>
      <c r="C32" s="107"/>
      <c r="D32" s="107"/>
      <c r="E32" s="230" t="s">
        <v>190</v>
      </c>
      <c r="F32" s="230"/>
      <c r="G32" s="230"/>
      <c r="H32" s="230"/>
      <c r="I32" s="230"/>
      <c r="J32" s="230" t="s">
        <v>191</v>
      </c>
      <c r="K32" s="230"/>
      <c r="L32" s="230"/>
      <c r="M32" s="230"/>
      <c r="N32" s="230"/>
      <c r="O32" s="230"/>
      <c r="P32" s="230" t="s">
        <v>192</v>
      </c>
      <c r="Q32" s="230"/>
      <c r="R32" s="230"/>
      <c r="S32" s="230"/>
      <c r="T32" s="230"/>
      <c r="U32" s="230"/>
      <c r="V32" s="122">
        <v>128</v>
      </c>
    </row>
    <row r="33" spans="1:22">
      <c r="A33" s="235"/>
      <c r="B33" s="140"/>
      <c r="C33" s="134"/>
      <c r="D33" s="134"/>
      <c r="E33" s="45"/>
      <c r="F33" s="45"/>
      <c r="G33" s="45"/>
      <c r="H33" s="45"/>
      <c r="I33" s="45"/>
      <c r="J33" s="45"/>
      <c r="K33" s="45"/>
      <c r="L33" s="45"/>
      <c r="M33" s="45"/>
      <c r="N33" s="45"/>
      <c r="O33" s="45"/>
      <c r="P33" s="45"/>
      <c r="Q33" s="45"/>
      <c r="R33" s="45"/>
      <c r="S33" s="45"/>
      <c r="T33" s="45"/>
      <c r="U33" s="45"/>
      <c r="V33" s="122"/>
    </row>
    <row r="34" spans="1:22">
      <c r="A34" s="113" t="s">
        <v>193</v>
      </c>
      <c r="B34" s="232"/>
      <c r="C34" s="232"/>
      <c r="D34" s="232"/>
      <c r="E34" s="208"/>
      <c r="F34" s="208"/>
      <c r="G34" s="208"/>
      <c r="H34" s="208"/>
      <c r="I34" s="208"/>
      <c r="J34" s="208"/>
      <c r="K34" s="208"/>
      <c r="L34" s="208"/>
      <c r="M34" s="208"/>
      <c r="N34" s="208"/>
      <c r="O34" s="208"/>
      <c r="P34" s="208"/>
      <c r="Q34" s="208"/>
      <c r="R34" s="208"/>
      <c r="S34" s="208"/>
      <c r="T34" s="208"/>
      <c r="U34" s="208"/>
      <c r="V34" s="182"/>
    </row>
    <row r="35" spans="1:22">
      <c r="A35" s="132" t="s">
        <v>194</v>
      </c>
      <c r="B35" s="132" t="s">
        <v>195</v>
      </c>
      <c r="C35" s="107"/>
      <c r="D35" s="107"/>
      <c r="E35" s="230"/>
      <c r="F35" s="230"/>
      <c r="G35" s="230"/>
      <c r="H35" s="230"/>
      <c r="I35" s="230"/>
      <c r="J35" s="230"/>
      <c r="K35" s="230"/>
      <c r="L35" s="230"/>
      <c r="M35" s="230"/>
      <c r="N35" s="230"/>
      <c r="O35" s="230"/>
      <c r="P35" s="230" t="s">
        <v>196</v>
      </c>
      <c r="Q35" s="230"/>
      <c r="R35" s="230"/>
      <c r="S35" s="230"/>
      <c r="T35" s="230"/>
      <c r="U35" s="230"/>
      <c r="V35" s="122">
        <v>41</v>
      </c>
    </row>
    <row r="36" spans="1:22">
      <c r="A36" s="235"/>
      <c r="B36" s="140"/>
      <c r="C36" s="134"/>
      <c r="D36" s="134"/>
      <c r="E36" s="45"/>
      <c r="F36" s="45"/>
      <c r="G36" s="45"/>
      <c r="H36" s="45"/>
      <c r="I36" s="45"/>
      <c r="J36" s="45"/>
      <c r="K36" s="45"/>
      <c r="L36" s="45"/>
      <c r="M36" s="45"/>
      <c r="N36" s="45"/>
      <c r="O36" s="45"/>
      <c r="P36" s="45"/>
      <c r="Q36" s="45"/>
      <c r="R36" s="45"/>
      <c r="S36" s="45"/>
      <c r="T36" s="45"/>
      <c r="U36" s="45"/>
      <c r="V36" s="122"/>
    </row>
    <row r="37" spans="1:22">
      <c r="A37" s="113" t="s">
        <v>197</v>
      </c>
      <c r="B37" s="232"/>
      <c r="C37" s="232"/>
      <c r="D37" s="232"/>
      <c r="E37" s="208"/>
      <c r="F37" s="208"/>
      <c r="G37" s="208"/>
      <c r="H37" s="208"/>
      <c r="I37" s="208"/>
      <c r="J37" s="208"/>
      <c r="K37" s="208"/>
      <c r="L37" s="208"/>
      <c r="M37" s="208"/>
      <c r="N37" s="208"/>
      <c r="O37" s="208"/>
      <c r="P37" s="208"/>
      <c r="Q37" s="208"/>
      <c r="R37" s="208"/>
      <c r="S37" s="208"/>
      <c r="T37" s="208"/>
      <c r="U37" s="208"/>
      <c r="V37" s="182"/>
    </row>
    <row r="38" spans="1:22">
      <c r="A38" s="132" t="s">
        <v>198</v>
      </c>
      <c r="B38" s="132" t="s">
        <v>199</v>
      </c>
      <c r="C38" s="107"/>
      <c r="D38" s="107"/>
      <c r="E38" s="230" t="s">
        <v>200</v>
      </c>
      <c r="F38" s="230"/>
      <c r="G38" s="230" t="s">
        <v>201</v>
      </c>
      <c r="H38" s="230"/>
      <c r="I38" s="230"/>
      <c r="J38" s="230"/>
      <c r="K38" s="230"/>
      <c r="L38" s="230"/>
      <c r="M38" s="230"/>
      <c r="N38" s="230"/>
      <c r="O38" s="230"/>
      <c r="P38" s="230"/>
      <c r="Q38" s="230"/>
      <c r="R38" s="230"/>
      <c r="S38" s="72"/>
      <c r="T38" s="72"/>
      <c r="U38" s="72"/>
      <c r="V38" s="122">
        <v>16</v>
      </c>
    </row>
    <row r="39" spans="1:22">
      <c r="A39" s="69" t="s">
        <v>202</v>
      </c>
      <c r="B39" s="132" t="s">
        <v>203</v>
      </c>
      <c r="C39" s="107"/>
      <c r="D39" s="107"/>
      <c r="E39" s="230" t="s">
        <v>204</v>
      </c>
      <c r="F39" s="230"/>
      <c r="G39" s="230" t="s">
        <v>205</v>
      </c>
      <c r="H39" s="230"/>
      <c r="I39" s="230"/>
      <c r="J39" s="230"/>
      <c r="K39" s="230"/>
      <c r="L39" s="230"/>
      <c r="M39" s="230"/>
      <c r="N39" s="230"/>
      <c r="O39" s="230"/>
      <c r="P39" s="230"/>
      <c r="Q39" s="230"/>
      <c r="R39" s="230"/>
      <c r="S39" s="72"/>
      <c r="T39" s="72"/>
      <c r="U39" s="72"/>
      <c r="V39" s="122">
        <v>16</v>
      </c>
    </row>
    <row r="40" spans="1:22">
      <c r="A40" s="132" t="s">
        <v>206</v>
      </c>
      <c r="B40" s="132" t="s">
        <v>207</v>
      </c>
      <c r="C40" s="107"/>
      <c r="D40" s="107"/>
      <c r="E40" s="230" t="s">
        <v>208</v>
      </c>
      <c r="F40" s="230"/>
      <c r="G40" s="230"/>
      <c r="H40" s="230"/>
      <c r="I40" s="230"/>
      <c r="J40" s="230"/>
      <c r="K40" s="230"/>
      <c r="L40" s="230"/>
      <c r="M40" s="230"/>
      <c r="N40" s="230"/>
      <c r="O40" s="230"/>
      <c r="P40" s="230"/>
      <c r="Q40" s="230"/>
      <c r="R40" s="230"/>
      <c r="S40" s="72"/>
      <c r="T40" s="72"/>
      <c r="U40" s="72"/>
      <c r="V40" s="122">
        <v>41</v>
      </c>
    </row>
    <row r="41" spans="1:22">
      <c r="A41" s="132" t="s">
        <v>209</v>
      </c>
      <c r="B41" s="132" t="s">
        <v>210</v>
      </c>
      <c r="C41" s="107"/>
      <c r="D41" s="107"/>
      <c r="E41" s="230" t="s">
        <v>211</v>
      </c>
      <c r="F41" s="230"/>
      <c r="G41" s="230"/>
      <c r="H41" s="230"/>
      <c r="I41" s="230"/>
      <c r="J41" s="230"/>
      <c r="K41" s="230"/>
      <c r="L41" s="230"/>
      <c r="M41" s="230"/>
      <c r="N41" s="230"/>
      <c r="O41" s="230"/>
      <c r="P41" s="230"/>
      <c r="Q41" s="230"/>
      <c r="R41" s="230"/>
      <c r="S41" s="72"/>
      <c r="T41" s="72"/>
      <c r="U41" s="72"/>
      <c r="V41" s="122">
        <v>82</v>
      </c>
    </row>
    <row r="42" spans="1:22">
      <c r="A42" s="132" t="s">
        <v>212</v>
      </c>
      <c r="B42" s="132" t="s">
        <v>213</v>
      </c>
      <c r="C42" s="107"/>
      <c r="D42" s="107"/>
      <c r="E42" s="230" t="s">
        <v>214</v>
      </c>
      <c r="F42" s="230"/>
      <c r="G42" s="230" t="s">
        <v>215</v>
      </c>
      <c r="H42" s="230"/>
      <c r="I42" s="230"/>
      <c r="J42" s="230"/>
      <c r="K42" s="230"/>
      <c r="L42" s="230"/>
      <c r="M42" s="230"/>
      <c r="N42" s="230"/>
      <c r="O42" s="230"/>
      <c r="P42" s="230"/>
      <c r="Q42" s="230"/>
      <c r="R42" s="230"/>
      <c r="S42" s="72"/>
      <c r="T42" s="72"/>
      <c r="U42" s="72"/>
      <c r="V42" s="122">
        <v>82</v>
      </c>
    </row>
    <row r="43" spans="1:22">
      <c r="A43" s="235"/>
      <c r="B43" s="140"/>
      <c r="C43" s="134"/>
      <c r="D43" s="134"/>
      <c r="E43" s="45"/>
      <c r="F43" s="45"/>
      <c r="G43" s="45"/>
      <c r="H43" s="45"/>
      <c r="I43" s="45"/>
      <c r="J43" s="45"/>
      <c r="K43" s="45"/>
      <c r="L43" s="45"/>
      <c r="M43" s="45"/>
      <c r="N43" s="45"/>
      <c r="O43" s="45"/>
      <c r="P43" s="45"/>
      <c r="Q43" s="45"/>
      <c r="R43" s="45"/>
      <c r="S43" s="45"/>
      <c r="T43" s="45"/>
      <c r="U43" s="45"/>
      <c r="V43" s="122"/>
    </row>
    <row r="44" spans="1:22">
      <c r="A44" s="113" t="s">
        <v>216</v>
      </c>
      <c r="B44" s="232"/>
      <c r="C44" s="232"/>
      <c r="D44" s="232"/>
      <c r="E44" s="212"/>
      <c r="F44" s="212"/>
      <c r="G44" s="212"/>
      <c r="H44" s="212"/>
      <c r="I44" s="212"/>
      <c r="J44" s="212"/>
      <c r="K44" s="212"/>
      <c r="L44" s="212"/>
      <c r="M44" s="212"/>
      <c r="N44" s="212"/>
      <c r="O44" s="212"/>
      <c r="P44" s="212"/>
      <c r="Q44" s="212"/>
      <c r="R44" s="212"/>
      <c r="S44" s="208"/>
      <c r="T44" s="208"/>
      <c r="U44" s="208"/>
      <c r="V44" s="182"/>
    </row>
    <row r="45" spans="1:22">
      <c r="A45" s="132" t="s">
        <v>217</v>
      </c>
      <c r="B45" s="132" t="s">
        <v>218</v>
      </c>
      <c r="C45" s="107"/>
      <c r="D45" s="107"/>
      <c r="E45" s="230"/>
      <c r="F45" s="230"/>
      <c r="G45" s="230"/>
      <c r="H45" s="230"/>
      <c r="I45" s="230"/>
      <c r="J45" s="230" t="s">
        <v>219</v>
      </c>
      <c r="K45" s="230"/>
      <c r="L45" s="230"/>
      <c r="M45" s="230" t="s">
        <v>220</v>
      </c>
      <c r="N45" s="230"/>
      <c r="O45" s="230"/>
      <c r="P45" s="230"/>
      <c r="Q45" s="230"/>
      <c r="R45" s="230"/>
      <c r="S45" s="72"/>
      <c r="T45" s="72"/>
      <c r="U45" s="72"/>
      <c r="V45" s="122">
        <v>13</v>
      </c>
    </row>
    <row r="46" spans="1:22">
      <c r="A46" s="132" t="s">
        <v>221</v>
      </c>
      <c r="B46" s="132" t="s">
        <v>222</v>
      </c>
      <c r="C46" s="107"/>
      <c r="D46" s="107"/>
      <c r="E46" s="230"/>
      <c r="F46" s="230"/>
      <c r="G46" s="230"/>
      <c r="H46" s="230"/>
      <c r="I46" s="230"/>
      <c r="J46" s="230" t="s">
        <v>223</v>
      </c>
      <c r="K46" s="230"/>
      <c r="L46" s="230"/>
      <c r="M46" s="230" t="s">
        <v>224</v>
      </c>
      <c r="N46" s="230"/>
      <c r="O46" s="230"/>
      <c r="P46" s="230"/>
      <c r="Q46" s="230"/>
      <c r="R46" s="230"/>
      <c r="S46" s="72"/>
      <c r="T46" s="72"/>
      <c r="U46" s="72"/>
      <c r="V46" s="122">
        <v>13</v>
      </c>
    </row>
    <row r="47" spans="1:22">
      <c r="A47" s="132" t="s">
        <v>225</v>
      </c>
      <c r="B47" s="132" t="s">
        <v>226</v>
      </c>
      <c r="C47" s="107"/>
      <c r="D47" s="107"/>
      <c r="E47" s="230"/>
      <c r="F47" s="230"/>
      <c r="G47" s="230"/>
      <c r="H47" s="230"/>
      <c r="I47" s="230"/>
      <c r="J47" s="230" t="s">
        <v>227</v>
      </c>
      <c r="K47" s="230"/>
      <c r="L47" s="230"/>
      <c r="M47" s="230"/>
      <c r="N47" s="230"/>
      <c r="O47" s="230"/>
      <c r="P47" s="230"/>
      <c r="Q47" s="230"/>
      <c r="R47" s="230"/>
      <c r="S47" s="72"/>
      <c r="T47" s="72"/>
      <c r="U47" s="72"/>
      <c r="V47" s="122">
        <v>46</v>
      </c>
    </row>
    <row r="48" spans="1:22">
      <c r="A48" s="235"/>
      <c r="B48" s="140"/>
      <c r="C48" s="134"/>
      <c r="D48" s="134"/>
      <c r="E48" s="45"/>
      <c r="F48" s="45"/>
      <c r="G48" s="45"/>
      <c r="H48" s="45"/>
      <c r="I48" s="45"/>
      <c r="J48" s="45"/>
      <c r="K48" s="45"/>
      <c r="L48" s="45"/>
      <c r="M48" s="45"/>
      <c r="N48" s="45"/>
      <c r="O48" s="45"/>
      <c r="P48" s="45"/>
      <c r="Q48" s="45"/>
      <c r="R48" s="45"/>
      <c r="S48" s="45"/>
      <c r="T48" s="45"/>
      <c r="U48" s="45"/>
      <c r="V48" s="122"/>
    </row>
    <row r="49" spans="1:45">
      <c r="A49" s="113" t="s">
        <v>228</v>
      </c>
      <c r="B49" s="232"/>
      <c r="C49" s="232"/>
      <c r="D49" s="232"/>
      <c r="E49" s="208"/>
      <c r="F49" s="208"/>
      <c r="G49" s="208"/>
      <c r="H49" s="208"/>
      <c r="I49" s="208"/>
      <c r="J49" s="208"/>
      <c r="K49" s="208"/>
      <c r="L49" s="208"/>
      <c r="M49" s="208"/>
      <c r="N49" s="208"/>
      <c r="O49" s="208"/>
      <c r="P49" s="208"/>
      <c r="Q49" s="208"/>
      <c r="R49" s="208"/>
      <c r="S49" s="208"/>
      <c r="T49" s="208"/>
      <c r="U49" s="208"/>
      <c r="V49" s="182"/>
    </row>
    <row r="50" spans="1:45">
      <c r="A50" s="132" t="s">
        <v>229</v>
      </c>
      <c r="B50" s="132" t="s">
        <v>230</v>
      </c>
      <c r="C50" s="107"/>
      <c r="D50" s="107"/>
      <c r="E50" s="230" t="s">
        <v>231</v>
      </c>
      <c r="F50" s="230"/>
      <c r="G50" s="230" t="s">
        <v>232</v>
      </c>
      <c r="H50" s="230"/>
      <c r="I50" s="230"/>
      <c r="J50" s="230" t="s">
        <v>233</v>
      </c>
      <c r="K50" s="230"/>
      <c r="L50" s="230"/>
      <c r="M50" s="230" t="s">
        <v>234</v>
      </c>
      <c r="N50" s="230"/>
      <c r="O50" s="230"/>
      <c r="P50" s="230" t="s">
        <v>235</v>
      </c>
      <c r="Q50" s="230"/>
      <c r="R50" s="230"/>
      <c r="S50" s="230"/>
      <c r="T50" s="230"/>
      <c r="U50" s="230"/>
      <c r="V50" s="122">
        <v>30</v>
      </c>
    </row>
    <row r="51" spans="1:45">
      <c r="A51" s="132" t="s">
        <v>236</v>
      </c>
      <c r="B51" s="132" t="s">
        <v>237</v>
      </c>
      <c r="C51" s="107"/>
      <c r="D51" s="107"/>
      <c r="E51" s="230" t="s">
        <v>238</v>
      </c>
      <c r="F51" s="230"/>
      <c r="G51" s="230" t="s">
        <v>239</v>
      </c>
      <c r="H51" s="230"/>
      <c r="I51" s="230"/>
      <c r="J51" s="230" t="s">
        <v>240</v>
      </c>
      <c r="K51" s="230"/>
      <c r="L51" s="230"/>
      <c r="M51" s="230" t="s">
        <v>241</v>
      </c>
      <c r="N51" s="230"/>
      <c r="O51" s="230"/>
      <c r="P51" s="230" t="s">
        <v>242</v>
      </c>
      <c r="Q51" s="230"/>
      <c r="R51" s="230"/>
      <c r="S51" s="230"/>
      <c r="T51" s="230"/>
      <c r="U51" s="230"/>
      <c r="V51" s="122">
        <v>104</v>
      </c>
    </row>
    <row r="52" spans="1:45" s="177" customFormat="1">
      <c r="A52" s="69" t="s">
        <v>243</v>
      </c>
      <c r="B52" s="132" t="s">
        <v>244</v>
      </c>
      <c r="C52" s="107"/>
      <c r="D52" s="107"/>
      <c r="E52" s="230"/>
      <c r="F52" s="230"/>
      <c r="G52" s="230"/>
      <c r="H52" s="230"/>
      <c r="I52" s="230"/>
      <c r="J52" s="230" t="s">
        <v>245</v>
      </c>
      <c r="K52" s="230"/>
      <c r="L52" s="230"/>
      <c r="M52" s="230"/>
      <c r="N52" s="230"/>
      <c r="O52" s="230"/>
      <c r="P52" s="230"/>
      <c r="Q52" s="230"/>
      <c r="R52" s="230"/>
      <c r="S52" s="72"/>
      <c r="T52" s="72"/>
      <c r="U52" s="72"/>
      <c r="V52" s="122">
        <v>40</v>
      </c>
      <c r="W52" s="172"/>
      <c r="X52" s="172"/>
      <c r="Y52" s="172"/>
      <c r="Z52" s="172"/>
      <c r="AA52" s="172"/>
      <c r="AB52" s="172"/>
      <c r="AC52" s="172"/>
      <c r="AD52" s="172"/>
      <c r="AE52" s="172"/>
      <c r="AF52" s="172"/>
      <c r="AG52" s="172"/>
      <c r="AH52" s="172"/>
      <c r="AI52" s="172"/>
      <c r="AJ52" s="172"/>
      <c r="AK52" s="172"/>
      <c r="AL52" s="172"/>
      <c r="AM52" s="172"/>
      <c r="AN52" s="172"/>
      <c r="AO52" s="172"/>
      <c r="AP52" s="172"/>
      <c r="AQ52" s="172"/>
      <c r="AR52" s="172"/>
      <c r="AS52" s="172"/>
    </row>
    <row r="53" spans="1:45" s="177" customFormat="1">
      <c r="A53" s="235"/>
      <c r="B53" s="140"/>
      <c r="C53" s="134"/>
      <c r="D53" s="134"/>
      <c r="E53" s="45"/>
      <c r="F53" s="45"/>
      <c r="G53" s="45"/>
      <c r="H53" s="45"/>
      <c r="I53" s="45"/>
      <c r="J53" s="45"/>
      <c r="K53" s="45"/>
      <c r="L53" s="45"/>
      <c r="M53" s="45"/>
      <c r="N53" s="45"/>
      <c r="O53" s="45"/>
      <c r="P53" s="45"/>
      <c r="Q53" s="45"/>
      <c r="R53" s="45"/>
      <c r="S53" s="45"/>
      <c r="T53" s="45"/>
      <c r="U53" s="45"/>
      <c r="V53" s="122"/>
      <c r="W53" s="172"/>
      <c r="X53" s="172"/>
      <c r="Y53" s="172"/>
      <c r="Z53" s="172"/>
      <c r="AA53" s="172"/>
      <c r="AB53" s="172"/>
      <c r="AC53" s="172"/>
      <c r="AD53" s="172"/>
      <c r="AE53" s="172"/>
      <c r="AF53" s="172"/>
      <c r="AG53" s="172"/>
      <c r="AH53" s="172"/>
      <c r="AI53" s="172"/>
      <c r="AJ53" s="172"/>
      <c r="AK53" s="172"/>
      <c r="AL53" s="172"/>
      <c r="AM53" s="172"/>
      <c r="AN53" s="172"/>
      <c r="AO53" s="172"/>
      <c r="AP53" s="172"/>
      <c r="AQ53" s="172"/>
      <c r="AR53" s="172"/>
      <c r="AS53" s="172"/>
    </row>
    <row r="54" spans="1:45" s="177" customFormat="1">
      <c r="A54" s="113" t="s">
        <v>246</v>
      </c>
      <c r="B54" s="232"/>
      <c r="C54" s="232"/>
      <c r="D54" s="232"/>
      <c r="E54" s="208"/>
      <c r="F54" s="208"/>
      <c r="G54" s="208"/>
      <c r="H54" s="208"/>
      <c r="I54" s="208"/>
      <c r="J54" s="208"/>
      <c r="K54" s="208"/>
      <c r="L54" s="208"/>
      <c r="M54" s="208"/>
      <c r="N54" s="208"/>
      <c r="O54" s="208"/>
      <c r="P54" s="208"/>
      <c r="Q54" s="208"/>
      <c r="R54" s="208"/>
      <c r="S54" s="208"/>
      <c r="T54" s="208"/>
      <c r="U54" s="208"/>
      <c r="V54" s="182"/>
      <c r="W54" s="172"/>
      <c r="X54" s="172"/>
      <c r="Y54" s="172"/>
      <c r="Z54" s="172"/>
      <c r="AA54" s="172"/>
      <c r="AB54" s="172"/>
      <c r="AC54" s="172"/>
      <c r="AD54" s="172"/>
      <c r="AE54" s="172"/>
      <c r="AF54" s="172"/>
      <c r="AG54" s="172"/>
      <c r="AH54" s="172"/>
      <c r="AI54" s="172"/>
      <c r="AJ54" s="172"/>
      <c r="AK54" s="172"/>
      <c r="AL54" s="172"/>
      <c r="AM54" s="172"/>
      <c r="AN54" s="172"/>
      <c r="AO54" s="172"/>
      <c r="AP54" s="172"/>
      <c r="AQ54" s="172"/>
      <c r="AR54" s="172"/>
      <c r="AS54" s="172"/>
    </row>
    <row r="55" spans="1:45" s="177" customFormat="1">
      <c r="A55" s="69" t="s">
        <v>247</v>
      </c>
      <c r="B55" s="132" t="s">
        <v>248</v>
      </c>
      <c r="C55" s="107"/>
      <c r="D55" s="107"/>
      <c r="E55" s="48" t="s">
        <v>249</v>
      </c>
      <c r="F55" s="230"/>
      <c r="G55" s="230" t="s">
        <v>250</v>
      </c>
      <c r="H55" s="230"/>
      <c r="I55" s="230"/>
      <c r="J55" s="230" t="s">
        <v>251</v>
      </c>
      <c r="K55" s="230"/>
      <c r="L55" s="230"/>
      <c r="M55" s="230" t="s">
        <v>252</v>
      </c>
      <c r="N55" s="230"/>
      <c r="O55" s="230"/>
      <c r="P55" s="230"/>
      <c r="Q55" s="230"/>
      <c r="R55" s="230"/>
      <c r="S55" s="72"/>
      <c r="T55" s="72"/>
      <c r="U55" s="72"/>
      <c r="V55" s="122">
        <v>5</v>
      </c>
      <c r="W55" s="172"/>
      <c r="X55" s="172"/>
      <c r="Y55" s="172"/>
      <c r="Z55" s="172"/>
      <c r="AA55" s="172"/>
      <c r="AB55" s="172"/>
      <c r="AC55" s="172"/>
      <c r="AD55" s="172"/>
      <c r="AE55" s="172"/>
      <c r="AF55" s="172"/>
      <c r="AG55" s="172"/>
      <c r="AH55" s="172"/>
      <c r="AI55" s="172"/>
      <c r="AJ55" s="172"/>
      <c r="AK55" s="172"/>
      <c r="AL55" s="172"/>
      <c r="AM55" s="172"/>
      <c r="AN55" s="172"/>
      <c r="AO55" s="172"/>
      <c r="AP55" s="172"/>
      <c r="AQ55" s="172"/>
      <c r="AR55" s="172"/>
      <c r="AS55" s="172"/>
    </row>
    <row r="56" spans="1:45" s="177" customFormat="1">
      <c r="A56" s="235"/>
      <c r="B56" s="140"/>
      <c r="C56" s="134"/>
      <c r="D56" s="134"/>
      <c r="E56" s="45"/>
      <c r="F56" s="45"/>
      <c r="G56" s="45"/>
      <c r="H56" s="45"/>
      <c r="I56" s="45"/>
      <c r="J56" s="45"/>
      <c r="K56" s="45"/>
      <c r="L56" s="45"/>
      <c r="M56" s="45"/>
      <c r="N56" s="45"/>
      <c r="O56" s="45"/>
      <c r="P56" s="45"/>
      <c r="Q56" s="45"/>
      <c r="R56" s="45"/>
      <c r="S56" s="45"/>
      <c r="T56" s="45"/>
      <c r="U56" s="45"/>
      <c r="V56" s="122"/>
      <c r="W56" s="172"/>
      <c r="X56" s="172"/>
      <c r="Y56" s="172"/>
      <c r="Z56" s="172"/>
      <c r="AA56" s="172"/>
      <c r="AB56" s="172"/>
      <c r="AC56" s="172"/>
      <c r="AD56" s="172"/>
      <c r="AE56" s="172"/>
      <c r="AF56" s="172"/>
      <c r="AG56" s="172"/>
      <c r="AH56" s="172"/>
      <c r="AI56" s="172"/>
      <c r="AJ56" s="172"/>
      <c r="AK56" s="172"/>
      <c r="AL56" s="172"/>
      <c r="AM56" s="172"/>
      <c r="AN56" s="172"/>
      <c r="AO56" s="172"/>
      <c r="AP56" s="172"/>
      <c r="AQ56" s="172"/>
      <c r="AR56" s="172"/>
      <c r="AS56" s="172"/>
    </row>
    <row r="57" spans="1:45" s="177" customFormat="1">
      <c r="A57" s="113" t="s">
        <v>253</v>
      </c>
      <c r="B57" s="232" t="s">
        <v>254</v>
      </c>
      <c r="C57" s="232"/>
      <c r="D57" s="232"/>
      <c r="E57" s="212" t="s">
        <v>254</v>
      </c>
      <c r="F57" s="212"/>
      <c r="G57" s="212"/>
      <c r="H57" s="212"/>
      <c r="I57" s="212"/>
      <c r="J57" s="212"/>
      <c r="K57" s="212"/>
      <c r="L57" s="212"/>
      <c r="M57" s="212"/>
      <c r="N57" s="212"/>
      <c r="O57" s="212"/>
      <c r="P57" s="212"/>
      <c r="Q57" s="212"/>
      <c r="R57" s="212"/>
      <c r="S57" s="208"/>
      <c r="T57" s="208"/>
      <c r="U57" s="208"/>
      <c r="V57" s="182"/>
      <c r="W57" s="172"/>
      <c r="X57" s="172"/>
      <c r="Y57" s="172"/>
      <c r="Z57" s="172"/>
      <c r="AA57" s="172"/>
      <c r="AB57" s="172"/>
      <c r="AC57" s="172"/>
      <c r="AD57" s="172"/>
      <c r="AE57" s="172"/>
      <c r="AF57" s="172"/>
      <c r="AG57" s="172"/>
      <c r="AH57" s="172"/>
      <c r="AI57" s="172"/>
      <c r="AJ57" s="172"/>
      <c r="AK57" s="172"/>
      <c r="AL57" s="172"/>
      <c r="AM57" s="172"/>
      <c r="AN57" s="172"/>
      <c r="AO57" s="172"/>
      <c r="AP57" s="172"/>
      <c r="AQ57" s="172"/>
      <c r="AR57" s="172"/>
      <c r="AS57" s="172"/>
    </row>
    <row r="58" spans="1:45" s="177" customFormat="1">
      <c r="A58" s="132" t="s">
        <v>255</v>
      </c>
      <c r="B58" s="132" t="s">
        <v>256</v>
      </c>
      <c r="C58" s="107"/>
      <c r="D58" s="107"/>
      <c r="E58" s="230" t="s">
        <v>257</v>
      </c>
      <c r="F58" s="230"/>
      <c r="G58" s="230" t="s">
        <v>258</v>
      </c>
      <c r="H58" s="230"/>
      <c r="I58" s="230"/>
      <c r="J58" s="230" t="s">
        <v>259</v>
      </c>
      <c r="K58" s="230"/>
      <c r="L58" s="230"/>
      <c r="M58" s="230" t="s">
        <v>260</v>
      </c>
      <c r="N58" s="230"/>
      <c r="O58" s="230"/>
      <c r="P58" s="230"/>
      <c r="Q58" s="230"/>
      <c r="R58" s="230"/>
      <c r="S58" s="72"/>
      <c r="T58" s="72"/>
      <c r="U58" s="72"/>
      <c r="V58" s="122">
        <v>15</v>
      </c>
      <c r="W58" s="172"/>
      <c r="X58" s="172"/>
      <c r="Y58" s="172"/>
      <c r="Z58" s="172"/>
      <c r="AA58" s="172"/>
      <c r="AB58" s="172"/>
      <c r="AC58" s="172"/>
      <c r="AD58" s="172"/>
      <c r="AE58" s="172"/>
      <c r="AF58" s="172"/>
      <c r="AG58" s="172"/>
      <c r="AH58" s="172"/>
      <c r="AI58" s="172"/>
      <c r="AJ58" s="172"/>
      <c r="AK58" s="172"/>
      <c r="AL58" s="172"/>
      <c r="AM58" s="172"/>
      <c r="AN58" s="172"/>
      <c r="AO58" s="172"/>
      <c r="AP58" s="172"/>
      <c r="AQ58" s="172"/>
      <c r="AR58" s="172"/>
      <c r="AS58" s="172"/>
    </row>
    <row r="59" spans="1:45" s="177" customFormat="1">
      <c r="A59" s="132" t="s">
        <v>255</v>
      </c>
      <c r="B59" s="132" t="s">
        <v>261</v>
      </c>
      <c r="C59" s="107"/>
      <c r="D59" s="107"/>
      <c r="E59" s="230"/>
      <c r="F59" s="230"/>
      <c r="G59" s="230"/>
      <c r="H59" s="230"/>
      <c r="I59" s="230"/>
      <c r="J59" s="230"/>
      <c r="K59" s="230"/>
      <c r="L59" s="230"/>
      <c r="M59" s="230"/>
      <c r="N59" s="230"/>
      <c r="O59" s="230"/>
      <c r="P59" s="230" t="s">
        <v>262</v>
      </c>
      <c r="Q59" s="230"/>
      <c r="R59" s="230"/>
      <c r="S59" s="230"/>
      <c r="T59" s="230"/>
      <c r="U59" s="230"/>
      <c r="V59" s="122">
        <v>0</v>
      </c>
      <c r="W59" s="172"/>
      <c r="X59" s="172"/>
      <c r="Y59" s="172"/>
      <c r="Z59" s="172"/>
      <c r="AA59" s="172"/>
      <c r="AB59" s="172"/>
      <c r="AC59" s="172"/>
      <c r="AD59" s="172"/>
      <c r="AE59" s="172"/>
      <c r="AF59" s="172"/>
      <c r="AG59" s="172"/>
      <c r="AH59" s="172"/>
      <c r="AI59" s="172"/>
      <c r="AJ59" s="172"/>
      <c r="AK59" s="172"/>
      <c r="AL59" s="172"/>
      <c r="AM59" s="172"/>
      <c r="AN59" s="172"/>
      <c r="AO59" s="172"/>
      <c r="AP59" s="172"/>
      <c r="AQ59" s="172"/>
      <c r="AR59" s="172"/>
      <c r="AS59" s="172"/>
    </row>
    <row r="60" spans="1:45" s="177" customFormat="1">
      <c r="A60" s="235"/>
      <c r="B60" s="140"/>
      <c r="C60" s="134"/>
      <c r="D60" s="134"/>
      <c r="E60" s="45"/>
      <c r="F60" s="45"/>
      <c r="G60" s="45"/>
      <c r="H60" s="45"/>
      <c r="I60" s="45"/>
      <c r="J60" s="45"/>
      <c r="K60" s="45"/>
      <c r="L60" s="45"/>
      <c r="M60" s="45"/>
      <c r="N60" s="45"/>
      <c r="O60" s="45"/>
      <c r="P60" s="45"/>
      <c r="Q60" s="45"/>
      <c r="R60" s="45"/>
      <c r="S60" s="45"/>
      <c r="T60" s="45"/>
      <c r="U60" s="45"/>
      <c r="V60" s="122"/>
      <c r="W60" s="172"/>
      <c r="X60" s="172"/>
      <c r="Y60" s="172"/>
      <c r="Z60" s="172"/>
      <c r="AA60" s="172"/>
      <c r="AB60" s="172"/>
      <c r="AC60" s="172"/>
      <c r="AD60" s="172"/>
      <c r="AE60" s="172"/>
      <c r="AF60" s="172"/>
      <c r="AG60" s="172"/>
      <c r="AH60" s="172"/>
      <c r="AI60" s="172"/>
      <c r="AJ60" s="172"/>
      <c r="AK60" s="172"/>
      <c r="AL60" s="172"/>
      <c r="AM60" s="172"/>
      <c r="AN60" s="172"/>
      <c r="AO60" s="172"/>
      <c r="AP60" s="172"/>
      <c r="AQ60" s="172"/>
      <c r="AR60" s="172"/>
      <c r="AS60" s="172"/>
    </row>
    <row r="61" spans="1:45" s="177" customFormat="1">
      <c r="A61" s="113" t="s">
        <v>263</v>
      </c>
      <c r="B61" s="232"/>
      <c r="C61" s="232"/>
      <c r="D61" s="232"/>
      <c r="E61" s="208"/>
      <c r="F61" s="208"/>
      <c r="G61" s="208"/>
      <c r="H61" s="208"/>
      <c r="I61" s="208"/>
      <c r="J61" s="208"/>
      <c r="K61" s="208"/>
      <c r="L61" s="208"/>
      <c r="M61" s="208"/>
      <c r="N61" s="208"/>
      <c r="O61" s="208"/>
      <c r="P61" s="208"/>
      <c r="Q61" s="208"/>
      <c r="R61" s="208"/>
      <c r="S61" s="208"/>
      <c r="T61" s="208"/>
      <c r="U61" s="208"/>
      <c r="V61" s="182"/>
      <c r="W61" s="172"/>
      <c r="X61" s="172"/>
      <c r="Y61" s="172"/>
      <c r="Z61" s="172"/>
      <c r="AA61" s="172"/>
      <c r="AB61" s="172"/>
      <c r="AC61" s="172"/>
      <c r="AD61" s="172"/>
      <c r="AE61" s="172"/>
      <c r="AF61" s="172"/>
      <c r="AG61" s="172"/>
      <c r="AH61" s="172"/>
      <c r="AI61" s="172"/>
      <c r="AJ61" s="172"/>
      <c r="AK61" s="172"/>
      <c r="AL61" s="172"/>
      <c r="AM61" s="172"/>
      <c r="AN61" s="172"/>
      <c r="AO61" s="172"/>
      <c r="AP61" s="172"/>
      <c r="AQ61" s="172"/>
      <c r="AR61" s="172"/>
      <c r="AS61" s="172"/>
    </row>
    <row r="62" spans="1:45" s="177" customFormat="1">
      <c r="A62" s="132" t="s">
        <v>113</v>
      </c>
      <c r="B62" s="132" t="s">
        <v>264</v>
      </c>
      <c r="C62" s="107"/>
      <c r="D62" s="107"/>
      <c r="E62" s="230" t="s">
        <v>265</v>
      </c>
      <c r="F62" s="230"/>
      <c r="G62" s="230" t="s">
        <v>266</v>
      </c>
      <c r="H62" s="230"/>
      <c r="I62" s="230"/>
      <c r="J62" s="230" t="s">
        <v>267</v>
      </c>
      <c r="K62" s="230"/>
      <c r="L62" s="230"/>
      <c r="M62" s="230" t="s">
        <v>268</v>
      </c>
      <c r="N62" s="230"/>
      <c r="O62" s="230"/>
      <c r="P62" s="230" t="s">
        <v>269</v>
      </c>
      <c r="Q62" s="230"/>
      <c r="R62" s="230"/>
      <c r="S62" s="230"/>
      <c r="T62" s="230"/>
      <c r="U62" s="230"/>
      <c r="V62" s="122">
        <v>6</v>
      </c>
      <c r="W62" s="172"/>
      <c r="X62" s="172"/>
      <c r="Y62" s="172"/>
      <c r="Z62" s="172"/>
      <c r="AA62" s="172"/>
      <c r="AB62" s="172"/>
      <c r="AC62" s="172"/>
      <c r="AD62" s="172"/>
      <c r="AE62" s="172"/>
      <c r="AF62" s="172"/>
      <c r="AG62" s="172"/>
      <c r="AH62" s="172"/>
      <c r="AI62" s="172"/>
      <c r="AJ62" s="172"/>
      <c r="AK62" s="172"/>
      <c r="AL62" s="172"/>
      <c r="AM62" s="172"/>
      <c r="AN62" s="172"/>
      <c r="AO62" s="172"/>
      <c r="AP62" s="172"/>
      <c r="AQ62" s="172"/>
      <c r="AR62" s="172"/>
      <c r="AS62" s="172"/>
    </row>
    <row r="63" spans="1:45" s="177" customFormat="1">
      <c r="A63" s="235"/>
      <c r="B63" s="140"/>
      <c r="C63" s="134"/>
      <c r="D63" s="134"/>
      <c r="E63" s="45"/>
      <c r="F63" s="45"/>
      <c r="G63" s="45"/>
      <c r="H63" s="45"/>
      <c r="I63" s="45"/>
      <c r="J63" s="45"/>
      <c r="K63" s="45"/>
      <c r="L63" s="45"/>
      <c r="M63" s="45"/>
      <c r="N63" s="45"/>
      <c r="O63" s="45"/>
      <c r="P63" s="45"/>
      <c r="Q63" s="45"/>
      <c r="R63" s="45"/>
      <c r="S63" s="45"/>
      <c r="T63" s="45"/>
      <c r="U63" s="45"/>
      <c r="V63" s="122"/>
      <c r="W63" s="172"/>
      <c r="X63" s="172"/>
      <c r="Y63" s="172"/>
      <c r="Z63" s="172"/>
      <c r="AA63" s="172"/>
      <c r="AB63" s="172"/>
      <c r="AC63" s="172"/>
      <c r="AD63" s="172"/>
      <c r="AE63" s="172"/>
      <c r="AF63" s="172"/>
      <c r="AG63" s="172"/>
      <c r="AH63" s="172"/>
      <c r="AI63" s="172"/>
      <c r="AJ63" s="172"/>
      <c r="AK63" s="172"/>
      <c r="AL63" s="172"/>
      <c r="AM63" s="172"/>
      <c r="AN63" s="172"/>
      <c r="AO63" s="172"/>
      <c r="AP63" s="172"/>
      <c r="AQ63" s="172"/>
      <c r="AR63" s="172"/>
      <c r="AS63" s="172"/>
    </row>
    <row r="64" spans="1:45" s="177" customFormat="1">
      <c r="A64" s="113" t="s">
        <v>270</v>
      </c>
      <c r="B64" s="232"/>
      <c r="C64" s="232"/>
      <c r="D64" s="232"/>
      <c r="E64" s="208"/>
      <c r="F64" s="208"/>
      <c r="G64" s="208"/>
      <c r="H64" s="208"/>
      <c r="I64" s="208"/>
      <c r="J64" s="208"/>
      <c r="K64" s="208"/>
      <c r="L64" s="208"/>
      <c r="M64" s="208"/>
      <c r="N64" s="208"/>
      <c r="O64" s="208"/>
      <c r="P64" s="208"/>
      <c r="Q64" s="208"/>
      <c r="R64" s="208"/>
      <c r="S64" s="208"/>
      <c r="T64" s="208"/>
      <c r="U64" s="208"/>
      <c r="V64" s="182"/>
      <c r="W64" s="172"/>
      <c r="X64" s="172"/>
      <c r="Y64" s="172"/>
      <c r="Z64" s="172"/>
      <c r="AA64" s="172"/>
      <c r="AB64" s="172"/>
      <c r="AC64" s="172"/>
      <c r="AD64" s="172"/>
      <c r="AE64" s="172"/>
      <c r="AF64" s="172"/>
      <c r="AG64" s="172"/>
      <c r="AH64" s="172"/>
      <c r="AI64" s="172"/>
      <c r="AJ64" s="172"/>
      <c r="AK64" s="172"/>
      <c r="AL64" s="172"/>
      <c r="AM64" s="172"/>
      <c r="AN64" s="172"/>
      <c r="AO64" s="172"/>
      <c r="AP64" s="172"/>
      <c r="AQ64" s="172"/>
      <c r="AR64" s="172"/>
      <c r="AS64" s="172"/>
    </row>
    <row r="65" spans="1:45" s="177" customFormat="1" ht="27.6">
      <c r="A65" s="132" t="s">
        <v>271</v>
      </c>
      <c r="B65" s="132" t="s">
        <v>272</v>
      </c>
      <c r="C65" s="107"/>
      <c r="D65" s="107"/>
      <c r="E65" s="230" t="s">
        <v>273</v>
      </c>
      <c r="F65" s="230"/>
      <c r="G65" s="230"/>
      <c r="H65" s="230"/>
      <c r="I65" s="230"/>
      <c r="J65" s="230"/>
      <c r="K65" s="230"/>
      <c r="L65" s="230"/>
      <c r="M65" s="230"/>
      <c r="N65" s="230"/>
      <c r="O65" s="230"/>
      <c r="P65" s="230"/>
      <c r="Q65" s="230"/>
      <c r="R65" s="230"/>
      <c r="S65" s="72"/>
      <c r="T65" s="72"/>
      <c r="U65" s="72"/>
      <c r="V65" s="122">
        <v>10</v>
      </c>
      <c r="W65" s="172"/>
      <c r="X65" s="172"/>
      <c r="Y65" s="172"/>
      <c r="Z65" s="172"/>
      <c r="AA65" s="172"/>
      <c r="AB65" s="172"/>
      <c r="AC65" s="172"/>
      <c r="AD65" s="172"/>
      <c r="AE65" s="172"/>
      <c r="AF65" s="172"/>
      <c r="AG65" s="172"/>
      <c r="AH65" s="172"/>
      <c r="AI65" s="172"/>
      <c r="AJ65" s="172"/>
      <c r="AK65" s="172"/>
      <c r="AL65" s="172"/>
      <c r="AM65" s="172"/>
      <c r="AN65" s="172"/>
      <c r="AO65" s="172"/>
      <c r="AP65" s="172"/>
      <c r="AQ65" s="172"/>
      <c r="AR65" s="172"/>
      <c r="AS65" s="172"/>
    </row>
    <row r="66" spans="1:45" s="177" customFormat="1">
      <c r="A66" s="235"/>
      <c r="B66" s="140"/>
      <c r="C66" s="134"/>
      <c r="D66" s="134"/>
      <c r="E66" s="45"/>
      <c r="F66" s="45"/>
      <c r="G66" s="45"/>
      <c r="H66" s="45"/>
      <c r="I66" s="45"/>
      <c r="J66" s="45"/>
      <c r="K66" s="45"/>
      <c r="L66" s="45"/>
      <c r="M66" s="45"/>
      <c r="N66" s="45"/>
      <c r="O66" s="45"/>
      <c r="P66" s="45"/>
      <c r="Q66" s="45"/>
      <c r="R66" s="45"/>
      <c r="S66" s="45"/>
      <c r="T66" s="45"/>
      <c r="U66" s="45"/>
      <c r="V66" s="122"/>
      <c r="W66" s="172"/>
      <c r="X66" s="172"/>
      <c r="Y66" s="172"/>
      <c r="Z66" s="172"/>
      <c r="AA66" s="172"/>
      <c r="AB66" s="172"/>
      <c r="AC66" s="172"/>
      <c r="AD66" s="172"/>
      <c r="AE66" s="172"/>
      <c r="AF66" s="172"/>
      <c r="AG66" s="172"/>
      <c r="AH66" s="172"/>
      <c r="AI66" s="172"/>
      <c r="AJ66" s="172"/>
      <c r="AK66" s="172"/>
      <c r="AL66" s="172"/>
      <c r="AM66" s="172"/>
      <c r="AN66" s="172"/>
      <c r="AO66" s="172"/>
      <c r="AP66" s="172"/>
      <c r="AQ66" s="172"/>
      <c r="AR66" s="172"/>
      <c r="AS66" s="172"/>
    </row>
    <row r="67" spans="1:45" s="177" customFormat="1">
      <c r="A67" s="113" t="s">
        <v>274</v>
      </c>
      <c r="B67" s="232"/>
      <c r="C67" s="232"/>
      <c r="D67" s="232"/>
      <c r="E67" s="208"/>
      <c r="F67" s="208"/>
      <c r="G67" s="208"/>
      <c r="H67" s="208"/>
      <c r="I67" s="208"/>
      <c r="J67" s="208"/>
      <c r="K67" s="208"/>
      <c r="L67" s="208"/>
      <c r="M67" s="208"/>
      <c r="N67" s="208"/>
      <c r="O67" s="208"/>
      <c r="P67" s="208"/>
      <c r="Q67" s="208"/>
      <c r="R67" s="208"/>
      <c r="S67" s="208"/>
      <c r="T67" s="208"/>
      <c r="U67" s="208"/>
      <c r="V67" s="182"/>
      <c r="W67" s="172"/>
      <c r="X67" s="172"/>
      <c r="Y67" s="172"/>
      <c r="Z67" s="172"/>
      <c r="AA67" s="172"/>
      <c r="AB67" s="172"/>
      <c r="AC67" s="172"/>
      <c r="AD67" s="172"/>
      <c r="AE67" s="172"/>
      <c r="AF67" s="172"/>
      <c r="AG67" s="172"/>
      <c r="AH67" s="172"/>
      <c r="AI67" s="172"/>
      <c r="AJ67" s="172"/>
      <c r="AK67" s="172"/>
      <c r="AL67" s="172"/>
      <c r="AM67" s="172"/>
      <c r="AN67" s="172"/>
      <c r="AO67" s="172"/>
      <c r="AP67" s="172"/>
      <c r="AQ67" s="172"/>
      <c r="AR67" s="172"/>
      <c r="AS67" s="172"/>
    </row>
    <row r="68" spans="1:45" s="177" customFormat="1">
      <c r="A68" s="132" t="s">
        <v>275</v>
      </c>
      <c r="B68" s="132" t="s">
        <v>276</v>
      </c>
      <c r="C68" s="107"/>
      <c r="D68" s="107"/>
      <c r="E68" s="230" t="s">
        <v>277</v>
      </c>
      <c r="F68" s="230"/>
      <c r="G68" s="230" t="s">
        <v>278</v>
      </c>
      <c r="H68" s="230"/>
      <c r="I68" s="230"/>
      <c r="J68" s="230" t="s">
        <v>279</v>
      </c>
      <c r="K68" s="230"/>
      <c r="L68" s="230"/>
      <c r="M68" s="230" t="s">
        <v>280</v>
      </c>
      <c r="N68" s="230"/>
      <c r="O68" s="230"/>
      <c r="P68" s="230" t="s">
        <v>281</v>
      </c>
      <c r="Q68" s="230"/>
      <c r="R68" s="230"/>
      <c r="S68" s="230"/>
      <c r="T68" s="230"/>
      <c r="U68" s="230"/>
      <c r="V68" s="122">
        <v>0</v>
      </c>
      <c r="W68" s="172"/>
      <c r="X68" s="172"/>
      <c r="Y68" s="172"/>
      <c r="Z68" s="172"/>
      <c r="AA68" s="172"/>
      <c r="AB68" s="172"/>
      <c r="AC68" s="172"/>
      <c r="AD68" s="172"/>
      <c r="AE68" s="172"/>
      <c r="AF68" s="172"/>
      <c r="AG68" s="172"/>
      <c r="AH68" s="172"/>
      <c r="AI68" s="172"/>
      <c r="AJ68" s="172"/>
      <c r="AK68" s="172"/>
      <c r="AL68" s="172"/>
      <c r="AM68" s="172"/>
      <c r="AN68" s="172"/>
      <c r="AO68" s="172"/>
      <c r="AP68" s="172"/>
      <c r="AQ68" s="172"/>
      <c r="AR68" s="172"/>
      <c r="AS68" s="172"/>
    </row>
    <row r="69" spans="1:45" s="177" customFormat="1">
      <c r="A69" s="235"/>
      <c r="B69" s="140"/>
      <c r="C69" s="134"/>
      <c r="D69" s="134"/>
      <c r="E69" s="45"/>
      <c r="F69" s="45"/>
      <c r="G69" s="45"/>
      <c r="H69" s="45"/>
      <c r="I69" s="45"/>
      <c r="J69" s="45"/>
      <c r="K69" s="45"/>
      <c r="L69" s="45"/>
      <c r="M69" s="45"/>
      <c r="N69" s="45"/>
      <c r="O69" s="45"/>
      <c r="P69" s="45"/>
      <c r="Q69" s="45"/>
      <c r="R69" s="45"/>
      <c r="S69" s="45"/>
      <c r="T69" s="45"/>
      <c r="U69" s="45"/>
      <c r="V69" s="122"/>
      <c r="W69" s="172"/>
      <c r="X69" s="172"/>
      <c r="Y69" s="172"/>
      <c r="Z69" s="172"/>
      <c r="AA69" s="172"/>
      <c r="AB69" s="172"/>
      <c r="AC69" s="172"/>
      <c r="AD69" s="172"/>
      <c r="AE69" s="172"/>
      <c r="AF69" s="172"/>
      <c r="AG69" s="172"/>
      <c r="AH69" s="172"/>
      <c r="AI69" s="172"/>
      <c r="AJ69" s="172"/>
      <c r="AK69" s="172"/>
      <c r="AL69" s="172"/>
      <c r="AM69" s="172"/>
      <c r="AN69" s="172"/>
      <c r="AO69" s="172"/>
      <c r="AP69" s="172"/>
      <c r="AQ69" s="172"/>
      <c r="AR69" s="172"/>
      <c r="AS69" s="172"/>
    </row>
    <row r="70" spans="1:45" s="177" customFormat="1">
      <c r="A70" s="113" t="s">
        <v>282</v>
      </c>
      <c r="B70" s="232"/>
      <c r="C70" s="232"/>
      <c r="D70" s="232"/>
      <c r="E70" s="208"/>
      <c r="F70" s="208"/>
      <c r="G70" s="208"/>
      <c r="H70" s="208"/>
      <c r="I70" s="208"/>
      <c r="J70" s="208"/>
      <c r="K70" s="208"/>
      <c r="L70" s="208"/>
      <c r="M70" s="208"/>
      <c r="N70" s="208"/>
      <c r="O70" s="208"/>
      <c r="P70" s="208"/>
      <c r="Q70" s="208"/>
      <c r="R70" s="208"/>
      <c r="S70" s="208"/>
      <c r="T70" s="208"/>
      <c r="U70" s="208"/>
      <c r="V70" s="182"/>
      <c r="W70" s="172"/>
      <c r="X70" s="172"/>
      <c r="Y70" s="172"/>
      <c r="Z70" s="172"/>
      <c r="AA70" s="172"/>
      <c r="AB70" s="172"/>
      <c r="AC70" s="172"/>
      <c r="AD70" s="172"/>
      <c r="AE70" s="172"/>
      <c r="AF70" s="172"/>
      <c r="AG70" s="172"/>
      <c r="AH70" s="172"/>
      <c r="AI70" s="172"/>
      <c r="AJ70" s="172"/>
      <c r="AK70" s="172"/>
      <c r="AL70" s="172"/>
      <c r="AM70" s="172"/>
      <c r="AN70" s="172"/>
      <c r="AO70" s="172"/>
      <c r="AP70" s="172"/>
      <c r="AQ70" s="172"/>
      <c r="AR70" s="172"/>
      <c r="AS70" s="172"/>
    </row>
    <row r="71" spans="1:45" s="177" customFormat="1">
      <c r="A71" s="132" t="s">
        <v>283</v>
      </c>
      <c r="B71" s="132" t="s">
        <v>284</v>
      </c>
      <c r="C71" s="107"/>
      <c r="D71" s="107"/>
      <c r="E71" s="230"/>
      <c r="F71" s="230"/>
      <c r="G71" s="230"/>
      <c r="H71" s="230"/>
      <c r="I71" s="230"/>
      <c r="J71" s="230"/>
      <c r="K71" s="230"/>
      <c r="L71" s="230"/>
      <c r="M71" s="230"/>
      <c r="N71" s="230"/>
      <c r="O71" s="230"/>
      <c r="P71" s="48" t="s">
        <v>995</v>
      </c>
      <c r="Q71" s="230"/>
      <c r="R71" s="230"/>
      <c r="S71" s="72"/>
      <c r="T71" s="72"/>
      <c r="U71" s="72"/>
      <c r="V71" s="122">
        <v>33</v>
      </c>
      <c r="W71" s="172"/>
      <c r="X71" s="172"/>
      <c r="Y71" s="172"/>
      <c r="Z71" s="172"/>
      <c r="AA71" s="172"/>
      <c r="AB71" s="172"/>
      <c r="AC71" s="172"/>
      <c r="AD71" s="172"/>
      <c r="AE71" s="172"/>
      <c r="AF71" s="172"/>
      <c r="AG71" s="172"/>
      <c r="AH71" s="172"/>
      <c r="AI71" s="172"/>
      <c r="AJ71" s="172"/>
      <c r="AK71" s="172"/>
      <c r="AL71" s="172"/>
      <c r="AM71" s="172"/>
      <c r="AN71" s="172"/>
      <c r="AO71" s="172"/>
      <c r="AP71" s="172"/>
      <c r="AQ71" s="172"/>
      <c r="AR71" s="172"/>
      <c r="AS71" s="172"/>
    </row>
    <row r="72" spans="1:45">
      <c r="A72" s="235"/>
      <c r="B72" s="140"/>
      <c r="C72" s="134"/>
      <c r="D72" s="134"/>
      <c r="E72" s="45"/>
      <c r="F72" s="45"/>
      <c r="G72" s="45"/>
      <c r="H72" s="45"/>
      <c r="I72" s="45"/>
      <c r="J72" s="45"/>
      <c r="K72" s="45"/>
      <c r="L72" s="45"/>
      <c r="M72" s="45"/>
      <c r="N72" s="45"/>
      <c r="O72" s="45"/>
      <c r="P72" s="45"/>
      <c r="Q72" s="45"/>
      <c r="R72" s="45"/>
      <c r="S72" s="45"/>
      <c r="T72" s="45"/>
      <c r="U72" s="45"/>
      <c r="V72" s="122"/>
    </row>
    <row r="73" spans="1:45">
      <c r="A73" s="98" t="s">
        <v>285</v>
      </c>
      <c r="B73" s="108"/>
      <c r="C73" s="108"/>
      <c r="D73" s="108"/>
      <c r="E73" s="226"/>
      <c r="F73" s="226"/>
      <c r="G73" s="226"/>
      <c r="H73" s="226"/>
      <c r="I73" s="226"/>
      <c r="J73" s="226"/>
      <c r="K73" s="226"/>
      <c r="L73" s="226"/>
      <c r="M73" s="226"/>
      <c r="N73" s="226"/>
      <c r="O73" s="226"/>
      <c r="P73" s="226"/>
      <c r="Q73" s="226"/>
      <c r="R73" s="226"/>
      <c r="S73" s="226"/>
      <c r="T73" s="226"/>
      <c r="U73" s="226"/>
      <c r="V73" s="182"/>
    </row>
    <row r="74" spans="1:45">
      <c r="A74" s="132" t="s">
        <v>286</v>
      </c>
      <c r="B74" s="132" t="s">
        <v>287</v>
      </c>
      <c r="C74" s="107"/>
      <c r="D74" s="107"/>
      <c r="E74" s="230" t="s">
        <v>288</v>
      </c>
      <c r="F74" s="230"/>
      <c r="G74" s="230" t="s">
        <v>288</v>
      </c>
      <c r="H74" s="230"/>
      <c r="I74" s="230"/>
      <c r="J74" s="230" t="s">
        <v>288</v>
      </c>
      <c r="K74" s="230"/>
      <c r="L74" s="230"/>
      <c r="M74" s="230" t="s">
        <v>288</v>
      </c>
      <c r="N74" s="230"/>
      <c r="O74" s="230"/>
      <c r="P74" s="230" t="s">
        <v>288</v>
      </c>
      <c r="Q74" s="230"/>
      <c r="R74" s="230"/>
      <c r="S74" s="72"/>
      <c r="T74" s="72"/>
      <c r="U74" s="72"/>
      <c r="V74" s="122">
        <v>10</v>
      </c>
    </row>
    <row r="75" spans="1:45" ht="27.6">
      <c r="A75" s="132" t="s">
        <v>289</v>
      </c>
      <c r="B75" s="99" t="s">
        <v>290</v>
      </c>
      <c r="C75" s="222"/>
      <c r="D75" s="222"/>
      <c r="E75" s="230" t="s">
        <v>291</v>
      </c>
      <c r="F75" s="230"/>
      <c r="G75" s="230" t="s">
        <v>291</v>
      </c>
      <c r="H75" s="230"/>
      <c r="I75" s="230"/>
      <c r="J75" s="230" t="s">
        <v>291</v>
      </c>
      <c r="K75" s="230"/>
      <c r="L75" s="230"/>
      <c r="M75" s="230" t="s">
        <v>291</v>
      </c>
      <c r="N75" s="230"/>
      <c r="O75" s="230"/>
      <c r="P75" s="230" t="s">
        <v>291</v>
      </c>
      <c r="Q75" s="230"/>
      <c r="R75" s="230"/>
      <c r="S75" s="72"/>
      <c r="T75" s="72"/>
      <c r="U75" s="72"/>
      <c r="V75" s="122">
        <v>30</v>
      </c>
    </row>
    <row r="76" spans="1:45">
      <c r="A76" s="132" t="s">
        <v>292</v>
      </c>
      <c r="B76" s="132" t="s">
        <v>293</v>
      </c>
      <c r="C76" s="107"/>
      <c r="D76" s="107"/>
      <c r="E76" s="230" t="s">
        <v>294</v>
      </c>
      <c r="F76" s="230"/>
      <c r="G76" s="230" t="s">
        <v>294</v>
      </c>
      <c r="H76" s="230"/>
      <c r="I76" s="230"/>
      <c r="J76" s="230" t="s">
        <v>294</v>
      </c>
      <c r="K76" s="230"/>
      <c r="L76" s="230"/>
      <c r="M76" s="230" t="s">
        <v>294</v>
      </c>
      <c r="N76" s="230"/>
      <c r="O76" s="230"/>
      <c r="P76" s="230" t="s">
        <v>294</v>
      </c>
      <c r="Q76" s="230"/>
      <c r="R76" s="230"/>
      <c r="S76" s="72"/>
      <c r="T76" s="72"/>
      <c r="U76" s="72"/>
      <c r="V76" s="122">
        <v>158</v>
      </c>
    </row>
    <row r="77" spans="1:45">
      <c r="A77" s="132" t="s">
        <v>295</v>
      </c>
      <c r="B77" s="132" t="s">
        <v>296</v>
      </c>
      <c r="C77" s="107"/>
      <c r="D77" s="107"/>
      <c r="E77" s="230" t="s">
        <v>297</v>
      </c>
      <c r="F77" s="230"/>
      <c r="G77" s="230" t="s">
        <v>297</v>
      </c>
      <c r="H77" s="230"/>
      <c r="I77" s="230"/>
      <c r="J77" s="230" t="s">
        <v>297</v>
      </c>
      <c r="K77" s="230"/>
      <c r="L77" s="230"/>
      <c r="M77" s="230" t="s">
        <v>297</v>
      </c>
      <c r="N77" s="230"/>
      <c r="O77" s="230"/>
      <c r="P77" s="230" t="s">
        <v>298</v>
      </c>
      <c r="Q77" s="230"/>
      <c r="R77" s="230"/>
      <c r="S77" s="72"/>
      <c r="T77" s="72"/>
      <c r="U77" s="72"/>
      <c r="V77" s="122">
        <v>22</v>
      </c>
    </row>
    <row r="78" spans="1:45" ht="27.6">
      <c r="A78" s="132" t="s">
        <v>299</v>
      </c>
      <c r="B78" s="142" t="s">
        <v>300</v>
      </c>
      <c r="C78" s="107"/>
      <c r="D78" s="107"/>
      <c r="E78" s="48" t="s">
        <v>301</v>
      </c>
      <c r="F78" s="48"/>
      <c r="G78" s="48" t="s">
        <v>301</v>
      </c>
      <c r="H78" s="48"/>
      <c r="I78" s="48"/>
      <c r="J78" s="48" t="s">
        <v>301</v>
      </c>
      <c r="K78" s="48"/>
      <c r="L78" s="48"/>
      <c r="M78" s="48" t="s">
        <v>301</v>
      </c>
      <c r="N78" s="48"/>
      <c r="O78" s="48"/>
      <c r="P78" s="48" t="s">
        <v>302</v>
      </c>
      <c r="Q78" s="48"/>
      <c r="R78" s="48"/>
      <c r="S78" s="30"/>
      <c r="T78" s="30"/>
      <c r="U78" s="30"/>
      <c r="V78" s="228">
        <v>52</v>
      </c>
    </row>
    <row r="79" spans="1:45">
      <c r="A79" s="235"/>
      <c r="B79" s="140"/>
      <c r="C79" s="134"/>
      <c r="D79" s="134"/>
      <c r="E79" s="45"/>
      <c r="F79" s="45"/>
      <c r="G79" s="45"/>
      <c r="H79" s="45"/>
      <c r="I79" s="45"/>
      <c r="J79" s="45"/>
      <c r="K79" s="45"/>
      <c r="L79" s="45"/>
      <c r="M79" s="45"/>
      <c r="N79" s="45"/>
      <c r="O79" s="45"/>
      <c r="P79" s="45"/>
      <c r="Q79" s="45"/>
      <c r="R79" s="45"/>
      <c r="S79" s="45"/>
      <c r="T79" s="45"/>
      <c r="U79" s="45"/>
      <c r="V79" s="181"/>
    </row>
    <row r="80" spans="1:45" s="237" customFormat="1">
      <c r="A80" s="85" t="s">
        <v>303</v>
      </c>
      <c r="B80" s="85"/>
      <c r="C80" s="85"/>
      <c r="D80" s="85"/>
      <c r="E80" s="85"/>
      <c r="F80" s="85"/>
      <c r="G80" s="85"/>
      <c r="H80" s="85"/>
      <c r="I80" s="85"/>
      <c r="J80" s="85"/>
      <c r="K80" s="85"/>
      <c r="L80" s="85"/>
      <c r="M80" s="85"/>
      <c r="N80" s="85"/>
      <c r="O80" s="85"/>
      <c r="P80" s="85"/>
      <c r="Q80" s="85"/>
      <c r="R80" s="85"/>
      <c r="S80" s="85"/>
      <c r="T80" s="85"/>
      <c r="U80" s="85"/>
      <c r="V80" s="184"/>
      <c r="W80" s="169"/>
      <c r="X80" s="169"/>
      <c r="Y80" s="169"/>
      <c r="Z80" s="169"/>
      <c r="AA80" s="169"/>
      <c r="AB80" s="169"/>
      <c r="AC80" s="169"/>
      <c r="AD80" s="169"/>
      <c r="AE80" s="169"/>
      <c r="AF80" s="169"/>
      <c r="AG80" s="169"/>
      <c r="AH80" s="169"/>
      <c r="AI80" s="169"/>
      <c r="AJ80" s="169"/>
      <c r="AK80" s="169"/>
      <c r="AL80" s="169"/>
      <c r="AM80" s="169"/>
      <c r="AN80" s="169"/>
      <c r="AO80" s="169"/>
      <c r="AP80" s="169"/>
      <c r="AQ80" s="169"/>
      <c r="AR80" s="169"/>
      <c r="AS80" s="169"/>
    </row>
    <row r="81" spans="1:45" s="10" customFormat="1" ht="82.8">
      <c r="A81" s="100" t="s">
        <v>141</v>
      </c>
      <c r="B81" s="100" t="s">
        <v>142</v>
      </c>
      <c r="C81" s="100" t="s">
        <v>143</v>
      </c>
      <c r="D81" s="100" t="s">
        <v>144</v>
      </c>
      <c r="E81" s="100"/>
      <c r="F81" s="100"/>
      <c r="G81" s="100"/>
      <c r="H81" s="100"/>
      <c r="I81" s="100"/>
      <c r="J81" s="100"/>
      <c r="K81" s="100"/>
      <c r="L81" s="100"/>
      <c r="M81" s="100"/>
      <c r="N81" s="100"/>
      <c r="O81" s="100"/>
      <c r="P81" s="100"/>
      <c r="Q81" s="100"/>
      <c r="R81" s="100"/>
      <c r="S81" s="100"/>
      <c r="T81" s="100"/>
      <c r="U81" s="100"/>
      <c r="V81" s="73" t="s">
        <v>145</v>
      </c>
      <c r="W81" s="9"/>
      <c r="X81" s="9"/>
      <c r="Y81" s="9"/>
      <c r="Z81" s="9"/>
      <c r="AA81" s="9"/>
      <c r="AB81" s="9"/>
      <c r="AC81" s="9"/>
      <c r="AD81" s="9"/>
      <c r="AE81" s="9"/>
      <c r="AF81" s="9"/>
      <c r="AG81" s="9"/>
      <c r="AH81" s="9"/>
      <c r="AI81" s="9"/>
      <c r="AJ81" s="9"/>
      <c r="AK81" s="9"/>
      <c r="AL81" s="9"/>
      <c r="AM81" s="9"/>
      <c r="AN81" s="9"/>
      <c r="AO81" s="9"/>
      <c r="AP81" s="9"/>
      <c r="AQ81" s="9"/>
      <c r="AR81" s="9"/>
      <c r="AS81" s="9"/>
    </row>
    <row r="82" spans="1:45">
      <c r="A82" s="235"/>
      <c r="B82" s="140"/>
      <c r="C82" s="134"/>
      <c r="D82" s="134"/>
      <c r="E82" s="45"/>
      <c r="F82" s="45"/>
      <c r="G82" s="45"/>
      <c r="H82" s="45"/>
      <c r="I82" s="45"/>
      <c r="J82" s="45"/>
      <c r="K82" s="45"/>
      <c r="L82" s="45"/>
      <c r="M82" s="45"/>
      <c r="N82" s="45"/>
      <c r="O82" s="45"/>
      <c r="P82" s="45"/>
      <c r="Q82" s="45"/>
      <c r="R82" s="45"/>
      <c r="S82" s="45"/>
      <c r="T82" s="45"/>
      <c r="U82" s="45"/>
      <c r="V82" s="181"/>
    </row>
    <row r="83" spans="1:45" ht="151.80000000000001">
      <c r="A83" s="142" t="s">
        <v>1995</v>
      </c>
      <c r="B83" s="52" t="s">
        <v>1711</v>
      </c>
      <c r="C83" s="150"/>
      <c r="D83" s="150"/>
      <c r="E83" s="104"/>
      <c r="F83" s="104"/>
      <c r="G83" s="104"/>
      <c r="H83" s="104"/>
      <c r="I83" s="104"/>
      <c r="J83" s="104"/>
      <c r="K83" s="104"/>
      <c r="L83" s="104"/>
      <c r="M83" s="104"/>
      <c r="N83" s="104"/>
      <c r="O83" s="104"/>
      <c r="P83" s="104"/>
      <c r="Q83" s="104"/>
      <c r="R83" s="104"/>
      <c r="S83" s="104"/>
      <c r="T83" s="104"/>
      <c r="U83" s="104"/>
      <c r="V83" s="228">
        <v>466</v>
      </c>
      <c r="W83" s="171"/>
      <c r="X83" s="171"/>
      <c r="Y83" s="171"/>
      <c r="Z83" s="171"/>
      <c r="AA83" s="171"/>
      <c r="AB83" s="171"/>
      <c r="AC83" s="171"/>
      <c r="AD83" s="171"/>
      <c r="AE83" s="171"/>
      <c r="AF83" s="171"/>
      <c r="AG83" s="171"/>
      <c r="AH83" s="171"/>
      <c r="AI83" s="171"/>
      <c r="AJ83" s="171"/>
      <c r="AK83" s="171"/>
      <c r="AL83" s="171"/>
      <c r="AM83" s="171"/>
      <c r="AN83" s="171"/>
      <c r="AO83" s="171"/>
      <c r="AP83" s="171"/>
      <c r="AQ83" s="171"/>
      <c r="AR83" s="171"/>
      <c r="AS83" s="171"/>
    </row>
    <row r="84" spans="1:45">
      <c r="A84" s="235"/>
      <c r="B84" s="140"/>
      <c r="C84" s="134"/>
      <c r="D84" s="134"/>
      <c r="E84" s="45"/>
      <c r="F84" s="45"/>
      <c r="G84" s="45"/>
      <c r="H84" s="45"/>
      <c r="I84" s="45"/>
      <c r="J84" s="45"/>
      <c r="K84" s="45"/>
      <c r="L84" s="45"/>
      <c r="M84" s="45"/>
      <c r="N84" s="45"/>
      <c r="O84" s="45"/>
      <c r="P84" s="45"/>
      <c r="Q84" s="45"/>
      <c r="R84" s="45"/>
      <c r="S84" s="45"/>
      <c r="T84" s="45"/>
      <c r="U84" s="45"/>
      <c r="V84" s="122"/>
    </row>
    <row r="85" spans="1:45" ht="151.80000000000001">
      <c r="A85" s="142" t="s">
        <v>1892</v>
      </c>
      <c r="B85" s="52" t="s">
        <v>1712</v>
      </c>
      <c r="C85" s="150"/>
      <c r="D85" s="150"/>
      <c r="E85" s="104"/>
      <c r="F85" s="104"/>
      <c r="G85" s="104"/>
      <c r="H85" s="104"/>
      <c r="I85" s="104"/>
      <c r="J85" s="104"/>
      <c r="K85" s="104"/>
      <c r="L85" s="104"/>
      <c r="M85" s="104"/>
      <c r="N85" s="104"/>
      <c r="O85" s="104"/>
      <c r="P85" s="104"/>
      <c r="Q85" s="104"/>
      <c r="R85" s="104"/>
      <c r="S85" s="104"/>
      <c r="T85" s="104"/>
      <c r="U85" s="104"/>
      <c r="V85" s="228">
        <v>463</v>
      </c>
      <c r="W85" s="171"/>
      <c r="X85" s="171"/>
      <c r="Y85" s="171"/>
      <c r="Z85" s="171"/>
      <c r="AA85" s="171"/>
      <c r="AB85" s="171"/>
      <c r="AC85" s="171"/>
      <c r="AD85" s="171"/>
      <c r="AE85" s="171"/>
      <c r="AF85" s="171"/>
      <c r="AG85" s="171"/>
      <c r="AH85" s="171"/>
      <c r="AI85" s="171"/>
      <c r="AJ85" s="171"/>
      <c r="AK85" s="171"/>
      <c r="AL85" s="171"/>
      <c r="AM85" s="171"/>
      <c r="AN85" s="171"/>
      <c r="AO85" s="171"/>
      <c r="AP85" s="171"/>
      <c r="AQ85" s="171"/>
      <c r="AR85" s="171"/>
      <c r="AS85" s="171"/>
    </row>
    <row r="86" spans="1:45">
      <c r="A86" s="71"/>
      <c r="B86" s="52"/>
      <c r="C86" s="150"/>
      <c r="D86" s="150"/>
      <c r="E86" s="104"/>
      <c r="F86" s="104"/>
      <c r="G86" s="104"/>
      <c r="H86" s="104"/>
      <c r="I86" s="104"/>
      <c r="J86" s="104"/>
      <c r="K86" s="104"/>
      <c r="L86" s="104"/>
      <c r="M86" s="104"/>
      <c r="N86" s="104"/>
      <c r="O86" s="104"/>
      <c r="P86" s="104"/>
      <c r="Q86" s="104"/>
      <c r="R86" s="104"/>
      <c r="S86" s="104"/>
      <c r="T86" s="104"/>
      <c r="U86" s="104"/>
      <c r="V86" s="181"/>
    </row>
    <row r="87" spans="1:45" ht="151.80000000000001">
      <c r="A87" s="142" t="s">
        <v>1894</v>
      </c>
      <c r="B87" s="52" t="s">
        <v>1713</v>
      </c>
      <c r="C87" s="150"/>
      <c r="D87" s="150"/>
      <c r="E87" s="104"/>
      <c r="F87" s="104"/>
      <c r="G87" s="104"/>
      <c r="H87" s="104"/>
      <c r="I87" s="104"/>
      <c r="J87" s="104"/>
      <c r="K87" s="104"/>
      <c r="L87" s="104"/>
      <c r="M87" s="104"/>
      <c r="N87" s="104"/>
      <c r="O87" s="104"/>
      <c r="P87" s="104"/>
      <c r="Q87" s="104"/>
      <c r="R87" s="104"/>
      <c r="S87" s="104"/>
      <c r="T87" s="104"/>
      <c r="U87" s="104"/>
      <c r="V87" s="228">
        <v>445</v>
      </c>
      <c r="W87" s="171"/>
      <c r="X87" s="171"/>
      <c r="Y87" s="171"/>
      <c r="Z87" s="171"/>
      <c r="AA87" s="171"/>
      <c r="AB87" s="171"/>
      <c r="AC87" s="171"/>
      <c r="AD87" s="171"/>
      <c r="AE87" s="171"/>
      <c r="AF87" s="171"/>
      <c r="AG87" s="171"/>
      <c r="AH87" s="171"/>
      <c r="AI87" s="171"/>
      <c r="AJ87" s="171"/>
      <c r="AK87" s="171"/>
      <c r="AL87" s="171"/>
      <c r="AM87" s="171"/>
      <c r="AN87" s="171"/>
      <c r="AO87" s="171"/>
      <c r="AP87" s="171"/>
      <c r="AQ87" s="171"/>
      <c r="AR87" s="171"/>
      <c r="AS87" s="171"/>
    </row>
    <row r="88" spans="1:45">
      <c r="A88" s="69"/>
      <c r="B88" s="52"/>
      <c r="C88" s="150"/>
      <c r="D88" s="150"/>
      <c r="E88" s="104"/>
      <c r="F88" s="104"/>
      <c r="G88" s="104"/>
      <c r="H88" s="104"/>
      <c r="I88" s="104"/>
      <c r="J88" s="104"/>
      <c r="K88" s="104"/>
      <c r="L88" s="104"/>
      <c r="M88" s="104"/>
      <c r="N88" s="104"/>
      <c r="O88" s="104"/>
      <c r="P88" s="104"/>
      <c r="Q88" s="104"/>
      <c r="R88" s="104"/>
      <c r="S88" s="104"/>
      <c r="T88" s="104"/>
      <c r="U88" s="104"/>
      <c r="V88" s="122"/>
    </row>
    <row r="89" spans="1:45" ht="157.94999999999999" customHeight="1">
      <c r="A89" s="142" t="s">
        <v>1893</v>
      </c>
      <c r="B89" s="52" t="s">
        <v>1714</v>
      </c>
      <c r="C89" s="150"/>
      <c r="D89" s="150"/>
      <c r="E89" s="104"/>
      <c r="F89" s="104"/>
      <c r="G89" s="104"/>
      <c r="H89" s="104"/>
      <c r="I89" s="104"/>
      <c r="J89" s="104"/>
      <c r="K89" s="104"/>
      <c r="L89" s="104"/>
      <c r="M89" s="104"/>
      <c r="N89" s="104"/>
      <c r="O89" s="104"/>
      <c r="P89" s="104"/>
      <c r="Q89" s="104"/>
      <c r="R89" s="104"/>
      <c r="S89" s="104"/>
      <c r="T89" s="104"/>
      <c r="U89" s="104"/>
      <c r="V89" s="228">
        <v>465</v>
      </c>
      <c r="W89" s="171"/>
      <c r="X89" s="171"/>
      <c r="Y89" s="171"/>
      <c r="Z89" s="171"/>
      <c r="AA89" s="171"/>
      <c r="AB89" s="171"/>
      <c r="AC89" s="171"/>
      <c r="AD89" s="171"/>
      <c r="AE89" s="171"/>
      <c r="AF89" s="171"/>
      <c r="AG89" s="171"/>
      <c r="AH89" s="171"/>
      <c r="AI89" s="171"/>
      <c r="AJ89" s="171"/>
      <c r="AK89" s="171"/>
      <c r="AL89" s="171"/>
      <c r="AM89" s="171"/>
      <c r="AN89" s="171"/>
      <c r="AO89" s="171"/>
      <c r="AP89" s="171"/>
      <c r="AQ89" s="171"/>
      <c r="AR89" s="171"/>
      <c r="AS89" s="171"/>
    </row>
    <row r="90" spans="1:45">
      <c r="A90" s="71"/>
      <c r="B90" s="52"/>
      <c r="C90" s="150"/>
      <c r="D90" s="150"/>
      <c r="E90" s="104"/>
      <c r="F90" s="104"/>
      <c r="G90" s="104"/>
      <c r="H90" s="104"/>
      <c r="I90" s="104"/>
      <c r="J90" s="104"/>
      <c r="K90" s="104"/>
      <c r="L90" s="104"/>
      <c r="M90" s="104"/>
      <c r="N90" s="104"/>
      <c r="O90" s="104"/>
      <c r="P90" s="104"/>
      <c r="Q90" s="104"/>
      <c r="R90" s="104"/>
      <c r="S90" s="104"/>
      <c r="T90" s="104"/>
      <c r="U90" s="104"/>
      <c r="V90" s="122"/>
    </row>
    <row r="91" spans="1:45" ht="160.94999999999999" customHeight="1">
      <c r="A91" s="142" t="s">
        <v>1895</v>
      </c>
      <c r="B91" s="52" t="s">
        <v>1715</v>
      </c>
      <c r="C91" s="150"/>
      <c r="D91" s="150"/>
      <c r="E91" s="104"/>
      <c r="F91" s="104"/>
      <c r="G91" s="104"/>
      <c r="H91" s="104"/>
      <c r="I91" s="104"/>
      <c r="J91" s="104"/>
      <c r="K91" s="104"/>
      <c r="L91" s="104"/>
      <c r="M91" s="104"/>
      <c r="N91" s="104"/>
      <c r="O91" s="104"/>
      <c r="P91" s="104"/>
      <c r="Q91" s="104"/>
      <c r="R91" s="104"/>
      <c r="S91" s="104"/>
      <c r="T91" s="104"/>
      <c r="U91" s="104"/>
      <c r="V91" s="228">
        <v>447</v>
      </c>
      <c r="W91" s="171"/>
      <c r="X91" s="171"/>
      <c r="Y91" s="171"/>
      <c r="Z91" s="171"/>
      <c r="AA91" s="171"/>
      <c r="AB91" s="171"/>
      <c r="AC91" s="171"/>
      <c r="AD91" s="171"/>
      <c r="AE91" s="171"/>
      <c r="AF91" s="171"/>
      <c r="AG91" s="171"/>
      <c r="AH91" s="171"/>
      <c r="AI91" s="171"/>
      <c r="AJ91" s="171"/>
      <c r="AK91" s="171"/>
      <c r="AL91" s="171"/>
      <c r="AM91" s="171"/>
      <c r="AN91" s="171"/>
      <c r="AO91" s="171"/>
      <c r="AP91" s="171"/>
      <c r="AQ91" s="171"/>
      <c r="AR91" s="171"/>
      <c r="AS91" s="171"/>
    </row>
    <row r="92" spans="1:45">
      <c r="A92" s="71"/>
      <c r="B92" s="52"/>
      <c r="C92" s="150"/>
      <c r="D92" s="150"/>
      <c r="E92" s="104"/>
      <c r="F92" s="104"/>
      <c r="G92" s="104"/>
      <c r="H92" s="104"/>
      <c r="I92" s="104"/>
      <c r="J92" s="104"/>
      <c r="K92" s="104"/>
      <c r="L92" s="104"/>
      <c r="M92" s="104"/>
      <c r="N92" s="104"/>
      <c r="O92" s="104"/>
      <c r="P92" s="104"/>
      <c r="Q92" s="104"/>
      <c r="R92" s="104"/>
      <c r="S92" s="104"/>
      <c r="T92" s="104"/>
      <c r="U92" s="104"/>
      <c r="V92" s="122"/>
    </row>
    <row r="93" spans="1:45" s="10" customFormat="1" ht="27.6">
      <c r="A93" s="19" t="s">
        <v>304</v>
      </c>
      <c r="B93" s="100" t="s">
        <v>305</v>
      </c>
      <c r="C93" s="100" t="s">
        <v>143</v>
      </c>
      <c r="D93" s="100" t="s">
        <v>144</v>
      </c>
      <c r="E93" s="100" t="s">
        <v>306</v>
      </c>
      <c r="F93" s="100" t="s">
        <v>1716</v>
      </c>
      <c r="G93" s="100" t="s">
        <v>307</v>
      </c>
      <c r="H93" s="100" t="s">
        <v>1719</v>
      </c>
      <c r="I93" s="100"/>
      <c r="J93" s="100" t="s">
        <v>308</v>
      </c>
      <c r="K93" s="100" t="s">
        <v>1723</v>
      </c>
      <c r="L93" s="100"/>
      <c r="M93" s="100" t="s">
        <v>309</v>
      </c>
      <c r="N93" s="100" t="s">
        <v>1726</v>
      </c>
      <c r="O93" s="100"/>
      <c r="P93" s="100" t="s">
        <v>310</v>
      </c>
      <c r="Q93" s="100" t="s">
        <v>1730</v>
      </c>
      <c r="R93" s="100"/>
      <c r="S93" s="100"/>
      <c r="T93" s="100"/>
      <c r="U93" s="100"/>
      <c r="V93" s="11"/>
      <c r="W93" s="9"/>
      <c r="X93" s="9"/>
      <c r="Y93" s="9"/>
      <c r="Z93" s="9"/>
      <c r="AA93" s="9"/>
      <c r="AB93" s="9"/>
      <c r="AC93" s="9"/>
      <c r="AD93" s="9"/>
      <c r="AE93" s="9"/>
      <c r="AF93" s="9"/>
      <c r="AG93" s="9"/>
      <c r="AH93" s="9"/>
      <c r="AI93" s="9"/>
      <c r="AJ93" s="9"/>
      <c r="AK93" s="9"/>
      <c r="AL93" s="9"/>
      <c r="AM93" s="9"/>
      <c r="AN93" s="9"/>
      <c r="AO93" s="9"/>
      <c r="AP93" s="9"/>
      <c r="AQ93" s="9"/>
      <c r="AR93" s="9"/>
      <c r="AS93" s="9"/>
    </row>
    <row r="94" spans="1:45">
      <c r="A94" s="98" t="s">
        <v>162</v>
      </c>
      <c r="B94" s="108" t="s">
        <v>311</v>
      </c>
      <c r="C94" s="108"/>
      <c r="D94" s="108"/>
      <c r="E94" s="223"/>
      <c r="F94" s="223"/>
      <c r="G94" s="223"/>
      <c r="H94" s="223"/>
      <c r="I94" s="223"/>
      <c r="J94" s="223"/>
      <c r="K94" s="223"/>
      <c r="L94" s="223"/>
      <c r="M94" s="223"/>
      <c r="N94" s="223"/>
      <c r="O94" s="223"/>
      <c r="P94" s="223"/>
      <c r="Q94" s="223"/>
      <c r="R94" s="223"/>
      <c r="S94" s="226"/>
      <c r="T94" s="226"/>
      <c r="U94" s="226"/>
      <c r="V94" s="182"/>
    </row>
    <row r="95" spans="1:45" s="177" customFormat="1" ht="41.4">
      <c r="A95" s="95" t="s">
        <v>1942</v>
      </c>
      <c r="B95" s="129" t="s">
        <v>1851</v>
      </c>
      <c r="C95" s="351"/>
      <c r="D95" s="191" t="s">
        <v>1639</v>
      </c>
      <c r="E95" s="104"/>
      <c r="F95" s="306" t="s">
        <v>1836</v>
      </c>
      <c r="G95" s="104"/>
      <c r="H95" s="306" t="s">
        <v>1843</v>
      </c>
      <c r="I95" s="104"/>
      <c r="J95" s="104"/>
      <c r="K95" s="104"/>
      <c r="L95" s="104"/>
      <c r="M95" s="138"/>
      <c r="N95" s="306" t="s">
        <v>1850</v>
      </c>
      <c r="O95" s="48"/>
      <c r="P95" s="104"/>
      <c r="Q95" s="104"/>
      <c r="R95" s="104"/>
      <c r="S95" s="104"/>
      <c r="T95" s="104"/>
      <c r="U95" s="104"/>
      <c r="V95" s="23">
        <v>0</v>
      </c>
    </row>
    <row r="96" spans="1:45" s="177" customFormat="1" ht="41.4">
      <c r="A96" s="95" t="s">
        <v>1640</v>
      </c>
      <c r="B96" s="76" t="s">
        <v>1853</v>
      </c>
      <c r="C96" s="344" t="s">
        <v>312</v>
      </c>
      <c r="D96" s="191" t="s">
        <v>1639</v>
      </c>
      <c r="E96" s="104"/>
      <c r="F96" s="306" t="s">
        <v>1835</v>
      </c>
      <c r="G96" s="104"/>
      <c r="H96" s="306" t="s">
        <v>1844</v>
      </c>
      <c r="I96" s="104"/>
      <c r="J96" s="104"/>
      <c r="K96" s="104"/>
      <c r="L96" s="104"/>
      <c r="M96" s="138"/>
      <c r="N96" s="306" t="s">
        <v>1852</v>
      </c>
      <c r="O96" s="48"/>
      <c r="P96" s="104"/>
      <c r="Q96" s="104"/>
      <c r="R96" s="104"/>
      <c r="S96" s="104"/>
      <c r="T96" s="104"/>
      <c r="U96" s="104"/>
      <c r="V96" s="23">
        <v>156</v>
      </c>
    </row>
    <row r="97" spans="1:45" s="177" customFormat="1" ht="41.4">
      <c r="A97" s="95" t="s">
        <v>1943</v>
      </c>
      <c r="B97" s="129" t="s">
        <v>1853</v>
      </c>
      <c r="C97" s="344" t="s">
        <v>312</v>
      </c>
      <c r="D97" s="191" t="s">
        <v>1639</v>
      </c>
      <c r="E97" s="104"/>
      <c r="F97" s="306" t="s">
        <v>1837</v>
      </c>
      <c r="G97" s="104"/>
      <c r="H97" s="306" t="s">
        <v>1845</v>
      </c>
      <c r="I97" s="104"/>
      <c r="J97" s="104"/>
      <c r="K97" s="104"/>
      <c r="L97" s="104"/>
      <c r="M97" s="138"/>
      <c r="N97" s="306" t="s">
        <v>1854</v>
      </c>
      <c r="O97" s="48"/>
      <c r="P97" s="104"/>
      <c r="Q97" s="104"/>
      <c r="R97" s="104"/>
      <c r="S97" s="104"/>
      <c r="T97" s="104"/>
      <c r="U97" s="104"/>
      <c r="V97" s="23">
        <v>156</v>
      </c>
    </row>
    <row r="98" spans="1:45" s="177" customFormat="1" ht="41.4">
      <c r="A98" s="95" t="s">
        <v>1839</v>
      </c>
      <c r="B98" s="129" t="s">
        <v>1856</v>
      </c>
      <c r="C98" s="351"/>
      <c r="D98" s="191" t="s">
        <v>1639</v>
      </c>
      <c r="E98" s="104"/>
      <c r="F98" s="306" t="s">
        <v>1838</v>
      </c>
      <c r="G98" s="104"/>
      <c r="H98" s="306" t="s">
        <v>1846</v>
      </c>
      <c r="I98" s="104"/>
      <c r="J98" s="104"/>
      <c r="K98" s="104"/>
      <c r="L98" s="104"/>
      <c r="M98" s="138"/>
      <c r="N98" s="306" t="s">
        <v>1855</v>
      </c>
      <c r="O98" s="48"/>
      <c r="P98" s="104"/>
      <c r="Q98" s="104"/>
      <c r="R98" s="104"/>
      <c r="S98" s="104"/>
      <c r="T98" s="104"/>
      <c r="U98" s="104"/>
      <c r="V98" s="23">
        <v>150</v>
      </c>
    </row>
    <row r="99" spans="1:45" s="177" customFormat="1" ht="41.4">
      <c r="A99" s="95" t="s">
        <v>1944</v>
      </c>
      <c r="B99" s="129" t="s">
        <v>1856</v>
      </c>
      <c r="C99" s="351"/>
      <c r="D99" s="191" t="s">
        <v>1639</v>
      </c>
      <c r="E99" s="104"/>
      <c r="F99" s="306" t="s">
        <v>1840</v>
      </c>
      <c r="G99" s="104"/>
      <c r="H99" s="306" t="s">
        <v>1847</v>
      </c>
      <c r="I99" s="104"/>
      <c r="J99" s="104"/>
      <c r="K99" s="104"/>
      <c r="L99" s="104"/>
      <c r="M99" s="138"/>
      <c r="N99" s="306" t="s">
        <v>1857</v>
      </c>
      <c r="O99" s="48"/>
      <c r="P99" s="104"/>
      <c r="Q99" s="104"/>
      <c r="R99" s="104"/>
      <c r="S99" s="104"/>
      <c r="T99" s="104"/>
      <c r="U99" s="104"/>
      <c r="V99" s="23">
        <v>150</v>
      </c>
    </row>
    <row r="100" spans="1:45" s="177" customFormat="1" ht="41.4">
      <c r="A100" s="95" t="s">
        <v>1945</v>
      </c>
      <c r="B100" s="129" t="s">
        <v>1859</v>
      </c>
      <c r="C100" s="344" t="s">
        <v>312</v>
      </c>
      <c r="D100" s="191" t="s">
        <v>1639</v>
      </c>
      <c r="E100" s="104"/>
      <c r="F100" s="306" t="s">
        <v>1841</v>
      </c>
      <c r="G100" s="104"/>
      <c r="H100" s="306" t="s">
        <v>1848</v>
      </c>
      <c r="I100" s="104"/>
      <c r="J100" s="104"/>
      <c r="K100" s="104"/>
      <c r="L100" s="104"/>
      <c r="M100" s="138"/>
      <c r="N100" s="306" t="s">
        <v>1858</v>
      </c>
      <c r="O100" s="48"/>
      <c r="P100" s="104"/>
      <c r="Q100" s="104"/>
      <c r="R100" s="104"/>
      <c r="S100" s="104"/>
      <c r="T100" s="104"/>
      <c r="U100" s="104"/>
      <c r="V100" s="23">
        <v>150</v>
      </c>
    </row>
    <row r="101" spans="1:45" s="177" customFormat="1" ht="41.4">
      <c r="A101" s="95" t="s">
        <v>1946</v>
      </c>
      <c r="B101" s="129" t="s">
        <v>1861</v>
      </c>
      <c r="C101" s="344" t="s">
        <v>312</v>
      </c>
      <c r="D101" s="191" t="s">
        <v>1639</v>
      </c>
      <c r="E101" s="104"/>
      <c r="F101" s="306" t="s">
        <v>1842</v>
      </c>
      <c r="G101" s="104"/>
      <c r="H101" s="306" t="s">
        <v>1849</v>
      </c>
      <c r="I101" s="104"/>
      <c r="J101" s="104"/>
      <c r="K101" s="104"/>
      <c r="L101" s="104"/>
      <c r="M101" s="138"/>
      <c r="N101" s="306" t="s">
        <v>1860</v>
      </c>
      <c r="O101" s="48"/>
      <c r="P101" s="104"/>
      <c r="Q101" s="104"/>
      <c r="R101" s="104"/>
      <c r="S101" s="104"/>
      <c r="T101" s="104"/>
      <c r="U101" s="104"/>
      <c r="V101" s="23">
        <v>150</v>
      </c>
    </row>
    <row r="102" spans="1:45" s="177" customFormat="1">
      <c r="A102" s="95" t="s">
        <v>1947</v>
      </c>
      <c r="B102" s="129" t="s">
        <v>1862</v>
      </c>
      <c r="C102" s="344" t="s">
        <v>312</v>
      </c>
      <c r="D102" s="191" t="s">
        <v>1639</v>
      </c>
      <c r="E102" s="104"/>
      <c r="F102" s="306"/>
      <c r="G102" s="104"/>
      <c r="H102" s="306"/>
      <c r="I102" s="104"/>
      <c r="J102" s="104"/>
      <c r="K102" s="104"/>
      <c r="L102" s="104"/>
      <c r="M102" s="138"/>
      <c r="N102" s="306" t="s">
        <v>1863</v>
      </c>
      <c r="O102" s="48"/>
      <c r="P102" s="104"/>
      <c r="Q102" s="104"/>
      <c r="R102" s="104"/>
      <c r="S102" s="104"/>
      <c r="T102" s="104"/>
      <c r="U102" s="104"/>
      <c r="V102" s="23">
        <v>335</v>
      </c>
    </row>
    <row r="103" spans="1:45" s="177" customFormat="1" ht="27.6">
      <c r="A103" s="306" t="s">
        <v>1948</v>
      </c>
      <c r="B103" s="76" t="s">
        <v>1871</v>
      </c>
      <c r="C103" s="40"/>
      <c r="D103" s="40"/>
      <c r="E103" s="48"/>
      <c r="F103" s="48"/>
      <c r="G103" s="48"/>
      <c r="H103" s="48"/>
      <c r="I103" s="48"/>
      <c r="J103" s="48"/>
      <c r="K103" s="306" t="s">
        <v>1864</v>
      </c>
      <c r="L103" s="48"/>
      <c r="M103" s="48"/>
      <c r="N103" s="48"/>
      <c r="O103" s="48"/>
      <c r="P103" s="48"/>
      <c r="Q103" s="306" t="s">
        <v>1872</v>
      </c>
      <c r="R103" s="48"/>
      <c r="S103" s="48"/>
      <c r="T103" s="48"/>
      <c r="U103" s="48"/>
      <c r="V103" s="23">
        <v>0</v>
      </c>
    </row>
    <row r="104" spans="1:45" s="177" customFormat="1" ht="27.6">
      <c r="A104" s="306" t="s">
        <v>1986</v>
      </c>
      <c r="B104" s="76" t="s">
        <v>1873</v>
      </c>
      <c r="C104" s="338" t="s">
        <v>312</v>
      </c>
      <c r="D104" s="191" t="s">
        <v>1662</v>
      </c>
      <c r="E104" s="48"/>
      <c r="F104" s="48"/>
      <c r="G104" s="48"/>
      <c r="H104" s="48"/>
      <c r="I104" s="48"/>
      <c r="J104" s="48"/>
      <c r="K104" s="306" t="s">
        <v>1865</v>
      </c>
      <c r="L104" s="48"/>
      <c r="M104" s="48"/>
      <c r="N104" s="48"/>
      <c r="O104" s="48"/>
      <c r="P104" s="48"/>
      <c r="Q104" s="306" t="s">
        <v>1874</v>
      </c>
      <c r="R104" s="48"/>
      <c r="S104" s="48"/>
      <c r="T104" s="48"/>
      <c r="U104" s="48"/>
      <c r="V104" s="23">
        <v>36</v>
      </c>
    </row>
    <row r="105" spans="1:45" s="177" customFormat="1" ht="27.6">
      <c r="A105" s="306" t="s">
        <v>1988</v>
      </c>
      <c r="B105" s="76" t="s">
        <v>1875</v>
      </c>
      <c r="C105" s="338" t="s">
        <v>312</v>
      </c>
      <c r="D105" s="191" t="s">
        <v>1662</v>
      </c>
      <c r="E105" s="48"/>
      <c r="F105" s="48"/>
      <c r="G105" s="48"/>
      <c r="H105" s="48"/>
      <c r="I105" s="48"/>
      <c r="J105" s="48"/>
      <c r="K105" s="306" t="s">
        <v>1866</v>
      </c>
      <c r="L105" s="48"/>
      <c r="M105" s="48"/>
      <c r="N105" s="48"/>
      <c r="O105" s="48"/>
      <c r="P105" s="48"/>
      <c r="Q105" s="306" t="s">
        <v>1876</v>
      </c>
      <c r="R105" s="48"/>
      <c r="S105" s="48"/>
      <c r="T105" s="48"/>
      <c r="U105" s="48"/>
      <c r="V105" s="23">
        <v>36</v>
      </c>
    </row>
    <row r="106" spans="1:45" s="177" customFormat="1" ht="27.6">
      <c r="A106" s="306" t="s">
        <v>1867</v>
      </c>
      <c r="B106" s="76" t="s">
        <v>1877</v>
      </c>
      <c r="C106" s="40"/>
      <c r="D106" s="191" t="s">
        <v>1662</v>
      </c>
      <c r="E106" s="48"/>
      <c r="F106" s="48"/>
      <c r="G106" s="48"/>
      <c r="H106" s="48"/>
      <c r="I106" s="48"/>
      <c r="J106" s="48"/>
      <c r="K106" s="306" t="s">
        <v>1868</v>
      </c>
      <c r="L106" s="48"/>
      <c r="M106" s="48"/>
      <c r="N106" s="48"/>
      <c r="O106" s="48"/>
      <c r="P106" s="48"/>
      <c r="Q106" s="306" t="s">
        <v>1878</v>
      </c>
      <c r="R106" s="48"/>
      <c r="S106" s="48"/>
      <c r="T106" s="48"/>
      <c r="U106" s="48"/>
      <c r="V106" s="23">
        <v>99</v>
      </c>
    </row>
    <row r="107" spans="1:45" s="177" customFormat="1" ht="27.6">
      <c r="A107" s="306" t="s">
        <v>1949</v>
      </c>
      <c r="B107" s="76" t="s">
        <v>1879</v>
      </c>
      <c r="C107" s="40"/>
      <c r="D107" s="191" t="s">
        <v>1662</v>
      </c>
      <c r="E107" s="48"/>
      <c r="F107" s="48"/>
      <c r="G107" s="48"/>
      <c r="H107" s="48"/>
      <c r="I107" s="48"/>
      <c r="J107" s="48"/>
      <c r="K107" s="306" t="s">
        <v>1869</v>
      </c>
      <c r="L107" s="48"/>
      <c r="M107" s="48"/>
      <c r="N107" s="48"/>
      <c r="O107" s="48"/>
      <c r="P107" s="48"/>
      <c r="Q107" s="306" t="s">
        <v>1880</v>
      </c>
      <c r="R107" s="48"/>
      <c r="S107" s="48"/>
      <c r="T107" s="48"/>
      <c r="U107" s="48"/>
      <c r="V107" s="23">
        <v>99</v>
      </c>
    </row>
    <row r="108" spans="1:45" s="177" customFormat="1" ht="27.6">
      <c r="A108" s="306" t="s">
        <v>1987</v>
      </c>
      <c r="B108" s="76" t="s">
        <v>1879</v>
      </c>
      <c r="C108" s="338" t="s">
        <v>312</v>
      </c>
      <c r="D108" s="191" t="s">
        <v>1662</v>
      </c>
      <c r="E108" s="48"/>
      <c r="F108" s="48"/>
      <c r="G108" s="48"/>
      <c r="H108" s="48"/>
      <c r="I108" s="48"/>
      <c r="J108" s="48"/>
      <c r="K108" s="306" t="s">
        <v>1870</v>
      </c>
      <c r="L108" s="48"/>
      <c r="M108" s="48"/>
      <c r="N108" s="48"/>
      <c r="O108" s="48"/>
      <c r="P108" s="48"/>
      <c r="Q108" s="306" t="s">
        <v>1881</v>
      </c>
      <c r="R108" s="48"/>
      <c r="S108" s="48"/>
      <c r="T108" s="48"/>
      <c r="U108" s="48"/>
      <c r="V108" s="23">
        <v>99</v>
      </c>
    </row>
    <row r="109" spans="1:45" s="176" customFormat="1">
      <c r="A109" s="69"/>
      <c r="B109" s="69"/>
      <c r="C109" s="40"/>
      <c r="D109" s="40"/>
      <c r="E109" s="48"/>
      <c r="F109" s="230"/>
      <c r="G109" s="48"/>
      <c r="H109" s="230"/>
      <c r="I109" s="230"/>
      <c r="J109" s="48"/>
      <c r="K109" s="230"/>
      <c r="L109" s="230"/>
      <c r="M109" s="48"/>
      <c r="N109" s="48"/>
      <c r="O109" s="48"/>
      <c r="P109" s="48"/>
      <c r="Q109" s="48"/>
      <c r="R109" s="48"/>
      <c r="S109" s="230"/>
      <c r="T109" s="230"/>
      <c r="U109" s="230"/>
      <c r="V109" s="23"/>
      <c r="W109" s="172"/>
      <c r="X109" s="172"/>
      <c r="Y109" s="172"/>
      <c r="Z109" s="172"/>
      <c r="AA109" s="172"/>
      <c r="AB109" s="172"/>
      <c r="AC109" s="172"/>
      <c r="AD109" s="172"/>
      <c r="AE109" s="172"/>
      <c r="AF109" s="172"/>
      <c r="AG109" s="172"/>
      <c r="AH109" s="172"/>
      <c r="AI109" s="172"/>
      <c r="AJ109" s="172"/>
      <c r="AK109" s="172"/>
      <c r="AL109" s="172"/>
      <c r="AM109" s="172"/>
      <c r="AN109" s="172"/>
      <c r="AO109" s="172"/>
      <c r="AP109" s="172"/>
      <c r="AQ109" s="172"/>
      <c r="AR109" s="172"/>
      <c r="AS109" s="172"/>
    </row>
    <row r="110" spans="1:45" s="177" customFormat="1">
      <c r="A110" s="98" t="s">
        <v>313</v>
      </c>
      <c r="B110" s="98"/>
      <c r="C110" s="98"/>
      <c r="D110" s="98"/>
      <c r="E110" s="226"/>
      <c r="F110" s="226"/>
      <c r="G110" s="226"/>
      <c r="H110" s="226"/>
      <c r="I110" s="226"/>
      <c r="J110" s="226"/>
      <c r="K110" s="226"/>
      <c r="L110" s="226"/>
      <c r="M110" s="226"/>
      <c r="N110" s="226"/>
      <c r="O110" s="226"/>
      <c r="P110" s="226"/>
      <c r="Q110" s="226"/>
      <c r="R110" s="226"/>
      <c r="S110" s="226"/>
      <c r="T110" s="226"/>
      <c r="U110" s="226"/>
      <c r="V110" s="185"/>
      <c r="W110" s="172"/>
      <c r="X110" s="172"/>
      <c r="Y110" s="172"/>
      <c r="Z110" s="172"/>
      <c r="AA110" s="172"/>
      <c r="AB110" s="172"/>
      <c r="AC110" s="172"/>
      <c r="AD110" s="172"/>
      <c r="AE110" s="172"/>
      <c r="AF110" s="172"/>
      <c r="AG110" s="172"/>
      <c r="AH110" s="172"/>
      <c r="AI110" s="172"/>
      <c r="AJ110" s="172"/>
      <c r="AK110" s="172"/>
      <c r="AL110" s="172"/>
      <c r="AM110" s="172"/>
      <c r="AN110" s="172"/>
      <c r="AO110" s="172"/>
      <c r="AP110" s="172"/>
      <c r="AQ110" s="172"/>
      <c r="AR110" s="172"/>
      <c r="AS110" s="172"/>
    </row>
    <row r="111" spans="1:45" s="177" customFormat="1">
      <c r="A111" s="69" t="s">
        <v>314</v>
      </c>
      <c r="B111" s="69" t="s">
        <v>314</v>
      </c>
      <c r="C111" s="40"/>
      <c r="D111" s="40"/>
      <c r="E111" s="48"/>
      <c r="F111" s="48" t="s">
        <v>1717</v>
      </c>
      <c r="G111" s="48"/>
      <c r="H111" s="48" t="s">
        <v>1720</v>
      </c>
      <c r="I111" s="48"/>
      <c r="J111" s="48"/>
      <c r="K111" s="48" t="s">
        <v>1725</v>
      </c>
      <c r="L111" s="48"/>
      <c r="M111" s="48"/>
      <c r="N111" s="48" t="s">
        <v>1727</v>
      </c>
      <c r="O111" s="48"/>
      <c r="P111" s="48"/>
      <c r="Q111" s="48" t="s">
        <v>1731</v>
      </c>
      <c r="R111" s="48"/>
      <c r="S111" s="230"/>
      <c r="T111" s="230"/>
      <c r="U111" s="230"/>
      <c r="V111" s="28">
        <v>82</v>
      </c>
      <c r="W111" s="172"/>
      <c r="X111" s="172"/>
      <c r="Y111" s="172"/>
      <c r="Z111" s="172"/>
      <c r="AA111" s="172"/>
      <c r="AB111" s="172"/>
      <c r="AC111" s="172"/>
      <c r="AD111" s="172"/>
      <c r="AE111" s="172"/>
      <c r="AF111" s="172"/>
      <c r="AG111" s="172"/>
      <c r="AH111" s="172"/>
      <c r="AI111" s="172"/>
      <c r="AJ111" s="172"/>
      <c r="AK111" s="172"/>
      <c r="AL111" s="172"/>
      <c r="AM111" s="172"/>
      <c r="AN111" s="172"/>
      <c r="AO111" s="172"/>
      <c r="AP111" s="172"/>
      <c r="AQ111" s="172"/>
      <c r="AR111" s="172"/>
      <c r="AS111" s="172"/>
    </row>
    <row r="112" spans="1:45" s="177" customFormat="1">
      <c r="A112" s="69" t="s">
        <v>315</v>
      </c>
      <c r="B112" s="69" t="s">
        <v>315</v>
      </c>
      <c r="C112" s="40"/>
      <c r="D112" s="40"/>
      <c r="E112" s="48"/>
      <c r="F112" s="48" t="s">
        <v>1717</v>
      </c>
      <c r="G112" s="48"/>
      <c r="H112" s="48" t="s">
        <v>1721</v>
      </c>
      <c r="I112" s="48"/>
      <c r="J112" s="48"/>
      <c r="K112" s="48" t="s">
        <v>1724</v>
      </c>
      <c r="L112" s="48"/>
      <c r="M112" s="48"/>
      <c r="N112" s="48" t="s">
        <v>1728</v>
      </c>
      <c r="O112" s="48"/>
      <c r="P112" s="48"/>
      <c r="Q112" s="48" t="s">
        <v>1732</v>
      </c>
      <c r="R112" s="48"/>
      <c r="S112" s="230"/>
      <c r="T112" s="230"/>
      <c r="U112" s="230"/>
      <c r="V112" s="23">
        <v>82</v>
      </c>
      <c r="W112" s="172"/>
      <c r="X112" s="172"/>
      <c r="Y112" s="172"/>
      <c r="Z112" s="172"/>
      <c r="AA112" s="172"/>
      <c r="AB112" s="172"/>
      <c r="AC112" s="172"/>
      <c r="AD112" s="172"/>
      <c r="AE112" s="172"/>
      <c r="AF112" s="172"/>
      <c r="AG112" s="172"/>
      <c r="AH112" s="172"/>
      <c r="AI112" s="172"/>
      <c r="AJ112" s="172"/>
      <c r="AK112" s="172"/>
      <c r="AL112" s="172"/>
      <c r="AM112" s="172"/>
      <c r="AN112" s="172"/>
      <c r="AO112" s="172"/>
      <c r="AP112" s="172"/>
      <c r="AQ112" s="172"/>
      <c r="AR112" s="172"/>
      <c r="AS112" s="172"/>
    </row>
    <row r="113" spans="1:45" s="177" customFormat="1">
      <c r="A113" s="69" t="s">
        <v>316</v>
      </c>
      <c r="B113" s="69" t="s">
        <v>316</v>
      </c>
      <c r="C113" s="40"/>
      <c r="D113" s="40"/>
      <c r="E113" s="48"/>
      <c r="F113" s="48" t="s">
        <v>1718</v>
      </c>
      <c r="G113" s="48"/>
      <c r="H113" s="48" t="s">
        <v>1722</v>
      </c>
      <c r="I113" s="48"/>
      <c r="J113" s="48"/>
      <c r="K113" s="48" t="s">
        <v>2016</v>
      </c>
      <c r="L113" s="48"/>
      <c r="M113" s="48"/>
      <c r="N113" s="48" t="s">
        <v>1729</v>
      </c>
      <c r="O113" s="48"/>
      <c r="P113" s="48"/>
      <c r="Q113" s="48" t="s">
        <v>1733</v>
      </c>
      <c r="R113" s="48"/>
      <c r="S113" s="230"/>
      <c r="T113" s="230"/>
      <c r="U113" s="230"/>
      <c r="V113" s="28">
        <v>183</v>
      </c>
      <c r="W113" s="172"/>
      <c r="X113" s="172"/>
      <c r="Y113" s="172"/>
      <c r="Z113" s="172"/>
      <c r="AA113" s="172"/>
      <c r="AB113" s="172"/>
      <c r="AC113" s="172"/>
      <c r="AD113" s="172"/>
      <c r="AE113" s="172"/>
      <c r="AF113" s="172"/>
      <c r="AG113" s="172"/>
      <c r="AH113" s="172"/>
      <c r="AI113" s="172"/>
      <c r="AJ113" s="172"/>
      <c r="AK113" s="172"/>
      <c r="AL113" s="172"/>
      <c r="AM113" s="172"/>
      <c r="AN113" s="172"/>
      <c r="AO113" s="172"/>
      <c r="AP113" s="172"/>
      <c r="AQ113" s="172"/>
      <c r="AR113" s="172"/>
      <c r="AS113" s="172"/>
    </row>
    <row r="114" spans="1:45" s="172" customFormat="1">
      <c r="A114" s="235"/>
      <c r="B114" s="203"/>
      <c r="C114" s="134"/>
      <c r="D114" s="134"/>
      <c r="E114" s="48"/>
      <c r="F114" s="48"/>
      <c r="G114" s="48"/>
      <c r="H114" s="48"/>
      <c r="I114" s="48"/>
      <c r="J114" s="48"/>
      <c r="K114" s="48"/>
      <c r="L114" s="48"/>
      <c r="M114" s="48"/>
      <c r="N114" s="48"/>
      <c r="O114" s="48"/>
      <c r="P114" s="48"/>
      <c r="Q114" s="48"/>
      <c r="R114" s="48"/>
      <c r="S114" s="45"/>
      <c r="T114" s="45"/>
      <c r="U114" s="45"/>
      <c r="V114" s="28"/>
    </row>
    <row r="115" spans="1:45" s="177" customFormat="1">
      <c r="A115" s="98" t="s">
        <v>317</v>
      </c>
      <c r="B115" s="98"/>
      <c r="C115" s="98"/>
      <c r="D115" s="98"/>
      <c r="E115" s="226"/>
      <c r="F115" s="226"/>
      <c r="G115" s="226"/>
      <c r="H115" s="226"/>
      <c r="I115" s="226"/>
      <c r="J115" s="226"/>
      <c r="K115" s="226"/>
      <c r="L115" s="226"/>
      <c r="M115" s="226"/>
      <c r="N115" s="226"/>
      <c r="O115" s="226"/>
      <c r="P115" s="226"/>
      <c r="Q115" s="226"/>
      <c r="R115" s="226"/>
      <c r="S115" s="226"/>
      <c r="T115" s="226"/>
      <c r="U115" s="226"/>
      <c r="V115" s="185"/>
      <c r="W115" s="172"/>
      <c r="X115" s="172"/>
      <c r="Y115" s="172"/>
      <c r="Z115" s="172"/>
      <c r="AA115" s="172"/>
      <c r="AB115" s="172"/>
      <c r="AC115" s="172"/>
      <c r="AD115" s="172"/>
      <c r="AE115" s="172"/>
      <c r="AF115" s="172"/>
      <c r="AG115" s="172"/>
      <c r="AH115" s="172"/>
      <c r="AI115" s="172"/>
      <c r="AJ115" s="172"/>
      <c r="AK115" s="172"/>
      <c r="AL115" s="172"/>
      <c r="AM115" s="172"/>
      <c r="AN115" s="172"/>
      <c r="AO115" s="172"/>
      <c r="AP115" s="172"/>
      <c r="AQ115" s="172"/>
      <c r="AR115" s="172"/>
      <c r="AS115" s="172"/>
    </row>
    <row r="116" spans="1:45" s="165" customFormat="1">
      <c r="A116" s="69" t="s">
        <v>318</v>
      </c>
      <c r="B116" s="69" t="s">
        <v>319</v>
      </c>
      <c r="C116" s="40"/>
      <c r="D116" s="40"/>
      <c r="E116" s="48"/>
      <c r="F116" s="48" t="s">
        <v>1792</v>
      </c>
      <c r="G116" s="48"/>
      <c r="H116" s="48"/>
      <c r="I116" s="48"/>
      <c r="J116" s="48"/>
      <c r="K116" s="48"/>
      <c r="L116" s="48"/>
      <c r="M116" s="48"/>
      <c r="N116" s="48"/>
      <c r="O116" s="48"/>
      <c r="P116" s="48"/>
      <c r="Q116" s="48"/>
      <c r="R116" s="48"/>
      <c r="S116" s="30"/>
      <c r="T116" s="30"/>
      <c r="U116" s="30"/>
      <c r="V116" s="23">
        <v>0</v>
      </c>
      <c r="W116" s="253"/>
      <c r="X116" s="253"/>
      <c r="Y116" s="253"/>
      <c r="Z116" s="253"/>
      <c r="AA116" s="253"/>
      <c r="AB116" s="253"/>
      <c r="AC116" s="253"/>
      <c r="AD116" s="253"/>
      <c r="AE116" s="253"/>
      <c r="AF116" s="253"/>
      <c r="AG116" s="253"/>
      <c r="AH116" s="253"/>
      <c r="AI116" s="253"/>
      <c r="AJ116" s="253"/>
      <c r="AK116" s="253"/>
      <c r="AL116" s="253"/>
      <c r="AM116" s="253"/>
      <c r="AN116" s="253"/>
      <c r="AO116" s="253"/>
      <c r="AP116" s="253"/>
      <c r="AQ116" s="253"/>
      <c r="AR116" s="253"/>
      <c r="AS116" s="253"/>
    </row>
    <row r="117" spans="1:45" s="177" customFormat="1">
      <c r="A117" s="69" t="s">
        <v>320</v>
      </c>
      <c r="B117" s="69" t="s">
        <v>321</v>
      </c>
      <c r="C117" s="40"/>
      <c r="D117" s="40"/>
      <c r="E117" s="48"/>
      <c r="F117" s="48"/>
      <c r="G117" s="48"/>
      <c r="H117" s="48"/>
      <c r="I117" s="48"/>
      <c r="J117" s="48"/>
      <c r="K117" s="48"/>
      <c r="L117" s="48"/>
      <c r="M117" s="48"/>
      <c r="N117" s="48"/>
      <c r="O117" s="48"/>
      <c r="P117" s="48"/>
      <c r="Q117" s="48"/>
      <c r="R117" s="48"/>
      <c r="S117" s="30"/>
      <c r="T117" s="30"/>
      <c r="U117" s="30"/>
      <c r="V117" s="23">
        <v>0</v>
      </c>
      <c r="W117" s="172"/>
      <c r="X117" s="172"/>
      <c r="Y117" s="172"/>
      <c r="Z117" s="172"/>
      <c r="AA117" s="172"/>
      <c r="AB117" s="172"/>
      <c r="AC117" s="172"/>
      <c r="AD117" s="172"/>
      <c r="AE117" s="172"/>
      <c r="AF117" s="172"/>
      <c r="AG117" s="172"/>
      <c r="AH117" s="172"/>
      <c r="AI117" s="172"/>
      <c r="AJ117" s="172"/>
      <c r="AK117" s="172"/>
      <c r="AL117" s="172"/>
      <c r="AM117" s="172"/>
      <c r="AN117" s="172"/>
      <c r="AO117" s="172"/>
      <c r="AP117" s="172"/>
      <c r="AQ117" s="172"/>
      <c r="AR117" s="172"/>
      <c r="AS117" s="172"/>
    </row>
    <row r="118" spans="1:45" s="165" customFormat="1">
      <c r="A118" s="69" t="s">
        <v>322</v>
      </c>
      <c r="B118" s="69" t="s">
        <v>323</v>
      </c>
      <c r="C118" s="40"/>
      <c r="D118" s="40"/>
      <c r="E118" s="48"/>
      <c r="F118" s="48" t="s">
        <v>1790</v>
      </c>
      <c r="G118" s="48"/>
      <c r="H118" s="48"/>
      <c r="I118" s="48"/>
      <c r="J118" s="48"/>
      <c r="K118" s="48"/>
      <c r="L118" s="48"/>
      <c r="M118" s="48"/>
      <c r="N118" s="48"/>
      <c r="O118" s="48"/>
      <c r="P118" s="48"/>
      <c r="Q118" s="48"/>
      <c r="R118" s="48"/>
      <c r="S118" s="30"/>
      <c r="T118" s="30"/>
      <c r="U118" s="30"/>
      <c r="V118" s="23">
        <v>0</v>
      </c>
      <c r="W118" s="253"/>
      <c r="X118" s="253"/>
      <c r="Y118" s="253"/>
      <c r="Z118" s="253"/>
      <c r="AA118" s="253"/>
      <c r="AB118" s="253"/>
      <c r="AC118" s="253"/>
      <c r="AD118" s="253"/>
      <c r="AE118" s="253"/>
      <c r="AF118" s="253"/>
      <c r="AG118" s="253"/>
      <c r="AH118" s="253"/>
      <c r="AI118" s="253"/>
      <c r="AJ118" s="253"/>
      <c r="AK118" s="253"/>
      <c r="AL118" s="253"/>
      <c r="AM118" s="253"/>
      <c r="AN118" s="253"/>
      <c r="AO118" s="253"/>
      <c r="AP118" s="253"/>
      <c r="AQ118" s="253"/>
      <c r="AR118" s="253"/>
      <c r="AS118" s="253"/>
    </row>
    <row r="119" spans="1:45" s="177" customFormat="1">
      <c r="A119" s="69" t="s">
        <v>324</v>
      </c>
      <c r="B119" s="69" t="s">
        <v>325</v>
      </c>
      <c r="C119" s="40"/>
      <c r="D119" s="40"/>
      <c r="E119" s="48"/>
      <c r="F119" s="48" t="s">
        <v>1789</v>
      </c>
      <c r="G119" s="48"/>
      <c r="H119" s="48"/>
      <c r="I119" s="48"/>
      <c r="J119" s="48"/>
      <c r="K119" s="48"/>
      <c r="L119" s="48"/>
      <c r="M119" s="48"/>
      <c r="N119" s="48"/>
      <c r="O119" s="48"/>
      <c r="P119" s="48"/>
      <c r="Q119" s="48"/>
      <c r="R119" s="48"/>
      <c r="S119" s="30"/>
      <c r="T119" s="30"/>
      <c r="U119" s="30"/>
      <c r="V119" s="23">
        <v>25</v>
      </c>
      <c r="W119" s="172"/>
      <c r="X119" s="172"/>
      <c r="Y119" s="172"/>
      <c r="Z119" s="172"/>
      <c r="AA119" s="172"/>
      <c r="AB119" s="172"/>
      <c r="AC119" s="172"/>
      <c r="AD119" s="172"/>
      <c r="AE119" s="172"/>
      <c r="AF119" s="172"/>
      <c r="AG119" s="172"/>
      <c r="AH119" s="172"/>
      <c r="AI119" s="172"/>
      <c r="AJ119" s="172"/>
      <c r="AK119" s="172"/>
      <c r="AL119" s="172"/>
      <c r="AM119" s="172"/>
      <c r="AN119" s="172"/>
      <c r="AO119" s="172"/>
      <c r="AP119" s="172"/>
      <c r="AQ119" s="172"/>
      <c r="AR119" s="172"/>
      <c r="AS119" s="172"/>
    </row>
    <row r="120" spans="1:45" s="165" customFormat="1" ht="27.6">
      <c r="A120" s="69" t="s">
        <v>326</v>
      </c>
      <c r="B120" s="69" t="s">
        <v>327</v>
      </c>
      <c r="C120" s="40"/>
      <c r="D120" s="40"/>
      <c r="E120" s="48"/>
      <c r="F120" s="48" t="s">
        <v>1791</v>
      </c>
      <c r="G120" s="48"/>
      <c r="H120" s="48"/>
      <c r="I120" s="48"/>
      <c r="J120" s="48"/>
      <c r="K120" s="48"/>
      <c r="L120" s="48"/>
      <c r="M120" s="48"/>
      <c r="N120" s="48"/>
      <c r="O120" s="48"/>
      <c r="P120" s="48"/>
      <c r="Q120" s="48"/>
      <c r="R120" s="48"/>
      <c r="S120" s="30"/>
      <c r="T120" s="30"/>
      <c r="U120" s="30"/>
      <c r="V120" s="23">
        <v>25</v>
      </c>
      <c r="W120" s="253"/>
      <c r="X120" s="253"/>
      <c r="Y120" s="253"/>
      <c r="Z120" s="253"/>
      <c r="AA120" s="253"/>
      <c r="AB120" s="253"/>
      <c r="AC120" s="253"/>
      <c r="AD120" s="253"/>
      <c r="AE120" s="253"/>
      <c r="AF120" s="253"/>
      <c r="AG120" s="253"/>
      <c r="AH120" s="253"/>
      <c r="AI120" s="253"/>
      <c r="AJ120" s="253"/>
      <c r="AK120" s="253"/>
      <c r="AL120" s="253"/>
      <c r="AM120" s="253"/>
      <c r="AN120" s="253"/>
      <c r="AO120" s="253"/>
      <c r="AP120" s="253"/>
      <c r="AQ120" s="253"/>
      <c r="AR120" s="253"/>
      <c r="AS120" s="253"/>
    </row>
    <row r="121" spans="1:45" s="177" customFormat="1">
      <c r="A121" s="69" t="s">
        <v>328</v>
      </c>
      <c r="B121" s="69" t="s">
        <v>329</v>
      </c>
      <c r="C121" s="40"/>
      <c r="D121" s="40"/>
      <c r="E121" s="48"/>
      <c r="F121" s="48" t="s">
        <v>1794</v>
      </c>
      <c r="G121" s="48"/>
      <c r="H121" s="48"/>
      <c r="I121" s="48"/>
      <c r="J121" s="48"/>
      <c r="K121" s="48"/>
      <c r="L121" s="48"/>
      <c r="M121" s="48"/>
      <c r="N121" s="48"/>
      <c r="O121" s="48"/>
      <c r="P121" s="48"/>
      <c r="Q121" s="48"/>
      <c r="R121" s="48"/>
      <c r="S121" s="30"/>
      <c r="T121" s="30"/>
      <c r="U121" s="30"/>
      <c r="V121" s="23">
        <v>46</v>
      </c>
      <c r="W121" s="172"/>
      <c r="X121" s="172"/>
      <c r="Y121" s="172"/>
      <c r="Z121" s="172"/>
      <c r="AA121" s="172"/>
      <c r="AB121" s="172"/>
      <c r="AC121" s="172"/>
      <c r="AD121" s="172"/>
      <c r="AE121" s="172"/>
      <c r="AF121" s="172"/>
      <c r="AG121" s="172"/>
      <c r="AH121" s="172"/>
      <c r="AI121" s="172"/>
      <c r="AJ121" s="172"/>
      <c r="AK121" s="172"/>
      <c r="AL121" s="172"/>
      <c r="AM121" s="172"/>
      <c r="AN121" s="172"/>
      <c r="AO121" s="172"/>
      <c r="AP121" s="172"/>
      <c r="AQ121" s="172"/>
      <c r="AR121" s="172"/>
      <c r="AS121" s="172"/>
    </row>
    <row r="122" spans="1:45">
      <c r="A122" s="69" t="s">
        <v>330</v>
      </c>
      <c r="B122" s="69" t="s">
        <v>331</v>
      </c>
      <c r="C122" s="40"/>
      <c r="D122" s="40"/>
      <c r="E122" s="48"/>
      <c r="F122" s="48" t="s">
        <v>1793</v>
      </c>
      <c r="G122" s="48"/>
      <c r="H122" s="48"/>
      <c r="I122" s="48"/>
      <c r="J122" s="48"/>
      <c r="K122" s="48"/>
      <c r="L122" s="48"/>
      <c r="M122" s="48"/>
      <c r="N122" s="48"/>
      <c r="O122" s="48"/>
      <c r="P122" s="48"/>
      <c r="Q122" s="48"/>
      <c r="R122" s="48"/>
      <c r="S122" s="30"/>
      <c r="T122" s="30"/>
      <c r="U122" s="30"/>
      <c r="V122" s="23">
        <v>46</v>
      </c>
    </row>
    <row r="123" spans="1:45" s="165" customFormat="1">
      <c r="A123" s="69" t="s">
        <v>332</v>
      </c>
      <c r="B123" s="69" t="s">
        <v>333</v>
      </c>
      <c r="C123" s="40"/>
      <c r="D123" s="40"/>
      <c r="E123" s="48"/>
      <c r="F123" s="48" t="s">
        <v>1795</v>
      </c>
      <c r="G123" s="48"/>
      <c r="H123" s="48"/>
      <c r="I123" s="48"/>
      <c r="J123" s="48"/>
      <c r="K123" s="48"/>
      <c r="L123" s="48"/>
      <c r="M123" s="48"/>
      <c r="N123" s="48"/>
      <c r="O123" s="48"/>
      <c r="P123" s="48"/>
      <c r="Q123" s="48"/>
      <c r="R123" s="48"/>
      <c r="S123" s="30"/>
      <c r="T123" s="30"/>
      <c r="U123" s="30"/>
      <c r="V123" s="23">
        <v>46</v>
      </c>
      <c r="W123" s="253"/>
      <c r="X123" s="253"/>
      <c r="Y123" s="253"/>
      <c r="Z123" s="253"/>
      <c r="AA123" s="253"/>
      <c r="AB123" s="253"/>
      <c r="AC123" s="253"/>
      <c r="AD123" s="253"/>
      <c r="AE123" s="253"/>
      <c r="AF123" s="253"/>
      <c r="AG123" s="253"/>
      <c r="AH123" s="253"/>
      <c r="AI123" s="253"/>
      <c r="AJ123" s="253"/>
      <c r="AK123" s="253"/>
      <c r="AL123" s="253"/>
      <c r="AM123" s="253"/>
      <c r="AN123" s="253"/>
      <c r="AO123" s="253"/>
      <c r="AP123" s="253"/>
      <c r="AQ123" s="253"/>
      <c r="AR123" s="253"/>
      <c r="AS123" s="253"/>
    </row>
    <row r="124" spans="1:45" ht="31.5" customHeight="1">
      <c r="A124" s="69" t="s">
        <v>334</v>
      </c>
      <c r="B124" s="69" t="s">
        <v>335</v>
      </c>
      <c r="C124" s="40"/>
      <c r="D124" s="40"/>
      <c r="E124" s="48"/>
      <c r="F124" s="48"/>
      <c r="G124" s="48"/>
      <c r="H124" s="48"/>
      <c r="I124" s="48"/>
      <c r="J124" s="48"/>
      <c r="K124" s="48"/>
      <c r="L124" s="48"/>
      <c r="M124" s="48"/>
      <c r="N124" s="48"/>
      <c r="O124" s="48"/>
      <c r="P124" s="48"/>
      <c r="Q124" s="48"/>
      <c r="R124" s="48"/>
      <c r="S124" s="30"/>
      <c r="T124" s="30"/>
      <c r="U124" s="30"/>
      <c r="V124" s="23">
        <v>57</v>
      </c>
    </row>
    <row r="125" spans="1:45" s="165" customFormat="1" ht="31.5" customHeight="1">
      <c r="A125" s="69" t="s">
        <v>336</v>
      </c>
      <c r="B125" s="69" t="s">
        <v>337</v>
      </c>
      <c r="C125" s="40"/>
      <c r="D125" s="40"/>
      <c r="E125" s="48"/>
      <c r="F125" s="230"/>
      <c r="G125" s="48"/>
      <c r="H125" s="48"/>
      <c r="I125" s="48"/>
      <c r="J125" s="48"/>
      <c r="K125" s="48"/>
      <c r="L125" s="48"/>
      <c r="M125" s="48"/>
      <c r="N125" s="48"/>
      <c r="O125" s="48"/>
      <c r="P125" s="48"/>
      <c r="Q125" s="48"/>
      <c r="R125" s="48"/>
      <c r="S125" s="30"/>
      <c r="T125" s="30"/>
      <c r="U125" s="30"/>
      <c r="V125" s="23">
        <v>57</v>
      </c>
      <c r="W125" s="253"/>
      <c r="X125" s="253"/>
      <c r="Y125" s="253"/>
      <c r="Z125" s="253"/>
      <c r="AA125" s="253"/>
      <c r="AB125" s="253"/>
      <c r="AC125" s="253"/>
      <c r="AD125" s="253"/>
      <c r="AE125" s="253"/>
      <c r="AF125" s="253"/>
      <c r="AG125" s="253"/>
      <c r="AH125" s="253"/>
      <c r="AI125" s="253"/>
      <c r="AJ125" s="253"/>
      <c r="AK125" s="253"/>
      <c r="AL125" s="253"/>
      <c r="AM125" s="253"/>
      <c r="AN125" s="253"/>
      <c r="AO125" s="253"/>
      <c r="AP125" s="253"/>
      <c r="AQ125" s="253"/>
      <c r="AR125" s="253"/>
      <c r="AS125" s="253"/>
    </row>
    <row r="126" spans="1:45" s="165" customFormat="1" ht="31.5" customHeight="1">
      <c r="A126" s="69" t="s">
        <v>1882</v>
      </c>
      <c r="B126" s="306" t="s">
        <v>1884</v>
      </c>
      <c r="C126" s="40"/>
      <c r="D126" s="40"/>
      <c r="E126" s="48"/>
      <c r="F126" s="306" t="s">
        <v>1796</v>
      </c>
      <c r="G126" s="48"/>
      <c r="H126" s="48"/>
      <c r="I126" s="48"/>
      <c r="J126" s="48"/>
      <c r="K126" s="48"/>
      <c r="L126" s="48"/>
      <c r="M126" s="48"/>
      <c r="N126" s="48"/>
      <c r="O126" s="48"/>
      <c r="P126" s="48"/>
      <c r="Q126" s="48"/>
      <c r="R126" s="48"/>
      <c r="S126" s="30"/>
      <c r="T126" s="30"/>
      <c r="U126" s="30"/>
      <c r="V126" s="23">
        <v>57</v>
      </c>
      <c r="W126" s="253"/>
      <c r="X126" s="253"/>
      <c r="Y126" s="253"/>
      <c r="Z126" s="253"/>
      <c r="AA126" s="253"/>
      <c r="AB126" s="253"/>
      <c r="AC126" s="253"/>
      <c r="AD126" s="253"/>
      <c r="AE126" s="253"/>
      <c r="AF126" s="253"/>
      <c r="AG126" s="253"/>
      <c r="AH126" s="253"/>
      <c r="AI126" s="253"/>
      <c r="AJ126" s="253"/>
      <c r="AK126" s="253"/>
      <c r="AL126" s="253"/>
      <c r="AM126" s="253"/>
      <c r="AN126" s="253"/>
      <c r="AO126" s="253"/>
      <c r="AP126" s="253"/>
      <c r="AQ126" s="253"/>
      <c r="AR126" s="253"/>
      <c r="AS126" s="253"/>
    </row>
    <row r="127" spans="1:45" s="165" customFormat="1" ht="31.5" customHeight="1">
      <c r="A127" s="69" t="s">
        <v>1883</v>
      </c>
      <c r="B127" s="306" t="s">
        <v>1885</v>
      </c>
      <c r="C127" s="40"/>
      <c r="D127" s="40"/>
      <c r="E127" s="48"/>
      <c r="F127" s="306" t="s">
        <v>1797</v>
      </c>
      <c r="G127" s="48"/>
      <c r="H127" s="48"/>
      <c r="I127" s="48"/>
      <c r="J127" s="48"/>
      <c r="K127" s="48"/>
      <c r="L127" s="48"/>
      <c r="M127" s="48"/>
      <c r="N127" s="48"/>
      <c r="O127" s="48"/>
      <c r="P127" s="48"/>
      <c r="Q127" s="48"/>
      <c r="R127" s="48"/>
      <c r="S127" s="30"/>
      <c r="T127" s="30"/>
      <c r="U127" s="30"/>
      <c r="V127" s="23">
        <v>57</v>
      </c>
      <c r="W127" s="253"/>
      <c r="X127" s="253"/>
      <c r="Y127" s="253"/>
      <c r="Z127" s="253"/>
      <c r="AA127" s="253"/>
      <c r="AB127" s="253"/>
      <c r="AC127" s="253"/>
      <c r="AD127" s="253"/>
      <c r="AE127" s="253"/>
      <c r="AF127" s="253"/>
      <c r="AG127" s="253"/>
      <c r="AH127" s="253"/>
      <c r="AI127" s="253"/>
      <c r="AJ127" s="253"/>
      <c r="AK127" s="253"/>
      <c r="AL127" s="253"/>
      <c r="AM127" s="253"/>
      <c r="AN127" s="253"/>
      <c r="AO127" s="253"/>
      <c r="AP127" s="253"/>
      <c r="AQ127" s="253"/>
      <c r="AR127" s="253"/>
      <c r="AS127" s="253"/>
    </row>
    <row r="128" spans="1:45">
      <c r="A128" s="71"/>
      <c r="B128" s="52"/>
      <c r="C128" s="150"/>
      <c r="D128" s="150"/>
      <c r="E128" s="104"/>
      <c r="F128" s="104"/>
      <c r="G128" s="104"/>
      <c r="H128" s="104"/>
      <c r="I128" s="104"/>
      <c r="J128" s="104"/>
      <c r="K128" s="104"/>
      <c r="L128" s="104"/>
      <c r="M128" s="104"/>
      <c r="N128" s="104"/>
      <c r="O128" s="104"/>
      <c r="P128" s="104"/>
      <c r="Q128" s="104"/>
      <c r="R128" s="104"/>
      <c r="S128" s="104"/>
      <c r="T128" s="104"/>
      <c r="U128" s="104"/>
      <c r="V128" s="28"/>
    </row>
    <row r="129" spans="1:22">
      <c r="A129" s="98" t="s">
        <v>197</v>
      </c>
      <c r="B129" s="98"/>
      <c r="C129" s="98"/>
      <c r="D129" s="98"/>
      <c r="E129" s="226"/>
      <c r="F129" s="226"/>
      <c r="G129" s="226"/>
      <c r="H129" s="226"/>
      <c r="I129" s="226"/>
      <c r="J129" s="226"/>
      <c r="K129" s="226"/>
      <c r="L129" s="226"/>
      <c r="M129" s="226"/>
      <c r="N129" s="226"/>
      <c r="O129" s="226"/>
      <c r="P129" s="226"/>
      <c r="Q129" s="226"/>
      <c r="R129" s="226"/>
      <c r="S129" s="226"/>
      <c r="T129" s="226"/>
      <c r="U129" s="226"/>
      <c r="V129" s="185"/>
    </row>
    <row r="130" spans="1:22" s="171" customFormat="1">
      <c r="A130" s="69" t="s">
        <v>1950</v>
      </c>
      <c r="B130" s="69" t="s">
        <v>338</v>
      </c>
      <c r="C130" s="40"/>
      <c r="D130" s="40"/>
      <c r="E130" s="48"/>
      <c r="F130" s="48"/>
      <c r="G130" s="48"/>
      <c r="H130" s="306" t="s">
        <v>1801</v>
      </c>
      <c r="I130" s="48"/>
      <c r="J130" s="48"/>
      <c r="K130" s="306" t="s">
        <v>1811</v>
      </c>
      <c r="L130" s="48"/>
      <c r="M130" s="48"/>
      <c r="N130" s="48"/>
      <c r="O130" s="48"/>
      <c r="P130" s="48"/>
      <c r="Q130" s="48"/>
      <c r="R130" s="48"/>
      <c r="S130" s="30"/>
      <c r="T130" s="30"/>
      <c r="U130" s="30"/>
      <c r="V130" s="23">
        <v>11</v>
      </c>
    </row>
    <row r="131" spans="1:22" s="171" customFormat="1">
      <c r="A131" s="69" t="s">
        <v>339</v>
      </c>
      <c r="B131" s="69" t="s">
        <v>340</v>
      </c>
      <c r="C131" s="150"/>
      <c r="D131" s="150"/>
      <c r="E131" s="104"/>
      <c r="F131" s="104"/>
      <c r="G131" s="48"/>
      <c r="H131" s="306" t="s">
        <v>1798</v>
      </c>
      <c r="I131" s="48"/>
      <c r="J131" s="48"/>
      <c r="K131" s="306" t="s">
        <v>1808</v>
      </c>
      <c r="L131" s="48"/>
      <c r="M131" s="104"/>
      <c r="N131" s="104"/>
      <c r="O131" s="104"/>
      <c r="P131" s="104"/>
      <c r="Q131" s="104"/>
      <c r="R131" s="104"/>
      <c r="S131" s="104"/>
      <c r="T131" s="104"/>
      <c r="U131" s="104"/>
      <c r="V131" s="23">
        <v>0</v>
      </c>
    </row>
    <row r="132" spans="1:22" s="171" customFormat="1">
      <c r="A132" s="69" t="s">
        <v>2015</v>
      </c>
      <c r="B132" s="69" t="s">
        <v>341</v>
      </c>
      <c r="C132" s="40"/>
      <c r="D132" s="40"/>
      <c r="E132" s="48"/>
      <c r="F132" s="48"/>
      <c r="G132" s="48"/>
      <c r="H132" s="306" t="s">
        <v>1799</v>
      </c>
      <c r="I132" s="48"/>
      <c r="J132" s="48"/>
      <c r="K132" s="306" t="s">
        <v>1809</v>
      </c>
      <c r="L132" s="48"/>
      <c r="M132" s="48"/>
      <c r="N132" s="48"/>
      <c r="O132" s="48"/>
      <c r="P132" s="48"/>
      <c r="Q132" s="48"/>
      <c r="R132" s="48"/>
      <c r="S132" s="30"/>
      <c r="T132" s="30"/>
      <c r="U132" s="30"/>
      <c r="V132" s="23">
        <v>11</v>
      </c>
    </row>
    <row r="133" spans="1:22" s="171" customFormat="1">
      <c r="A133" s="69" t="s">
        <v>342</v>
      </c>
      <c r="B133" s="69" t="s">
        <v>343</v>
      </c>
      <c r="C133" s="40"/>
      <c r="D133" s="40"/>
      <c r="E133" s="48"/>
      <c r="F133" s="48"/>
      <c r="G133" s="48"/>
      <c r="H133" s="306" t="s">
        <v>1800</v>
      </c>
      <c r="I133" s="48"/>
      <c r="J133" s="48"/>
      <c r="K133" s="306" t="s">
        <v>1812</v>
      </c>
      <c r="L133" s="48"/>
      <c r="M133" s="48"/>
      <c r="N133" s="48"/>
      <c r="O133" s="48"/>
      <c r="P133" s="48"/>
      <c r="Q133" s="48"/>
      <c r="R133" s="48"/>
      <c r="S133" s="30"/>
      <c r="T133" s="30"/>
      <c r="U133" s="30"/>
      <c r="V133" s="23">
        <v>25</v>
      </c>
    </row>
    <row r="134" spans="1:22" s="171" customFormat="1" ht="27.6">
      <c r="A134" s="69" t="s">
        <v>1951</v>
      </c>
      <c r="B134" s="69" t="s">
        <v>344</v>
      </c>
      <c r="C134" s="40"/>
      <c r="D134" s="40"/>
      <c r="E134" s="48"/>
      <c r="F134" s="48"/>
      <c r="G134" s="48"/>
      <c r="H134" s="306" t="s">
        <v>1802</v>
      </c>
      <c r="I134" s="48"/>
      <c r="J134" s="48"/>
      <c r="K134" s="306" t="s">
        <v>1810</v>
      </c>
      <c r="L134" s="48"/>
      <c r="M134" s="48"/>
      <c r="N134" s="48"/>
      <c r="O134" s="48"/>
      <c r="P134" s="48"/>
      <c r="Q134" s="48"/>
      <c r="R134" s="48"/>
      <c r="S134" s="30"/>
      <c r="T134" s="30"/>
      <c r="U134" s="30"/>
      <c r="V134" s="23">
        <v>36</v>
      </c>
    </row>
    <row r="135" spans="1:22" s="171" customFormat="1">
      <c r="A135" s="69" t="s">
        <v>345</v>
      </c>
      <c r="B135" s="69" t="s">
        <v>346</v>
      </c>
      <c r="C135" s="40"/>
      <c r="D135" s="40"/>
      <c r="E135" s="48"/>
      <c r="F135" s="48"/>
      <c r="G135" s="48"/>
      <c r="H135" s="306" t="s">
        <v>1804</v>
      </c>
      <c r="I135" s="48"/>
      <c r="J135" s="48"/>
      <c r="K135" s="306" t="s">
        <v>1814</v>
      </c>
      <c r="L135" s="48"/>
      <c r="M135" s="48"/>
      <c r="N135" s="48"/>
      <c r="O135" s="48"/>
      <c r="P135" s="48"/>
      <c r="Q135" s="48"/>
      <c r="R135" s="48"/>
      <c r="S135" s="30"/>
      <c r="T135" s="30"/>
      <c r="U135" s="30"/>
      <c r="V135" s="23">
        <v>71</v>
      </c>
    </row>
    <row r="136" spans="1:22" s="171" customFormat="1">
      <c r="A136" s="69" t="s">
        <v>347</v>
      </c>
      <c r="B136" s="69" t="s">
        <v>348</v>
      </c>
      <c r="C136" s="150"/>
      <c r="D136" s="150"/>
      <c r="E136" s="104"/>
      <c r="F136" s="104"/>
      <c r="G136" s="48"/>
      <c r="H136" s="306" t="s">
        <v>1803</v>
      </c>
      <c r="I136" s="48"/>
      <c r="J136" s="48"/>
      <c r="K136" s="306" t="s">
        <v>1813</v>
      </c>
      <c r="L136" s="48"/>
      <c r="M136" s="104"/>
      <c r="N136" s="104"/>
      <c r="O136" s="104"/>
      <c r="P136" s="104"/>
      <c r="Q136" s="104"/>
      <c r="R136" s="104"/>
      <c r="S136" s="104"/>
      <c r="T136" s="104"/>
      <c r="U136" s="104"/>
      <c r="V136" s="23">
        <v>71</v>
      </c>
    </row>
    <row r="137" spans="1:22" s="171" customFormat="1">
      <c r="A137" s="69" t="s">
        <v>1952</v>
      </c>
      <c r="B137" s="69" t="s">
        <v>349</v>
      </c>
      <c r="C137" s="40"/>
      <c r="D137" s="40"/>
      <c r="E137" s="48"/>
      <c r="F137" s="48"/>
      <c r="G137" s="48"/>
      <c r="H137" s="306" t="s">
        <v>1805</v>
      </c>
      <c r="I137" s="48"/>
      <c r="J137" s="48"/>
      <c r="K137" s="306" t="s">
        <v>1815</v>
      </c>
      <c r="L137" s="48"/>
      <c r="M137" s="48"/>
      <c r="N137" s="48"/>
      <c r="O137" s="48"/>
      <c r="P137" s="48"/>
      <c r="Q137" s="48"/>
      <c r="R137" s="48"/>
      <c r="S137" s="30"/>
      <c r="T137" s="30"/>
      <c r="U137" s="30"/>
      <c r="V137" s="23">
        <v>82</v>
      </c>
    </row>
    <row r="138" spans="1:22" s="171" customFormat="1" ht="27.6">
      <c r="A138" s="69" t="s">
        <v>350</v>
      </c>
      <c r="B138" s="69" t="s">
        <v>351</v>
      </c>
      <c r="C138" s="150"/>
      <c r="D138" s="150"/>
      <c r="E138" s="104"/>
      <c r="F138" s="104"/>
      <c r="G138" s="48"/>
      <c r="H138" s="48"/>
      <c r="I138" s="48"/>
      <c r="J138" s="48"/>
      <c r="K138" s="48"/>
      <c r="L138" s="48"/>
      <c r="M138" s="104"/>
      <c r="N138" s="104"/>
      <c r="O138" s="104"/>
      <c r="P138" s="104"/>
      <c r="Q138" s="104"/>
      <c r="R138" s="104"/>
      <c r="S138" s="104"/>
      <c r="T138" s="104"/>
      <c r="U138" s="104"/>
      <c r="V138" s="23">
        <v>117</v>
      </c>
    </row>
    <row r="139" spans="1:22" s="171" customFormat="1" ht="27.6">
      <c r="A139" s="69" t="s">
        <v>1953</v>
      </c>
      <c r="B139" s="69" t="s">
        <v>352</v>
      </c>
      <c r="C139" s="40"/>
      <c r="D139" s="40"/>
      <c r="E139" s="48"/>
      <c r="F139" s="48"/>
      <c r="G139" s="48"/>
      <c r="H139" s="48"/>
      <c r="I139" s="48"/>
      <c r="J139" s="48"/>
      <c r="K139" s="48"/>
      <c r="L139" s="48"/>
      <c r="M139" s="48"/>
      <c r="N139" s="48"/>
      <c r="O139" s="48"/>
      <c r="P139" s="48"/>
      <c r="Q139" s="48"/>
      <c r="R139" s="48"/>
      <c r="S139" s="30"/>
      <c r="T139" s="30"/>
      <c r="U139" s="30"/>
      <c r="V139" s="23">
        <v>117</v>
      </c>
    </row>
    <row r="140" spans="1:22" s="171" customFormat="1" ht="27.6">
      <c r="A140" s="69" t="s">
        <v>1886</v>
      </c>
      <c r="B140" s="236" t="s">
        <v>1889</v>
      </c>
      <c r="C140" s="40"/>
      <c r="D140" s="40"/>
      <c r="E140" s="48"/>
      <c r="F140" s="48"/>
      <c r="G140" s="48"/>
      <c r="H140" s="306" t="s">
        <v>1806</v>
      </c>
      <c r="I140" s="48"/>
      <c r="J140" s="48"/>
      <c r="K140" s="306" t="s">
        <v>1816</v>
      </c>
      <c r="L140" s="48"/>
      <c r="M140" s="48"/>
      <c r="N140" s="48"/>
      <c r="O140" s="48"/>
      <c r="P140" s="48"/>
      <c r="Q140" s="48"/>
      <c r="R140" s="48"/>
      <c r="S140" s="30"/>
      <c r="T140" s="30"/>
      <c r="U140" s="30"/>
      <c r="V140" s="23">
        <v>96</v>
      </c>
    </row>
    <row r="141" spans="1:22" s="171" customFormat="1" ht="27.6">
      <c r="A141" s="69" t="s">
        <v>1954</v>
      </c>
      <c r="B141" s="306" t="s">
        <v>1890</v>
      </c>
      <c r="C141" s="40"/>
      <c r="D141" s="40"/>
      <c r="E141" s="48"/>
      <c r="F141" s="48"/>
      <c r="G141" s="48"/>
      <c r="H141" s="306" t="s">
        <v>1807</v>
      </c>
      <c r="I141" s="48"/>
      <c r="J141" s="48"/>
      <c r="K141" s="306" t="s">
        <v>1817</v>
      </c>
      <c r="L141" s="48"/>
      <c r="M141" s="48"/>
      <c r="N141" s="48"/>
      <c r="O141" s="48"/>
      <c r="P141" s="48"/>
      <c r="Q141" s="48"/>
      <c r="R141" s="48"/>
      <c r="S141" s="30"/>
      <c r="T141" s="30"/>
      <c r="U141" s="30"/>
      <c r="V141" s="23">
        <v>107</v>
      </c>
    </row>
    <row r="142" spans="1:22">
      <c r="A142" s="69"/>
      <c r="B142" s="69"/>
      <c r="C142" s="40"/>
      <c r="D142" s="40"/>
      <c r="E142" s="48"/>
      <c r="F142" s="48"/>
      <c r="G142" s="48"/>
      <c r="H142" s="48"/>
      <c r="I142" s="48"/>
      <c r="J142" s="48"/>
      <c r="K142" s="48"/>
      <c r="L142" s="48"/>
      <c r="M142" s="48"/>
      <c r="N142" s="48"/>
      <c r="O142" s="48"/>
      <c r="P142" s="48"/>
      <c r="Q142" s="48"/>
      <c r="R142" s="48"/>
      <c r="S142" s="30"/>
      <c r="T142" s="30"/>
      <c r="U142" s="30"/>
      <c r="V142" s="28"/>
    </row>
    <row r="143" spans="1:22">
      <c r="A143" s="98" t="s">
        <v>353</v>
      </c>
      <c r="B143" s="98"/>
      <c r="C143" s="98"/>
      <c r="D143" s="98"/>
      <c r="E143" s="226"/>
      <c r="F143" s="226"/>
      <c r="G143" s="226"/>
      <c r="H143" s="226"/>
      <c r="I143" s="226"/>
      <c r="J143" s="226"/>
      <c r="K143" s="226"/>
      <c r="L143" s="226"/>
      <c r="M143" s="226"/>
      <c r="N143" s="226"/>
      <c r="O143" s="226"/>
      <c r="P143" s="226"/>
      <c r="Q143" s="226"/>
      <c r="R143" s="226"/>
      <c r="S143" s="226"/>
      <c r="T143" s="226"/>
      <c r="U143" s="226"/>
      <c r="V143" s="182"/>
    </row>
    <row r="144" spans="1:22" s="177" customFormat="1" ht="14.4">
      <c r="A144" s="69" t="s">
        <v>2002</v>
      </c>
      <c r="B144" s="69" t="s">
        <v>354</v>
      </c>
      <c r="C144" s="40"/>
      <c r="D144" s="40"/>
      <c r="E144" s="48"/>
      <c r="F144" s="48"/>
      <c r="G144" s="48"/>
      <c r="H144" s="48"/>
      <c r="I144" s="48"/>
      <c r="J144" s="48"/>
      <c r="K144" s="48"/>
      <c r="L144" s="48"/>
      <c r="M144" s="48"/>
      <c r="N144" s="339" t="s">
        <v>1820</v>
      </c>
      <c r="O144" s="48"/>
      <c r="P144" s="48"/>
      <c r="Q144" s="48"/>
      <c r="R144" s="48"/>
      <c r="S144" s="48"/>
      <c r="T144" s="48"/>
      <c r="U144" s="48"/>
      <c r="V144" s="23">
        <v>11</v>
      </c>
    </row>
    <row r="145" spans="1:45" s="177" customFormat="1" ht="14.4">
      <c r="A145" s="69" t="s">
        <v>355</v>
      </c>
      <c r="B145" s="69" t="s">
        <v>356</v>
      </c>
      <c r="C145" s="40"/>
      <c r="D145" s="40"/>
      <c r="E145" s="48"/>
      <c r="F145" s="48"/>
      <c r="G145" s="48"/>
      <c r="H145" s="48"/>
      <c r="I145" s="48"/>
      <c r="J145" s="48"/>
      <c r="K145" s="48"/>
      <c r="L145" s="48"/>
      <c r="M145" s="48"/>
      <c r="N145" s="339" t="s">
        <v>1818</v>
      </c>
      <c r="O145" s="48"/>
      <c r="P145" s="48"/>
      <c r="Q145" s="339" t="s">
        <v>1827</v>
      </c>
      <c r="R145" s="48"/>
      <c r="S145" s="48"/>
      <c r="T145" s="48"/>
      <c r="U145" s="48"/>
      <c r="V145" s="23">
        <v>0</v>
      </c>
    </row>
    <row r="146" spans="1:45" s="177" customFormat="1" ht="14.4">
      <c r="A146" s="69" t="s">
        <v>1955</v>
      </c>
      <c r="B146" s="69" t="s">
        <v>357</v>
      </c>
      <c r="C146" s="40"/>
      <c r="D146" s="40"/>
      <c r="E146" s="48"/>
      <c r="F146" s="48"/>
      <c r="G146" s="48"/>
      <c r="H146" s="48"/>
      <c r="I146" s="48"/>
      <c r="J146" s="48"/>
      <c r="K146" s="48"/>
      <c r="L146" s="48"/>
      <c r="M146" s="48"/>
      <c r="N146" s="339" t="s">
        <v>1821</v>
      </c>
      <c r="O146" s="48"/>
      <c r="P146" s="48"/>
      <c r="Q146" s="339" t="s">
        <v>1829</v>
      </c>
      <c r="R146" s="48"/>
      <c r="S146" s="48"/>
      <c r="T146" s="48"/>
      <c r="U146" s="48"/>
      <c r="V146" s="23">
        <v>11</v>
      </c>
    </row>
    <row r="147" spans="1:45" s="177" customFormat="1" ht="14.4">
      <c r="A147" s="69" t="s">
        <v>358</v>
      </c>
      <c r="B147" s="69" t="s">
        <v>359</v>
      </c>
      <c r="C147" s="40"/>
      <c r="D147" s="40"/>
      <c r="E147" s="48"/>
      <c r="F147" s="48"/>
      <c r="G147" s="48"/>
      <c r="H147" s="48"/>
      <c r="I147" s="48"/>
      <c r="J147" s="48"/>
      <c r="K147" s="48"/>
      <c r="L147" s="48"/>
      <c r="M147" s="48"/>
      <c r="N147" s="339" t="s">
        <v>1819</v>
      </c>
      <c r="O147" s="48"/>
      <c r="P147" s="48"/>
      <c r="Q147" s="339" t="s">
        <v>1828</v>
      </c>
      <c r="R147" s="48"/>
      <c r="S147" s="48"/>
      <c r="T147" s="48"/>
      <c r="U147" s="48"/>
      <c r="V147" s="23">
        <v>25</v>
      </c>
    </row>
    <row r="148" spans="1:45" s="177" customFormat="1" ht="27.6">
      <c r="A148" s="69" t="s">
        <v>1956</v>
      </c>
      <c r="B148" s="69" t="s">
        <v>360</v>
      </c>
      <c r="C148" s="40"/>
      <c r="D148" s="40"/>
      <c r="E148" s="48"/>
      <c r="F148" s="48"/>
      <c r="G148" s="48"/>
      <c r="H148" s="48"/>
      <c r="I148" s="48"/>
      <c r="J148" s="48"/>
      <c r="K148" s="48"/>
      <c r="L148" s="48"/>
      <c r="M148" s="48"/>
      <c r="N148" s="339" t="s">
        <v>1822</v>
      </c>
      <c r="O148" s="48"/>
      <c r="P148" s="48"/>
      <c r="Q148" s="339" t="s">
        <v>1830</v>
      </c>
      <c r="R148" s="48"/>
      <c r="S148" s="48"/>
      <c r="T148" s="48"/>
      <c r="U148" s="48"/>
      <c r="V148" s="23">
        <v>30</v>
      </c>
    </row>
    <row r="149" spans="1:45" s="177" customFormat="1" ht="14.4">
      <c r="A149" s="69" t="s">
        <v>361</v>
      </c>
      <c r="B149" s="69" t="s">
        <v>362</v>
      </c>
      <c r="C149" s="40"/>
      <c r="D149" s="40"/>
      <c r="E149" s="48"/>
      <c r="F149" s="48"/>
      <c r="G149" s="48"/>
      <c r="H149" s="48"/>
      <c r="I149" s="48"/>
      <c r="J149" s="48"/>
      <c r="K149" s="48"/>
      <c r="L149" s="48"/>
      <c r="M149" s="48"/>
      <c r="N149" s="339" t="s">
        <v>1823</v>
      </c>
      <c r="O149" s="48"/>
      <c r="P149" s="48"/>
      <c r="Q149" s="339" t="s">
        <v>1831</v>
      </c>
      <c r="R149" s="48"/>
      <c r="S149" s="48"/>
      <c r="T149" s="48"/>
      <c r="U149" s="48"/>
      <c r="V149" s="23">
        <v>71</v>
      </c>
    </row>
    <row r="150" spans="1:45" s="177" customFormat="1" ht="14.4">
      <c r="A150" s="69" t="s">
        <v>1957</v>
      </c>
      <c r="B150" s="69" t="s">
        <v>363</v>
      </c>
      <c r="C150" s="40"/>
      <c r="D150" s="40"/>
      <c r="E150" s="48"/>
      <c r="F150" s="48"/>
      <c r="G150" s="48"/>
      <c r="H150" s="48"/>
      <c r="I150" s="48"/>
      <c r="J150" s="48"/>
      <c r="K150" s="48"/>
      <c r="L150" s="48"/>
      <c r="M150" s="48"/>
      <c r="N150" s="339" t="s">
        <v>1824</v>
      </c>
      <c r="O150" s="48"/>
      <c r="P150" s="48"/>
      <c r="Q150" s="339" t="s">
        <v>1832</v>
      </c>
      <c r="R150" s="48"/>
      <c r="S150" s="48"/>
      <c r="T150" s="48"/>
      <c r="U150" s="48"/>
      <c r="V150" s="23">
        <v>82</v>
      </c>
    </row>
    <row r="151" spans="1:45" s="177" customFormat="1" ht="27.6">
      <c r="A151" s="69" t="s">
        <v>364</v>
      </c>
      <c r="B151" s="69" t="s">
        <v>365</v>
      </c>
      <c r="C151" s="40"/>
      <c r="D151" s="40"/>
      <c r="E151" s="48"/>
      <c r="F151" s="48"/>
      <c r="G151" s="48"/>
      <c r="H151" s="48"/>
      <c r="I151" s="48"/>
      <c r="J151" s="48"/>
      <c r="K151" s="48"/>
      <c r="L151" s="48"/>
      <c r="M151" s="48"/>
      <c r="N151" s="48"/>
      <c r="O151" s="48"/>
      <c r="P151" s="48"/>
      <c r="Q151" s="48"/>
      <c r="R151" s="48"/>
      <c r="S151" s="48"/>
      <c r="T151" s="48"/>
      <c r="U151" s="48"/>
      <c r="V151" s="23">
        <v>151</v>
      </c>
    </row>
    <row r="152" spans="1:45" s="177" customFormat="1" ht="27.6">
      <c r="A152" s="69" t="s">
        <v>1958</v>
      </c>
      <c r="B152" s="69" t="s">
        <v>366</v>
      </c>
      <c r="C152" s="40"/>
      <c r="D152" s="40"/>
      <c r="E152" s="48"/>
      <c r="F152" s="48"/>
      <c r="G152" s="48"/>
      <c r="H152" s="48"/>
      <c r="I152" s="48"/>
      <c r="J152" s="48"/>
      <c r="K152" s="48"/>
      <c r="L152" s="48"/>
      <c r="M152" s="48"/>
      <c r="N152" s="48"/>
      <c r="O152" s="48"/>
      <c r="P152" s="48"/>
      <c r="Q152" s="48"/>
      <c r="R152" s="48"/>
      <c r="S152" s="48"/>
      <c r="T152" s="48"/>
      <c r="U152" s="48"/>
      <c r="V152" s="23">
        <v>151</v>
      </c>
    </row>
    <row r="153" spans="1:45" s="177" customFormat="1" ht="27.6">
      <c r="A153" s="69" t="s">
        <v>1887</v>
      </c>
      <c r="B153" s="236" t="s">
        <v>1888</v>
      </c>
      <c r="C153" s="150"/>
      <c r="D153" s="150"/>
      <c r="E153" s="104"/>
      <c r="F153" s="104"/>
      <c r="G153" s="104"/>
      <c r="H153" s="104"/>
      <c r="I153" s="104"/>
      <c r="J153" s="104"/>
      <c r="K153" s="104"/>
      <c r="L153" s="104"/>
      <c r="M153" s="104"/>
      <c r="N153" s="339" t="s">
        <v>1825</v>
      </c>
      <c r="O153" s="48"/>
      <c r="P153" s="104"/>
      <c r="Q153" s="339" t="s">
        <v>1833</v>
      </c>
      <c r="R153" s="104"/>
      <c r="S153" s="104"/>
      <c r="T153" s="104"/>
      <c r="U153" s="104"/>
      <c r="V153" s="23">
        <v>125</v>
      </c>
    </row>
    <row r="154" spans="1:45" s="177" customFormat="1" ht="27.6">
      <c r="A154" s="69" t="s">
        <v>1959</v>
      </c>
      <c r="B154" s="306" t="s">
        <v>1891</v>
      </c>
      <c r="C154" s="150"/>
      <c r="D154" s="150"/>
      <c r="E154" s="104"/>
      <c r="F154" s="104"/>
      <c r="G154" s="104"/>
      <c r="H154" s="104"/>
      <c r="I154" s="104"/>
      <c r="J154" s="104"/>
      <c r="K154" s="104"/>
      <c r="L154" s="104"/>
      <c r="M154" s="104"/>
      <c r="N154" s="339" t="s">
        <v>1826</v>
      </c>
      <c r="O154" s="48"/>
      <c r="P154" s="104"/>
      <c r="Q154" s="339" t="s">
        <v>1834</v>
      </c>
      <c r="R154" s="104"/>
      <c r="S154" s="104"/>
      <c r="T154" s="104"/>
      <c r="U154" s="104"/>
      <c r="V154" s="23">
        <v>136</v>
      </c>
    </row>
    <row r="155" spans="1:45" s="177" customFormat="1">
      <c r="A155" s="71"/>
      <c r="B155" s="52"/>
      <c r="C155" s="150"/>
      <c r="D155" s="150"/>
      <c r="E155" s="104"/>
      <c r="F155" s="104"/>
      <c r="G155" s="104"/>
      <c r="H155" s="104"/>
      <c r="I155" s="104"/>
      <c r="J155" s="104"/>
      <c r="K155" s="104"/>
      <c r="L155" s="104"/>
      <c r="M155" s="104"/>
      <c r="N155" s="48"/>
      <c r="O155" s="48"/>
      <c r="P155" s="104"/>
      <c r="Q155" s="104"/>
      <c r="R155" s="104"/>
      <c r="S155" s="104"/>
      <c r="T155" s="104"/>
      <c r="U155" s="104"/>
      <c r="V155" s="28"/>
      <c r="W155" s="172"/>
      <c r="X155" s="172"/>
      <c r="Y155" s="172"/>
      <c r="Z155" s="172"/>
      <c r="AA155" s="172"/>
      <c r="AB155" s="172"/>
      <c r="AC155" s="172"/>
      <c r="AD155" s="172"/>
      <c r="AE155" s="172"/>
      <c r="AF155" s="172"/>
      <c r="AG155" s="172"/>
      <c r="AH155" s="172"/>
      <c r="AI155" s="172"/>
      <c r="AJ155" s="172"/>
      <c r="AK155" s="172"/>
      <c r="AL155" s="172"/>
      <c r="AM155" s="172"/>
      <c r="AN155" s="172"/>
      <c r="AO155" s="172"/>
      <c r="AP155" s="172"/>
      <c r="AQ155" s="172"/>
      <c r="AR155" s="172"/>
      <c r="AS155" s="172"/>
    </row>
    <row r="156" spans="1:45" s="177" customFormat="1">
      <c r="A156" s="98" t="s">
        <v>228</v>
      </c>
      <c r="B156" s="98"/>
      <c r="C156" s="98"/>
      <c r="D156" s="98"/>
      <c r="E156" s="226"/>
      <c r="F156" s="226"/>
      <c r="G156" s="226"/>
      <c r="H156" s="226"/>
      <c r="I156" s="226"/>
      <c r="J156" s="226"/>
      <c r="K156" s="226"/>
      <c r="L156" s="226"/>
      <c r="M156" s="226"/>
      <c r="N156" s="226"/>
      <c r="O156" s="226"/>
      <c r="P156" s="226"/>
      <c r="Q156" s="226"/>
      <c r="R156" s="226"/>
      <c r="S156" s="226"/>
      <c r="T156" s="226"/>
      <c r="U156" s="226"/>
      <c r="V156" s="185"/>
      <c r="W156" s="172"/>
      <c r="X156" s="172"/>
      <c r="Y156" s="172"/>
      <c r="Z156" s="172"/>
      <c r="AA156" s="172"/>
      <c r="AB156" s="172"/>
      <c r="AC156" s="172"/>
      <c r="AD156" s="172"/>
      <c r="AE156" s="172"/>
      <c r="AF156" s="172"/>
      <c r="AG156" s="172"/>
      <c r="AH156" s="172"/>
      <c r="AI156" s="172"/>
      <c r="AJ156" s="172"/>
      <c r="AK156" s="172"/>
      <c r="AL156" s="172"/>
      <c r="AM156" s="172"/>
      <c r="AN156" s="172"/>
      <c r="AO156" s="172"/>
      <c r="AP156" s="172"/>
      <c r="AQ156" s="172"/>
      <c r="AR156" s="172"/>
      <c r="AS156" s="172"/>
    </row>
    <row r="157" spans="1:45" s="177" customFormat="1">
      <c r="A157" s="69" t="s">
        <v>229</v>
      </c>
      <c r="B157" s="69" t="s">
        <v>367</v>
      </c>
      <c r="C157" s="40"/>
      <c r="D157" s="40"/>
      <c r="E157" s="48"/>
      <c r="F157" s="306" t="s">
        <v>1734</v>
      </c>
      <c r="G157" s="48"/>
      <c r="H157" s="306" t="s">
        <v>1736</v>
      </c>
      <c r="I157" s="48"/>
      <c r="J157" s="48"/>
      <c r="K157" s="306" t="s">
        <v>1738</v>
      </c>
      <c r="L157" s="48"/>
      <c r="M157" s="48"/>
      <c r="N157" s="306" t="s">
        <v>1740</v>
      </c>
      <c r="O157" s="48"/>
      <c r="P157" s="48"/>
      <c r="Q157" s="306" t="s">
        <v>1742</v>
      </c>
      <c r="R157" s="48"/>
      <c r="S157" s="48"/>
      <c r="T157" s="48"/>
      <c r="U157" s="48"/>
      <c r="V157" s="23">
        <v>30</v>
      </c>
    </row>
    <row r="158" spans="1:45">
      <c r="A158" s="69" t="s">
        <v>236</v>
      </c>
      <c r="B158" s="69" t="s">
        <v>368</v>
      </c>
      <c r="C158" s="40"/>
      <c r="D158" s="40"/>
      <c r="E158" s="48"/>
      <c r="F158" s="306" t="s">
        <v>1735</v>
      </c>
      <c r="G158" s="48"/>
      <c r="H158" s="306" t="s">
        <v>1737</v>
      </c>
      <c r="I158" s="48"/>
      <c r="J158" s="48"/>
      <c r="K158" s="306" t="s">
        <v>1739</v>
      </c>
      <c r="L158" s="48"/>
      <c r="M158" s="48"/>
      <c r="N158" s="306" t="s">
        <v>1741</v>
      </c>
      <c r="O158" s="48"/>
      <c r="P158" s="48"/>
      <c r="Q158" s="306" t="s">
        <v>1743</v>
      </c>
      <c r="R158" s="48"/>
      <c r="S158" s="48"/>
      <c r="T158" s="48"/>
      <c r="U158" s="48"/>
      <c r="V158" s="23">
        <v>104</v>
      </c>
      <c r="W158" s="171"/>
      <c r="X158" s="171"/>
      <c r="Y158" s="171"/>
      <c r="Z158" s="171"/>
      <c r="AA158" s="171"/>
      <c r="AB158" s="171"/>
      <c r="AC158" s="171"/>
      <c r="AD158" s="171"/>
      <c r="AE158" s="171"/>
      <c r="AF158" s="171"/>
      <c r="AG158" s="171"/>
      <c r="AH158" s="171"/>
      <c r="AI158" s="171"/>
      <c r="AJ158" s="171"/>
      <c r="AK158" s="171"/>
      <c r="AL158" s="171"/>
      <c r="AM158" s="171"/>
      <c r="AN158" s="171"/>
      <c r="AO158" s="171"/>
      <c r="AP158" s="171"/>
      <c r="AQ158" s="171"/>
      <c r="AR158" s="171"/>
      <c r="AS158" s="171"/>
    </row>
    <row r="159" spans="1:45">
      <c r="A159" s="71"/>
      <c r="B159" s="52"/>
      <c r="C159" s="150"/>
      <c r="D159" s="150"/>
      <c r="E159" s="104"/>
      <c r="F159" s="104"/>
      <c r="G159" s="104"/>
      <c r="H159" s="104"/>
      <c r="I159" s="104"/>
      <c r="J159" s="104"/>
      <c r="K159" s="104"/>
      <c r="L159" s="104"/>
      <c r="M159" s="104"/>
      <c r="N159" s="104"/>
      <c r="O159" s="104"/>
      <c r="P159" s="104"/>
      <c r="Q159" s="104"/>
      <c r="R159" s="104"/>
      <c r="S159" s="104"/>
      <c r="T159" s="104"/>
      <c r="U159" s="104"/>
      <c r="V159" s="28"/>
    </row>
    <row r="160" spans="1:45">
      <c r="A160" s="98" t="s">
        <v>246</v>
      </c>
      <c r="B160" s="98"/>
      <c r="C160" s="98"/>
      <c r="D160" s="98"/>
      <c r="E160" s="226"/>
      <c r="F160" s="226"/>
      <c r="G160" s="226"/>
      <c r="H160" s="226"/>
      <c r="I160" s="226"/>
      <c r="J160" s="226"/>
      <c r="K160" s="226"/>
      <c r="L160" s="226"/>
      <c r="M160" s="226"/>
      <c r="N160" s="226"/>
      <c r="O160" s="226"/>
      <c r="P160" s="226"/>
      <c r="Q160" s="226"/>
      <c r="R160" s="226"/>
      <c r="S160" s="226"/>
      <c r="T160" s="226"/>
      <c r="U160" s="226"/>
      <c r="V160" s="185"/>
    </row>
    <row r="161" spans="1:45" ht="14.4">
      <c r="A161" s="69" t="s">
        <v>247</v>
      </c>
      <c r="B161" s="69" t="s">
        <v>369</v>
      </c>
      <c r="C161" s="40"/>
      <c r="D161" s="40"/>
      <c r="E161" s="48"/>
      <c r="F161" s="236" t="s">
        <v>1748</v>
      </c>
      <c r="G161" s="48"/>
      <c r="H161" s="236" t="s">
        <v>1747</v>
      </c>
      <c r="I161" s="48"/>
      <c r="J161" s="48"/>
      <c r="K161" s="236" t="s">
        <v>1746</v>
      </c>
      <c r="L161" s="48"/>
      <c r="M161" s="48"/>
      <c r="N161" s="236" t="s">
        <v>1745</v>
      </c>
      <c r="O161" s="48"/>
      <c r="P161" s="48"/>
      <c r="Q161" s="339" t="s">
        <v>1744</v>
      </c>
      <c r="R161" s="48"/>
      <c r="S161" s="48"/>
      <c r="T161" s="48"/>
      <c r="U161" s="48"/>
      <c r="V161" s="23">
        <v>5</v>
      </c>
      <c r="W161" s="171"/>
      <c r="X161" s="171"/>
      <c r="Y161" s="171"/>
      <c r="Z161" s="171"/>
      <c r="AA161" s="171"/>
      <c r="AB161" s="171"/>
      <c r="AC161" s="171"/>
      <c r="AD161" s="171"/>
      <c r="AE161" s="171"/>
      <c r="AF161" s="171"/>
      <c r="AG161" s="171"/>
      <c r="AH161" s="171"/>
      <c r="AI161" s="171"/>
      <c r="AJ161" s="171"/>
      <c r="AK161" s="171"/>
      <c r="AL161" s="171"/>
      <c r="AM161" s="171"/>
      <c r="AN161" s="171"/>
      <c r="AO161" s="171"/>
      <c r="AP161" s="171"/>
      <c r="AQ161" s="171"/>
      <c r="AR161" s="171"/>
      <c r="AS161" s="171"/>
    </row>
    <row r="162" spans="1:45">
      <c r="A162" s="71"/>
      <c r="B162" s="52"/>
      <c r="C162" s="150"/>
      <c r="D162" s="150"/>
      <c r="E162" s="104"/>
      <c r="F162" s="104"/>
      <c r="G162" s="104"/>
      <c r="H162" s="104"/>
      <c r="I162" s="104"/>
      <c r="J162" s="104"/>
      <c r="K162" s="104"/>
      <c r="L162" s="104"/>
      <c r="M162" s="104"/>
      <c r="N162" s="104"/>
      <c r="O162" s="104"/>
      <c r="P162" s="104"/>
      <c r="Q162" s="104"/>
      <c r="R162" s="104"/>
      <c r="S162" s="104"/>
      <c r="T162" s="104"/>
      <c r="U162" s="104"/>
      <c r="V162" s="28"/>
    </row>
    <row r="163" spans="1:45">
      <c r="A163" s="98" t="s">
        <v>253</v>
      </c>
      <c r="B163" s="98"/>
      <c r="C163" s="98"/>
      <c r="D163" s="98"/>
      <c r="E163" s="226"/>
      <c r="F163" s="318"/>
      <c r="G163" s="226"/>
      <c r="H163" s="318"/>
      <c r="I163" s="226"/>
      <c r="J163" s="226"/>
      <c r="K163" s="318"/>
      <c r="L163" s="226"/>
      <c r="M163" s="226"/>
      <c r="N163" s="226"/>
      <c r="O163" s="226"/>
      <c r="P163" s="226"/>
      <c r="Q163" s="226"/>
      <c r="R163" s="226"/>
      <c r="S163" s="226"/>
      <c r="T163" s="226"/>
      <c r="U163" s="226"/>
      <c r="V163" s="185"/>
    </row>
    <row r="164" spans="1:45">
      <c r="A164" s="69" t="s">
        <v>370</v>
      </c>
      <c r="B164" s="69" t="s">
        <v>371</v>
      </c>
      <c r="C164" s="40"/>
      <c r="D164" s="40"/>
      <c r="E164" s="48"/>
      <c r="F164" s="306" t="s">
        <v>1749</v>
      </c>
      <c r="G164" s="48"/>
      <c r="H164" s="306" t="s">
        <v>1752</v>
      </c>
      <c r="I164" s="48"/>
      <c r="J164" s="48"/>
      <c r="K164" s="306" t="s">
        <v>1755</v>
      </c>
      <c r="L164" s="48"/>
      <c r="M164" s="48"/>
      <c r="O164" s="48"/>
      <c r="P164" s="48"/>
      <c r="Q164" s="48"/>
      <c r="R164" s="48"/>
      <c r="S164" s="30"/>
      <c r="T164" s="30"/>
      <c r="U164" s="30"/>
      <c r="V164" s="23">
        <v>0</v>
      </c>
      <c r="W164" s="171"/>
      <c r="X164" s="171"/>
      <c r="Y164" s="171"/>
      <c r="Z164" s="171"/>
      <c r="AA164" s="171"/>
      <c r="AB164" s="171"/>
      <c r="AC164" s="171"/>
      <c r="AD164" s="171"/>
      <c r="AE164" s="171"/>
      <c r="AF164" s="171"/>
      <c r="AG164" s="171"/>
      <c r="AH164" s="171"/>
      <c r="AI164" s="171"/>
      <c r="AJ164" s="171"/>
      <c r="AK164" s="171"/>
      <c r="AL164" s="171"/>
      <c r="AM164" s="171"/>
      <c r="AN164" s="171"/>
      <c r="AO164" s="171"/>
      <c r="AP164" s="171"/>
      <c r="AQ164" s="171"/>
      <c r="AR164" s="171"/>
      <c r="AS164" s="171"/>
    </row>
    <row r="165" spans="1:45">
      <c r="A165" s="69" t="s">
        <v>372</v>
      </c>
      <c r="B165" s="69" t="s">
        <v>373</v>
      </c>
      <c r="C165" s="40"/>
      <c r="D165" s="40"/>
      <c r="E165" s="48"/>
      <c r="F165" s="306" t="s">
        <v>1750</v>
      </c>
      <c r="G165" s="48"/>
      <c r="H165" s="306" t="s">
        <v>1753</v>
      </c>
      <c r="I165" s="48"/>
      <c r="J165" s="48"/>
      <c r="K165" s="306" t="s">
        <v>1756</v>
      </c>
      <c r="L165" s="48"/>
      <c r="M165" s="48"/>
      <c r="N165" s="48"/>
      <c r="O165" s="48"/>
      <c r="P165" s="48"/>
      <c r="Q165" s="48"/>
      <c r="R165" s="48"/>
      <c r="S165" s="30"/>
      <c r="T165" s="30"/>
      <c r="U165" s="30"/>
      <c r="V165" s="23">
        <v>0</v>
      </c>
      <c r="W165" s="171"/>
      <c r="X165" s="171"/>
      <c r="Y165" s="171"/>
      <c r="Z165" s="171"/>
      <c r="AA165" s="171"/>
      <c r="AB165" s="171"/>
      <c r="AC165" s="171"/>
      <c r="AD165" s="171"/>
      <c r="AE165" s="171"/>
      <c r="AF165" s="171"/>
      <c r="AG165" s="171"/>
      <c r="AH165" s="171"/>
      <c r="AI165" s="171"/>
      <c r="AJ165" s="171"/>
      <c r="AK165" s="171"/>
      <c r="AL165" s="171"/>
      <c r="AM165" s="171"/>
      <c r="AN165" s="171"/>
      <c r="AO165" s="171"/>
      <c r="AP165" s="171"/>
      <c r="AQ165" s="171"/>
      <c r="AR165" s="171"/>
      <c r="AS165" s="171"/>
    </row>
    <row r="166" spans="1:45">
      <c r="A166" s="69" t="s">
        <v>374</v>
      </c>
      <c r="B166" s="69" t="s">
        <v>375</v>
      </c>
      <c r="C166" s="40"/>
      <c r="D166" s="40"/>
      <c r="E166" s="48"/>
      <c r="F166" s="306" t="s">
        <v>1751</v>
      </c>
      <c r="G166" s="48"/>
      <c r="H166" s="306" t="s">
        <v>1754</v>
      </c>
      <c r="I166" s="48"/>
      <c r="J166" s="48"/>
      <c r="K166" s="306" t="s">
        <v>1757</v>
      </c>
      <c r="L166" s="48"/>
      <c r="M166" s="48"/>
      <c r="N166" s="48"/>
      <c r="O166" s="48"/>
      <c r="P166" s="48"/>
      <c r="Q166" s="48"/>
      <c r="R166" s="48"/>
      <c r="S166" s="30"/>
      <c r="T166" s="30"/>
      <c r="U166" s="30"/>
      <c r="V166" s="23">
        <v>0</v>
      </c>
      <c r="W166" s="171"/>
      <c r="X166" s="171"/>
      <c r="Y166" s="171"/>
      <c r="Z166" s="171"/>
      <c r="AA166" s="171"/>
      <c r="AB166" s="171"/>
      <c r="AC166" s="171"/>
      <c r="AD166" s="171"/>
      <c r="AE166" s="171"/>
      <c r="AF166" s="171"/>
      <c r="AG166" s="171"/>
      <c r="AH166" s="171"/>
      <c r="AI166" s="171"/>
      <c r="AJ166" s="171"/>
      <c r="AK166" s="171"/>
      <c r="AL166" s="171"/>
      <c r="AM166" s="171"/>
      <c r="AN166" s="171"/>
      <c r="AO166" s="171"/>
      <c r="AP166" s="171"/>
      <c r="AQ166" s="171"/>
      <c r="AR166" s="171"/>
      <c r="AS166" s="171"/>
    </row>
    <row r="167" spans="1:45">
      <c r="A167" s="69" t="s">
        <v>376</v>
      </c>
      <c r="B167" s="69" t="s">
        <v>377</v>
      </c>
      <c r="C167" s="150"/>
      <c r="D167" s="150"/>
      <c r="E167" s="104"/>
      <c r="F167" s="104"/>
      <c r="G167" s="48"/>
      <c r="H167" s="48"/>
      <c r="I167" s="48"/>
      <c r="J167" s="104"/>
      <c r="K167" s="104"/>
      <c r="L167" s="104"/>
      <c r="M167" s="48"/>
      <c r="N167" s="306" t="s">
        <v>1759</v>
      </c>
      <c r="O167" s="48"/>
      <c r="P167" s="48"/>
      <c r="Q167" s="306" t="s">
        <v>1760</v>
      </c>
      <c r="R167" s="48"/>
      <c r="S167" s="48"/>
      <c r="T167" s="48"/>
      <c r="U167" s="48"/>
      <c r="V167" s="23">
        <v>0</v>
      </c>
      <c r="W167" s="171"/>
      <c r="X167" s="171"/>
      <c r="Y167" s="171"/>
      <c r="Z167" s="171"/>
      <c r="AA167" s="171"/>
      <c r="AB167" s="171"/>
      <c r="AC167" s="171"/>
      <c r="AD167" s="171"/>
      <c r="AE167" s="171"/>
      <c r="AF167" s="171"/>
      <c r="AG167" s="171"/>
      <c r="AH167" s="171"/>
      <c r="AI167" s="171"/>
      <c r="AJ167" s="171"/>
      <c r="AK167" s="171"/>
      <c r="AL167" s="171"/>
      <c r="AM167" s="171"/>
      <c r="AN167" s="171"/>
      <c r="AO167" s="171"/>
      <c r="AP167" s="171"/>
      <c r="AQ167" s="171"/>
      <c r="AR167" s="171"/>
      <c r="AS167" s="171"/>
    </row>
    <row r="168" spans="1:45">
      <c r="A168" s="69" t="s">
        <v>378</v>
      </c>
      <c r="B168" s="69" t="s">
        <v>379</v>
      </c>
      <c r="C168" s="150"/>
      <c r="D168" s="150"/>
      <c r="E168" s="104"/>
      <c r="F168" s="104"/>
      <c r="G168" s="104"/>
      <c r="H168" s="104"/>
      <c r="I168" s="104"/>
      <c r="J168" s="104"/>
      <c r="K168" s="104"/>
      <c r="L168" s="104"/>
      <c r="M168" s="48"/>
      <c r="N168" s="306" t="s">
        <v>1758</v>
      </c>
      <c r="O168" s="48"/>
      <c r="P168" s="48"/>
      <c r="Q168" s="306" t="s">
        <v>1761</v>
      </c>
      <c r="R168" s="48"/>
      <c r="S168" s="48"/>
      <c r="T168" s="48"/>
      <c r="U168" s="48"/>
      <c r="V168" s="23">
        <v>0</v>
      </c>
      <c r="W168" s="171"/>
      <c r="X168" s="171"/>
      <c r="Y168" s="171"/>
      <c r="Z168" s="171"/>
      <c r="AA168" s="171"/>
      <c r="AB168" s="171"/>
      <c r="AC168" s="171"/>
      <c r="AD168" s="171"/>
      <c r="AE168" s="171"/>
      <c r="AF168" s="171"/>
      <c r="AG168" s="171"/>
      <c r="AH168" s="171"/>
      <c r="AI168" s="171"/>
      <c r="AJ168" s="171"/>
      <c r="AK168" s="171"/>
      <c r="AL168" s="171"/>
      <c r="AM168" s="171"/>
      <c r="AN168" s="171"/>
      <c r="AO168" s="171"/>
      <c r="AP168" s="171"/>
      <c r="AQ168" s="171"/>
      <c r="AR168" s="171"/>
      <c r="AS168" s="171"/>
    </row>
    <row r="169" spans="1:45" ht="27.6">
      <c r="A169" s="69" t="s">
        <v>380</v>
      </c>
      <c r="B169" s="69" t="s">
        <v>381</v>
      </c>
      <c r="C169" s="150"/>
      <c r="D169" s="150"/>
      <c r="E169" s="104"/>
      <c r="F169" s="104"/>
      <c r="G169" s="104"/>
      <c r="H169" s="104"/>
      <c r="I169" s="104"/>
      <c r="J169" s="104"/>
      <c r="K169" s="104"/>
      <c r="L169" s="104"/>
      <c r="M169" s="48"/>
      <c r="N169" s="317"/>
      <c r="O169" s="48"/>
      <c r="P169" s="48"/>
      <c r="Q169" s="317"/>
      <c r="R169" s="48"/>
      <c r="S169" s="48"/>
      <c r="T169" s="48"/>
      <c r="U169" s="48"/>
      <c r="V169" s="23">
        <v>0</v>
      </c>
      <c r="W169" s="171"/>
      <c r="X169" s="171"/>
      <c r="Y169" s="171"/>
      <c r="Z169" s="171"/>
      <c r="AA169" s="171"/>
      <c r="AB169" s="171"/>
      <c r="AC169" s="171"/>
      <c r="AD169" s="171"/>
      <c r="AE169" s="171"/>
      <c r="AF169" s="171"/>
      <c r="AG169" s="171"/>
      <c r="AH169" s="171"/>
      <c r="AI169" s="171"/>
      <c r="AJ169" s="171"/>
      <c r="AK169" s="171"/>
      <c r="AL169" s="171"/>
      <c r="AM169" s="171"/>
      <c r="AN169" s="171"/>
      <c r="AO169" s="171"/>
      <c r="AP169" s="171"/>
      <c r="AQ169" s="171"/>
      <c r="AR169" s="171"/>
      <c r="AS169" s="171"/>
    </row>
    <row r="170" spans="1:45" s="165" customFormat="1">
      <c r="A170" s="69"/>
      <c r="B170" s="319"/>
      <c r="C170" s="150"/>
      <c r="D170" s="150"/>
      <c r="E170" s="104"/>
      <c r="F170" s="104"/>
      <c r="G170" s="104"/>
      <c r="H170" s="104"/>
      <c r="I170" s="104"/>
      <c r="J170" s="104"/>
      <c r="K170" s="104"/>
      <c r="L170" s="104"/>
      <c r="M170" s="48"/>
      <c r="N170" s="22"/>
      <c r="O170" s="48"/>
      <c r="P170" s="48"/>
      <c r="Q170" s="22"/>
      <c r="R170" s="48"/>
      <c r="S170" s="104"/>
      <c r="T170" s="104"/>
      <c r="U170" s="104"/>
      <c r="V170" s="23"/>
      <c r="W170" s="253"/>
      <c r="X170" s="253"/>
      <c r="Y170" s="253"/>
      <c r="Z170" s="253"/>
      <c r="AA170" s="253"/>
      <c r="AB170" s="253"/>
      <c r="AC170" s="253"/>
      <c r="AD170" s="253"/>
      <c r="AE170" s="253"/>
      <c r="AF170" s="253"/>
      <c r="AG170" s="253"/>
      <c r="AH170" s="253"/>
      <c r="AI170" s="253"/>
      <c r="AJ170" s="253"/>
      <c r="AK170" s="253"/>
      <c r="AL170" s="253"/>
      <c r="AM170" s="253"/>
      <c r="AN170" s="253"/>
      <c r="AO170" s="253"/>
      <c r="AP170" s="253"/>
      <c r="AQ170" s="253"/>
      <c r="AR170" s="253"/>
      <c r="AS170" s="253"/>
    </row>
    <row r="171" spans="1:45">
      <c r="A171" s="98" t="s">
        <v>263</v>
      </c>
      <c r="B171" s="98"/>
      <c r="C171" s="98"/>
      <c r="D171" s="98"/>
      <c r="E171" s="226"/>
      <c r="F171" s="318"/>
      <c r="G171" s="226"/>
      <c r="H171" s="318"/>
      <c r="I171" s="226"/>
      <c r="J171" s="226"/>
      <c r="K171" s="318"/>
      <c r="L171" s="226"/>
      <c r="M171" s="226"/>
      <c r="N171" s="318"/>
      <c r="O171" s="226"/>
      <c r="P171" s="226"/>
      <c r="Q171" s="318"/>
      <c r="R171" s="226"/>
      <c r="S171" s="226"/>
      <c r="T171" s="226"/>
      <c r="U171" s="226"/>
      <c r="V171" s="185"/>
    </row>
    <row r="172" spans="1:45">
      <c r="A172" s="69" t="s">
        <v>382</v>
      </c>
      <c r="B172" s="69" t="s">
        <v>383</v>
      </c>
      <c r="C172" s="40"/>
      <c r="D172" s="40"/>
      <c r="E172" s="48"/>
      <c r="F172" s="306" t="s">
        <v>1762</v>
      </c>
      <c r="G172" s="48"/>
      <c r="H172" s="306" t="s">
        <v>1764</v>
      </c>
      <c r="I172" s="48"/>
      <c r="J172" s="48"/>
      <c r="K172" s="306" t="s">
        <v>1766</v>
      </c>
      <c r="L172" s="48"/>
      <c r="M172" s="48"/>
      <c r="N172" s="306" t="s">
        <v>1768</v>
      </c>
      <c r="O172" s="48"/>
      <c r="P172" s="48"/>
      <c r="Q172" s="306" t="s">
        <v>1770</v>
      </c>
      <c r="R172" s="48"/>
      <c r="S172" s="48"/>
      <c r="T172" s="48"/>
      <c r="U172" s="48"/>
      <c r="V172" s="23">
        <v>2</v>
      </c>
      <c r="W172" s="171"/>
      <c r="X172" s="171"/>
      <c r="Y172" s="171"/>
      <c r="Z172" s="171"/>
      <c r="AA172" s="171"/>
      <c r="AB172" s="171"/>
      <c r="AC172" s="171"/>
      <c r="AD172" s="171"/>
      <c r="AE172" s="171"/>
      <c r="AF172" s="171"/>
      <c r="AG172" s="171"/>
      <c r="AH172" s="171"/>
      <c r="AI172" s="171"/>
      <c r="AJ172" s="171"/>
      <c r="AK172" s="171"/>
      <c r="AL172" s="171"/>
      <c r="AM172" s="171"/>
      <c r="AN172" s="171"/>
      <c r="AO172" s="171"/>
      <c r="AP172" s="171"/>
      <c r="AQ172" s="171"/>
      <c r="AR172" s="171"/>
      <c r="AS172" s="171"/>
    </row>
    <row r="173" spans="1:45">
      <c r="A173" s="69" t="s">
        <v>113</v>
      </c>
      <c r="B173" s="69" t="s">
        <v>264</v>
      </c>
      <c r="C173" s="40"/>
      <c r="D173" s="40"/>
      <c r="E173" s="48"/>
      <c r="F173" s="306" t="s">
        <v>1763</v>
      </c>
      <c r="G173" s="48"/>
      <c r="H173" s="306" t="s">
        <v>1765</v>
      </c>
      <c r="I173" s="48"/>
      <c r="J173" s="48"/>
      <c r="K173" s="306" t="s">
        <v>1767</v>
      </c>
      <c r="L173" s="48"/>
      <c r="M173" s="48"/>
      <c r="N173" s="306" t="s">
        <v>1769</v>
      </c>
      <c r="O173" s="48"/>
      <c r="P173" s="48"/>
      <c r="Q173" s="306" t="s">
        <v>1771</v>
      </c>
      <c r="R173" s="48"/>
      <c r="S173" s="48"/>
      <c r="T173" s="48"/>
      <c r="U173" s="48"/>
      <c r="V173" s="23">
        <v>6</v>
      </c>
      <c r="W173" s="171"/>
      <c r="X173" s="171"/>
      <c r="Y173" s="171"/>
      <c r="Z173" s="171"/>
      <c r="AA173" s="171"/>
      <c r="AB173" s="171"/>
      <c r="AC173" s="171"/>
      <c r="AD173" s="171"/>
      <c r="AE173" s="171"/>
      <c r="AF173" s="171"/>
      <c r="AG173" s="171"/>
      <c r="AH173" s="171"/>
      <c r="AI173" s="171"/>
      <c r="AJ173" s="171"/>
      <c r="AK173" s="171"/>
      <c r="AL173" s="171"/>
      <c r="AM173" s="171"/>
      <c r="AN173" s="171"/>
      <c r="AO173" s="171"/>
      <c r="AP173" s="171"/>
      <c r="AQ173" s="171"/>
      <c r="AR173" s="171"/>
      <c r="AS173" s="171"/>
    </row>
    <row r="174" spans="1:45">
      <c r="A174" s="71"/>
      <c r="B174" s="52"/>
      <c r="C174" s="150"/>
      <c r="D174" s="150"/>
      <c r="E174" s="104"/>
      <c r="F174" s="104"/>
      <c r="G174" s="104"/>
      <c r="H174" s="104"/>
      <c r="I174" s="104"/>
      <c r="J174" s="104"/>
      <c r="K174" s="104"/>
      <c r="L174" s="104"/>
      <c r="M174" s="104"/>
      <c r="N174" s="104"/>
      <c r="O174" s="104"/>
      <c r="P174" s="104"/>
      <c r="Q174" s="104"/>
      <c r="R174" s="104"/>
      <c r="S174" s="104"/>
      <c r="T174" s="104"/>
      <c r="U174" s="104"/>
      <c r="V174" s="28"/>
    </row>
    <row r="175" spans="1:45">
      <c r="A175" s="98" t="s">
        <v>384</v>
      </c>
      <c r="B175" s="98"/>
      <c r="C175" s="98"/>
      <c r="D175" s="98"/>
      <c r="E175" s="226"/>
      <c r="F175" s="318"/>
      <c r="G175" s="226"/>
      <c r="H175" s="318"/>
      <c r="I175" s="226"/>
      <c r="J175" s="226"/>
      <c r="K175" s="318"/>
      <c r="L175" s="226"/>
      <c r="M175" s="226"/>
      <c r="N175" s="318"/>
      <c r="O175" s="226"/>
      <c r="P175" s="226"/>
      <c r="Q175" s="318"/>
      <c r="R175" s="226"/>
      <c r="S175" s="226"/>
      <c r="T175" s="226"/>
      <c r="U175" s="226"/>
      <c r="V175" s="185"/>
    </row>
    <row r="176" spans="1:45">
      <c r="A176" s="69" t="s">
        <v>385</v>
      </c>
      <c r="B176" s="69" t="s">
        <v>386</v>
      </c>
      <c r="C176" s="40"/>
      <c r="D176" s="40"/>
      <c r="E176" s="48"/>
      <c r="F176" s="306" t="s">
        <v>1772</v>
      </c>
      <c r="G176" s="48"/>
      <c r="H176" s="306" t="s">
        <v>1775</v>
      </c>
      <c r="I176" s="48"/>
      <c r="J176" s="48"/>
      <c r="K176" s="306" t="s">
        <v>1780</v>
      </c>
      <c r="L176" s="48"/>
      <c r="M176" s="48"/>
      <c r="N176" s="306" t="s">
        <v>1783</v>
      </c>
      <c r="O176" s="48"/>
      <c r="P176" s="48"/>
      <c r="Q176" s="306" t="s">
        <v>1786</v>
      </c>
      <c r="R176" s="48"/>
      <c r="S176" s="48"/>
      <c r="T176" s="48"/>
      <c r="U176" s="48"/>
      <c r="V176" s="23">
        <v>6</v>
      </c>
      <c r="W176" s="171"/>
      <c r="X176" s="171"/>
      <c r="Y176" s="171"/>
      <c r="Z176" s="171"/>
      <c r="AA176" s="171"/>
      <c r="AB176" s="171"/>
      <c r="AC176" s="171"/>
      <c r="AD176" s="171"/>
      <c r="AE176" s="171"/>
      <c r="AF176" s="171"/>
      <c r="AG176" s="171"/>
      <c r="AH176" s="171"/>
      <c r="AI176" s="171"/>
      <c r="AJ176" s="171"/>
      <c r="AK176" s="171"/>
      <c r="AL176" s="171"/>
      <c r="AM176" s="171"/>
      <c r="AN176" s="171"/>
      <c r="AO176" s="171"/>
      <c r="AP176" s="171"/>
      <c r="AQ176" s="171"/>
      <c r="AR176" s="171"/>
      <c r="AS176" s="171"/>
    </row>
    <row r="177" spans="1:45">
      <c r="A177" s="69" t="s">
        <v>387</v>
      </c>
      <c r="B177" s="69" t="s">
        <v>388</v>
      </c>
      <c r="C177" s="40"/>
      <c r="D177" s="40"/>
      <c r="E177" s="48"/>
      <c r="F177" s="48" t="s">
        <v>2017</v>
      </c>
      <c r="G177" s="48"/>
      <c r="H177" s="306" t="s">
        <v>1776</v>
      </c>
      <c r="I177" s="48"/>
      <c r="J177" s="48"/>
      <c r="K177" s="48"/>
      <c r="L177" s="48"/>
      <c r="M177" s="48"/>
      <c r="N177" s="306" t="s">
        <v>1784</v>
      </c>
      <c r="O177" s="48"/>
      <c r="P177" s="48"/>
      <c r="Q177" s="48"/>
      <c r="R177" s="48"/>
      <c r="S177" s="30"/>
      <c r="T177" s="30"/>
      <c r="U177" s="30"/>
      <c r="V177" s="23">
        <v>7</v>
      </c>
      <c r="W177" s="171"/>
      <c r="X177" s="171"/>
      <c r="Y177" s="171"/>
      <c r="Z177" s="171"/>
      <c r="AA177" s="171"/>
      <c r="AB177" s="171"/>
      <c r="AC177" s="171"/>
      <c r="AD177" s="171"/>
      <c r="AE177" s="171"/>
      <c r="AF177" s="171"/>
      <c r="AG177" s="171"/>
      <c r="AH177" s="171"/>
      <c r="AI177" s="171"/>
      <c r="AJ177" s="171"/>
      <c r="AK177" s="171"/>
      <c r="AL177" s="171"/>
      <c r="AM177" s="171"/>
      <c r="AN177" s="171"/>
      <c r="AO177" s="171"/>
      <c r="AP177" s="171"/>
      <c r="AQ177" s="171"/>
      <c r="AR177" s="171"/>
      <c r="AS177" s="171"/>
    </row>
    <row r="178" spans="1:45">
      <c r="A178" s="69" t="s">
        <v>389</v>
      </c>
      <c r="B178" s="69" t="s">
        <v>390</v>
      </c>
      <c r="C178" s="40"/>
      <c r="D178" s="40"/>
      <c r="E178" s="120"/>
      <c r="F178" s="317"/>
      <c r="G178" s="48"/>
      <c r="H178" s="48"/>
      <c r="I178" s="48"/>
      <c r="J178" s="48"/>
      <c r="K178" s="48"/>
      <c r="L178" s="48"/>
      <c r="M178" s="48"/>
      <c r="N178" s="48"/>
      <c r="O178" s="48"/>
      <c r="P178" s="48"/>
      <c r="Q178" s="48"/>
      <c r="R178" s="48"/>
      <c r="S178" s="48"/>
      <c r="T178" s="48"/>
      <c r="U178" s="48"/>
      <c r="V178" s="23">
        <v>87</v>
      </c>
      <c r="W178" s="171"/>
      <c r="X178" s="171"/>
      <c r="Y178" s="171"/>
      <c r="Z178" s="171"/>
      <c r="AA178" s="171"/>
      <c r="AB178" s="171"/>
      <c r="AC178" s="171"/>
      <c r="AD178" s="171"/>
      <c r="AE178" s="171"/>
      <c r="AF178" s="171"/>
      <c r="AG178" s="171"/>
      <c r="AH178" s="171"/>
      <c r="AI178" s="171"/>
      <c r="AJ178" s="171"/>
      <c r="AK178" s="171"/>
      <c r="AL178" s="171"/>
      <c r="AM178" s="171"/>
      <c r="AN178" s="171"/>
      <c r="AO178" s="171"/>
      <c r="AP178" s="171"/>
      <c r="AQ178" s="171"/>
      <c r="AR178" s="171"/>
      <c r="AS178" s="171"/>
    </row>
    <row r="179" spans="1:45">
      <c r="A179" s="306" t="s">
        <v>1903</v>
      </c>
      <c r="B179" s="306" t="s">
        <v>1773</v>
      </c>
      <c r="C179" s="40"/>
      <c r="D179" s="40"/>
      <c r="E179" s="120"/>
      <c r="F179" s="306" t="s">
        <v>1774</v>
      </c>
      <c r="G179" s="48"/>
      <c r="H179" s="48"/>
      <c r="I179" s="48"/>
      <c r="J179" s="48"/>
      <c r="K179" s="317"/>
      <c r="L179" s="48"/>
      <c r="M179" s="48"/>
      <c r="N179" s="48"/>
      <c r="O179" s="48"/>
      <c r="P179" s="48"/>
      <c r="Q179" s="317"/>
      <c r="R179" s="48"/>
      <c r="S179" s="30"/>
      <c r="T179" s="30"/>
      <c r="U179" s="30"/>
      <c r="V179" s="23">
        <v>5</v>
      </c>
      <c r="W179" s="171"/>
      <c r="X179" s="171"/>
      <c r="Y179" s="171"/>
      <c r="Z179" s="171"/>
      <c r="AA179" s="171"/>
      <c r="AB179" s="171"/>
      <c r="AC179" s="171"/>
      <c r="AD179" s="171"/>
      <c r="AE179" s="171"/>
      <c r="AF179" s="171"/>
      <c r="AG179" s="171"/>
      <c r="AH179" s="171"/>
      <c r="AI179" s="171"/>
      <c r="AJ179" s="171"/>
      <c r="AK179" s="171"/>
      <c r="AL179" s="171"/>
      <c r="AM179" s="171"/>
      <c r="AN179" s="171"/>
      <c r="AO179" s="171"/>
      <c r="AP179" s="171"/>
      <c r="AQ179" s="171"/>
      <c r="AR179" s="171"/>
      <c r="AS179" s="171"/>
    </row>
    <row r="180" spans="1:45">
      <c r="A180" s="306" t="s">
        <v>1904</v>
      </c>
      <c r="B180" s="306" t="s">
        <v>738</v>
      </c>
      <c r="C180" s="40"/>
      <c r="D180" s="40"/>
      <c r="E180" s="120"/>
      <c r="F180" s="120"/>
      <c r="G180" s="48"/>
      <c r="H180" s="59"/>
      <c r="I180" s="48"/>
      <c r="J180" s="48"/>
      <c r="K180" s="306" t="s">
        <v>1782</v>
      </c>
      <c r="L180" s="48"/>
      <c r="M180" s="48"/>
      <c r="N180" s="317"/>
      <c r="O180" s="48"/>
      <c r="P180" s="48"/>
      <c r="Q180" s="306" t="s">
        <v>1787</v>
      </c>
      <c r="R180" s="48"/>
      <c r="S180" s="30"/>
      <c r="T180" s="30"/>
      <c r="U180" s="30"/>
      <c r="V180" s="23">
        <v>5</v>
      </c>
      <c r="W180" s="171"/>
      <c r="X180" s="171"/>
      <c r="Y180" s="171"/>
      <c r="Z180" s="171"/>
      <c r="AA180" s="171"/>
      <c r="AB180" s="171"/>
      <c r="AC180" s="171"/>
      <c r="AD180" s="171"/>
      <c r="AE180" s="171"/>
      <c r="AF180" s="171"/>
      <c r="AG180" s="171"/>
      <c r="AH180" s="171"/>
      <c r="AI180" s="171"/>
      <c r="AJ180" s="171"/>
      <c r="AK180" s="171"/>
      <c r="AL180" s="171"/>
      <c r="AM180" s="171"/>
      <c r="AN180" s="171"/>
      <c r="AO180" s="171"/>
      <c r="AP180" s="171"/>
      <c r="AQ180" s="171"/>
      <c r="AR180" s="171"/>
      <c r="AS180" s="171"/>
    </row>
    <row r="181" spans="1:45">
      <c r="A181" s="69" t="s">
        <v>389</v>
      </c>
      <c r="B181" s="306" t="s">
        <v>1777</v>
      </c>
      <c r="C181" s="40"/>
      <c r="D181" s="40"/>
      <c r="E181" s="120"/>
      <c r="F181" s="306" t="s">
        <v>1779</v>
      </c>
      <c r="G181" s="48"/>
      <c r="H181" s="306" t="s">
        <v>1778</v>
      </c>
      <c r="I181" s="48"/>
      <c r="J181" s="48"/>
      <c r="K181" s="306" t="s">
        <v>1781</v>
      </c>
      <c r="L181" s="48"/>
      <c r="M181" s="48"/>
      <c r="N181" s="306" t="s">
        <v>1785</v>
      </c>
      <c r="O181" s="48"/>
      <c r="P181" s="48"/>
      <c r="Q181" s="306" t="s">
        <v>1788</v>
      </c>
      <c r="R181" s="48"/>
      <c r="S181" s="30"/>
      <c r="T181" s="30"/>
      <c r="U181" s="30"/>
      <c r="V181" s="23">
        <v>87</v>
      </c>
      <c r="W181" s="171"/>
      <c r="X181" s="171"/>
      <c r="Y181" s="171"/>
      <c r="Z181" s="171"/>
      <c r="AA181" s="171"/>
      <c r="AB181" s="171"/>
      <c r="AC181" s="171"/>
      <c r="AD181" s="171"/>
      <c r="AE181" s="171"/>
      <c r="AF181" s="171"/>
      <c r="AG181" s="171"/>
      <c r="AH181" s="171"/>
      <c r="AI181" s="171"/>
      <c r="AJ181" s="171"/>
      <c r="AK181" s="171"/>
      <c r="AL181" s="171"/>
      <c r="AM181" s="171"/>
      <c r="AN181" s="171"/>
      <c r="AO181" s="171"/>
      <c r="AP181" s="171"/>
      <c r="AQ181" s="171"/>
      <c r="AR181" s="171"/>
      <c r="AS181" s="171"/>
    </row>
    <row r="182" spans="1:45">
      <c r="A182" s="340" t="s">
        <v>391</v>
      </c>
      <c r="B182" s="340"/>
      <c r="C182" s="340"/>
      <c r="D182" s="340"/>
      <c r="E182" s="341"/>
      <c r="F182" s="341"/>
      <c r="G182" s="341"/>
      <c r="H182" s="341"/>
      <c r="I182" s="341"/>
      <c r="J182" s="341"/>
      <c r="K182" s="341"/>
      <c r="L182" s="341"/>
      <c r="M182" s="341"/>
      <c r="N182" s="341"/>
      <c r="O182" s="341"/>
      <c r="P182" s="341"/>
      <c r="Q182" s="341"/>
      <c r="R182" s="341"/>
      <c r="S182" s="341"/>
      <c r="T182" s="341"/>
      <c r="U182" s="341"/>
      <c r="V182" s="186"/>
      <c r="W182" s="171"/>
      <c r="X182" s="171"/>
      <c r="Y182" s="171"/>
      <c r="Z182" s="171"/>
      <c r="AA182" s="171"/>
      <c r="AB182" s="171"/>
      <c r="AC182" s="171"/>
      <c r="AD182" s="171"/>
      <c r="AE182" s="171"/>
      <c r="AF182" s="171"/>
      <c r="AG182" s="171"/>
      <c r="AH182" s="171"/>
      <c r="AI182" s="171"/>
      <c r="AJ182" s="171"/>
      <c r="AK182" s="171"/>
      <c r="AL182" s="171"/>
      <c r="AM182" s="171"/>
      <c r="AN182" s="171"/>
      <c r="AO182" s="171"/>
      <c r="AP182" s="171"/>
      <c r="AQ182" s="171"/>
      <c r="AR182" s="171"/>
      <c r="AS182" s="171"/>
    </row>
    <row r="183" spans="1:45" s="253" customFormat="1">
      <c r="A183" s="235"/>
      <c r="B183" s="140"/>
      <c r="C183" s="134"/>
      <c r="D183" s="134"/>
      <c r="E183" s="45"/>
      <c r="F183" s="45"/>
      <c r="G183" s="45"/>
      <c r="H183" s="45"/>
      <c r="I183" s="45"/>
      <c r="J183" s="45"/>
      <c r="K183" s="45"/>
      <c r="L183" s="45"/>
      <c r="M183" s="45"/>
      <c r="N183" s="296"/>
      <c r="O183" s="296"/>
      <c r="P183" s="65"/>
      <c r="Q183" s="65"/>
      <c r="R183" s="65"/>
      <c r="S183" s="45"/>
      <c r="T183" s="45"/>
      <c r="U183" s="45"/>
      <c r="V183" s="28"/>
    </row>
    <row r="184" spans="1:45">
      <c r="A184" s="98" t="s">
        <v>285</v>
      </c>
      <c r="B184" s="98"/>
      <c r="C184" s="98"/>
      <c r="D184" s="98"/>
      <c r="E184" s="226"/>
      <c r="F184" s="226"/>
      <c r="G184" s="226"/>
      <c r="H184" s="226"/>
      <c r="I184" s="226"/>
      <c r="J184" s="226"/>
      <c r="K184" s="226"/>
      <c r="L184" s="226"/>
      <c r="M184" s="226"/>
      <c r="N184" s="226"/>
      <c r="O184" s="226"/>
      <c r="P184" s="226"/>
      <c r="Q184" s="226"/>
      <c r="R184" s="226"/>
      <c r="S184" s="226"/>
      <c r="T184" s="226"/>
      <c r="U184" s="226"/>
      <c r="V184" s="185"/>
    </row>
    <row r="185" spans="1:45">
      <c r="A185" s="69" t="s">
        <v>286</v>
      </c>
      <c r="B185" s="69" t="s">
        <v>393</v>
      </c>
      <c r="C185" s="40"/>
      <c r="D185" s="40"/>
      <c r="E185" s="48" t="s">
        <v>394</v>
      </c>
      <c r="F185" s="48" t="s">
        <v>394</v>
      </c>
      <c r="G185" s="48" t="s">
        <v>394</v>
      </c>
      <c r="H185" s="48" t="s">
        <v>394</v>
      </c>
      <c r="I185" s="48"/>
      <c r="J185" s="48" t="s">
        <v>394</v>
      </c>
      <c r="K185" s="48" t="s">
        <v>394</v>
      </c>
      <c r="L185" s="48"/>
      <c r="M185" s="48" t="s">
        <v>394</v>
      </c>
      <c r="N185" s="48" t="s">
        <v>394</v>
      </c>
      <c r="O185" s="48"/>
      <c r="P185" s="48" t="s">
        <v>394</v>
      </c>
      <c r="Q185" s="48" t="s">
        <v>394</v>
      </c>
      <c r="R185" s="48"/>
      <c r="S185" s="30"/>
      <c r="T185" s="30"/>
      <c r="U185" s="30"/>
      <c r="V185" s="60">
        <v>20</v>
      </c>
    </row>
    <row r="186" spans="1:45" ht="27.6">
      <c r="A186" s="69" t="s">
        <v>289</v>
      </c>
      <c r="B186" s="69" t="s">
        <v>395</v>
      </c>
      <c r="C186" s="40"/>
      <c r="D186" s="40"/>
      <c r="E186" s="48" t="s">
        <v>396</v>
      </c>
      <c r="F186" s="48" t="s">
        <v>396</v>
      </c>
      <c r="G186" s="48" t="s">
        <v>396</v>
      </c>
      <c r="H186" s="48" t="s">
        <v>396</v>
      </c>
      <c r="I186" s="48"/>
      <c r="J186" s="48" t="s">
        <v>396</v>
      </c>
      <c r="K186" s="48" t="s">
        <v>396</v>
      </c>
      <c r="L186" s="48"/>
      <c r="M186" s="48" t="s">
        <v>396</v>
      </c>
      <c r="N186" s="48" t="s">
        <v>396</v>
      </c>
      <c r="O186" s="48"/>
      <c r="P186" s="48" t="s">
        <v>396</v>
      </c>
      <c r="Q186" s="48" t="s">
        <v>396</v>
      </c>
      <c r="R186" s="48"/>
      <c r="S186" s="30"/>
      <c r="T186" s="30"/>
      <c r="U186" s="30"/>
      <c r="V186" s="60">
        <v>30</v>
      </c>
    </row>
    <row r="187" spans="1:45" ht="27.6">
      <c r="A187" s="69" t="s">
        <v>397</v>
      </c>
      <c r="B187" s="69" t="s">
        <v>398</v>
      </c>
      <c r="C187" s="40"/>
      <c r="D187" s="40"/>
      <c r="E187" s="48" t="s">
        <v>399</v>
      </c>
      <c r="F187" s="48" t="s">
        <v>399</v>
      </c>
      <c r="G187" s="48" t="s">
        <v>399</v>
      </c>
      <c r="H187" s="48" t="s">
        <v>399</v>
      </c>
      <c r="I187" s="48"/>
      <c r="J187" s="48" t="s">
        <v>399</v>
      </c>
      <c r="K187" s="48" t="s">
        <v>399</v>
      </c>
      <c r="L187" s="48"/>
      <c r="M187" s="48" t="s">
        <v>399</v>
      </c>
      <c r="N187" s="48" t="s">
        <v>399</v>
      </c>
      <c r="O187" s="48"/>
      <c r="P187" s="48" t="s">
        <v>399</v>
      </c>
      <c r="Q187" s="48" t="s">
        <v>399</v>
      </c>
      <c r="R187" s="48"/>
      <c r="S187" s="30"/>
      <c r="T187" s="30"/>
      <c r="U187" s="30"/>
      <c r="V187" s="60">
        <v>50</v>
      </c>
    </row>
    <row r="188" spans="1:45">
      <c r="A188" s="69" t="s">
        <v>400</v>
      </c>
      <c r="B188" s="69" t="s">
        <v>401</v>
      </c>
      <c r="C188" s="40"/>
      <c r="D188" s="40"/>
      <c r="E188" s="95" t="s">
        <v>402</v>
      </c>
      <c r="F188" s="95" t="s">
        <v>402</v>
      </c>
      <c r="G188" s="95" t="s">
        <v>402</v>
      </c>
      <c r="H188" s="95" t="s">
        <v>402</v>
      </c>
      <c r="I188" s="95"/>
      <c r="J188" s="95" t="s">
        <v>402</v>
      </c>
      <c r="K188" s="95" t="s">
        <v>402</v>
      </c>
      <c r="L188" s="95"/>
      <c r="M188" s="95" t="s">
        <v>402</v>
      </c>
      <c r="N188" s="95" t="s">
        <v>402</v>
      </c>
      <c r="O188" s="95"/>
      <c r="P188" s="95" t="s">
        <v>402</v>
      </c>
      <c r="Q188" s="95" t="s">
        <v>402</v>
      </c>
      <c r="R188" s="95"/>
      <c r="S188" s="139"/>
      <c r="T188" s="139"/>
      <c r="U188" s="139"/>
      <c r="V188" s="60">
        <v>10</v>
      </c>
    </row>
    <row r="189" spans="1:45">
      <c r="A189" s="69" t="s">
        <v>403</v>
      </c>
      <c r="B189" s="69" t="s">
        <v>404</v>
      </c>
      <c r="C189" s="40"/>
      <c r="D189" s="40"/>
      <c r="E189" s="95" t="s">
        <v>405</v>
      </c>
      <c r="F189" s="95" t="s">
        <v>405</v>
      </c>
      <c r="G189" s="95" t="s">
        <v>405</v>
      </c>
      <c r="H189" s="95" t="s">
        <v>405</v>
      </c>
      <c r="I189" s="95"/>
      <c r="J189" s="95" t="s">
        <v>405</v>
      </c>
      <c r="K189" s="95" t="s">
        <v>405</v>
      </c>
      <c r="L189" s="95"/>
      <c r="M189" s="95" t="s">
        <v>405</v>
      </c>
      <c r="N189" s="95" t="s">
        <v>405</v>
      </c>
      <c r="O189" s="95"/>
      <c r="P189" s="95" t="s">
        <v>405</v>
      </c>
      <c r="Q189" s="95" t="s">
        <v>405</v>
      </c>
      <c r="R189" s="95"/>
      <c r="S189" s="139"/>
      <c r="T189" s="139"/>
      <c r="U189" s="139"/>
      <c r="V189" s="60">
        <v>10</v>
      </c>
    </row>
    <row r="190" spans="1:45">
      <c r="A190" s="132" t="s">
        <v>292</v>
      </c>
      <c r="B190" s="132" t="s">
        <v>293</v>
      </c>
      <c r="C190" s="107"/>
      <c r="D190" s="107"/>
      <c r="E190" s="230" t="s">
        <v>294</v>
      </c>
      <c r="F190" s="230" t="s">
        <v>294</v>
      </c>
      <c r="G190" s="230" t="s">
        <v>294</v>
      </c>
      <c r="H190" s="230" t="s">
        <v>294</v>
      </c>
      <c r="I190" s="230"/>
      <c r="J190" s="230" t="s">
        <v>294</v>
      </c>
      <c r="K190" s="230" t="s">
        <v>294</v>
      </c>
      <c r="L190" s="230"/>
      <c r="M190" s="230" t="s">
        <v>294</v>
      </c>
      <c r="N190" s="230" t="s">
        <v>294</v>
      </c>
      <c r="O190" s="230"/>
      <c r="P190" s="230" t="s">
        <v>294</v>
      </c>
      <c r="Q190" s="230" t="s">
        <v>294</v>
      </c>
      <c r="R190" s="230"/>
      <c r="S190" s="72"/>
      <c r="T190" s="72"/>
      <c r="U190" s="72"/>
      <c r="V190" s="35">
        <v>158</v>
      </c>
    </row>
    <row r="191" spans="1:45">
      <c r="A191" s="132" t="s">
        <v>295</v>
      </c>
      <c r="B191" s="132" t="s">
        <v>296</v>
      </c>
      <c r="C191" s="107"/>
      <c r="D191" s="107"/>
      <c r="E191" s="230" t="s">
        <v>406</v>
      </c>
      <c r="F191" s="230" t="s">
        <v>406</v>
      </c>
      <c r="G191" s="230" t="s">
        <v>406</v>
      </c>
      <c r="H191" s="230" t="s">
        <v>406</v>
      </c>
      <c r="I191" s="230"/>
      <c r="J191" s="230" t="s">
        <v>406</v>
      </c>
      <c r="K191" s="230" t="s">
        <v>406</v>
      </c>
      <c r="L191" s="230"/>
      <c r="M191" s="230" t="s">
        <v>406</v>
      </c>
      <c r="N191" s="230" t="s">
        <v>406</v>
      </c>
      <c r="O191" s="230"/>
      <c r="P191" s="230" t="s">
        <v>406</v>
      </c>
      <c r="Q191" s="230" t="s">
        <v>406</v>
      </c>
      <c r="R191" s="230"/>
      <c r="S191" s="72"/>
      <c r="T191" s="72"/>
      <c r="U191" s="72"/>
      <c r="V191" s="35">
        <v>22</v>
      </c>
    </row>
    <row r="192" spans="1:45" s="237" customFormat="1" ht="27.6">
      <c r="A192" s="132" t="s">
        <v>299</v>
      </c>
      <c r="B192" s="99" t="s">
        <v>300</v>
      </c>
      <c r="C192" s="107"/>
      <c r="D192" s="107"/>
      <c r="E192" s="230" t="s">
        <v>407</v>
      </c>
      <c r="F192" s="230" t="s">
        <v>407</v>
      </c>
      <c r="G192" s="230" t="s">
        <v>407</v>
      </c>
      <c r="H192" s="230" t="s">
        <v>407</v>
      </c>
      <c r="I192" s="230"/>
      <c r="J192" s="230" t="s">
        <v>407</v>
      </c>
      <c r="K192" s="230" t="s">
        <v>407</v>
      </c>
      <c r="L192" s="230"/>
      <c r="M192" s="230" t="s">
        <v>407</v>
      </c>
      <c r="N192" s="230" t="s">
        <v>407</v>
      </c>
      <c r="O192" s="230"/>
      <c r="P192" s="230" t="s">
        <v>407</v>
      </c>
      <c r="Q192" s="230" t="s">
        <v>407</v>
      </c>
      <c r="R192" s="230"/>
      <c r="S192" s="72"/>
      <c r="T192" s="72"/>
      <c r="U192" s="72"/>
      <c r="V192" s="35">
        <v>52</v>
      </c>
      <c r="W192" s="169"/>
      <c r="X192" s="169"/>
      <c r="Y192" s="169"/>
      <c r="Z192" s="169"/>
      <c r="AA192" s="169"/>
      <c r="AB192" s="169"/>
      <c r="AC192" s="169"/>
      <c r="AD192" s="169"/>
      <c r="AE192" s="169"/>
      <c r="AF192" s="169"/>
      <c r="AG192" s="169"/>
      <c r="AH192" s="169"/>
      <c r="AI192" s="169"/>
      <c r="AJ192" s="169"/>
      <c r="AK192" s="169"/>
      <c r="AL192" s="169"/>
      <c r="AM192" s="169"/>
      <c r="AN192" s="169"/>
      <c r="AO192" s="169"/>
      <c r="AP192" s="169"/>
      <c r="AQ192" s="169"/>
      <c r="AR192" s="169"/>
      <c r="AS192" s="169"/>
    </row>
    <row r="193" spans="1:45" s="237" customFormat="1">
      <c r="A193" s="235"/>
      <c r="B193" s="140"/>
      <c r="C193" s="134"/>
      <c r="D193" s="134"/>
      <c r="E193" s="45"/>
      <c r="F193" s="45"/>
      <c r="G193" s="45"/>
      <c r="H193" s="45"/>
      <c r="I193" s="45"/>
      <c r="J193" s="45"/>
      <c r="K193" s="45"/>
      <c r="L193" s="45"/>
      <c r="M193" s="45"/>
      <c r="N193" s="45"/>
      <c r="O193" s="45"/>
      <c r="P193" s="45"/>
      <c r="Q193" s="45"/>
      <c r="R193" s="45"/>
      <c r="S193" s="45"/>
      <c r="T193" s="45"/>
      <c r="U193" s="45"/>
      <c r="V193" s="181"/>
      <c r="W193" s="169"/>
      <c r="X193" s="169"/>
      <c r="Y193" s="169"/>
      <c r="Z193" s="169"/>
      <c r="AA193" s="169"/>
      <c r="AB193" s="169"/>
      <c r="AC193" s="169"/>
      <c r="AD193" s="169"/>
      <c r="AE193" s="169"/>
      <c r="AF193" s="169"/>
      <c r="AG193" s="169"/>
      <c r="AH193" s="169"/>
      <c r="AI193" s="169"/>
      <c r="AJ193" s="169"/>
      <c r="AK193" s="169"/>
      <c r="AL193" s="169"/>
      <c r="AM193" s="169"/>
      <c r="AN193" s="169"/>
      <c r="AO193" s="169"/>
      <c r="AP193" s="169"/>
      <c r="AQ193" s="169"/>
      <c r="AR193" s="169"/>
      <c r="AS193" s="169"/>
    </row>
    <row r="194" spans="1:45" s="237" customFormat="1">
      <c r="A194" s="39" t="s">
        <v>408</v>
      </c>
      <c r="B194" s="39"/>
      <c r="C194" s="39"/>
      <c r="D194" s="39"/>
      <c r="E194" s="39"/>
      <c r="F194" s="39"/>
      <c r="G194" s="39"/>
      <c r="H194" s="39"/>
      <c r="I194" s="39"/>
      <c r="J194" s="39"/>
      <c r="K194" s="39"/>
      <c r="L194" s="39"/>
      <c r="M194" s="39"/>
      <c r="N194" s="39"/>
      <c r="O194" s="39"/>
      <c r="P194" s="39"/>
      <c r="Q194" s="39"/>
      <c r="R194" s="39"/>
      <c r="S194" s="39"/>
      <c r="T194" s="39"/>
      <c r="U194" s="39"/>
      <c r="V194" s="187"/>
      <c r="W194" s="169"/>
      <c r="X194" s="169"/>
      <c r="Y194" s="169"/>
      <c r="Z194" s="169"/>
      <c r="AA194" s="169"/>
      <c r="AB194" s="169"/>
      <c r="AC194" s="169"/>
      <c r="AD194" s="169"/>
      <c r="AE194" s="169"/>
      <c r="AF194" s="169"/>
      <c r="AG194" s="169"/>
      <c r="AH194" s="169"/>
      <c r="AI194" s="169"/>
      <c r="AJ194" s="169"/>
      <c r="AK194" s="169"/>
      <c r="AL194" s="169"/>
      <c r="AM194" s="169"/>
      <c r="AN194" s="169"/>
      <c r="AO194" s="169"/>
      <c r="AP194" s="169"/>
      <c r="AQ194" s="169"/>
      <c r="AR194" s="169"/>
      <c r="AS194" s="169"/>
    </row>
    <row r="195" spans="1:45" s="10" customFormat="1" ht="82.8">
      <c r="A195" s="159" t="s">
        <v>141</v>
      </c>
      <c r="B195" s="159" t="s">
        <v>142</v>
      </c>
      <c r="C195" s="159" t="s">
        <v>143</v>
      </c>
      <c r="D195" s="159" t="s">
        <v>144</v>
      </c>
      <c r="E195" s="159"/>
      <c r="F195" s="159"/>
      <c r="G195" s="159"/>
      <c r="H195" s="159"/>
      <c r="I195" s="159"/>
      <c r="J195" s="159"/>
      <c r="K195" s="159"/>
      <c r="L195" s="159"/>
      <c r="M195" s="159"/>
      <c r="N195" s="159"/>
      <c r="O195" s="159"/>
      <c r="P195" s="159"/>
      <c r="Q195" s="159"/>
      <c r="R195" s="159"/>
      <c r="S195" s="159"/>
      <c r="T195" s="159"/>
      <c r="U195" s="159"/>
      <c r="V195" s="145" t="s">
        <v>145</v>
      </c>
      <c r="W195" s="9"/>
      <c r="X195" s="9"/>
      <c r="Y195" s="9"/>
      <c r="Z195" s="9"/>
      <c r="AA195" s="9"/>
      <c r="AB195" s="9"/>
      <c r="AC195" s="9"/>
      <c r="AD195" s="9"/>
      <c r="AE195" s="9"/>
      <c r="AF195" s="9"/>
      <c r="AG195" s="9"/>
      <c r="AH195" s="9"/>
      <c r="AI195" s="9"/>
      <c r="AJ195" s="9"/>
      <c r="AK195" s="9"/>
      <c r="AL195" s="9"/>
      <c r="AM195" s="9"/>
      <c r="AN195" s="9"/>
      <c r="AO195" s="9"/>
      <c r="AP195" s="9"/>
      <c r="AQ195" s="9"/>
      <c r="AR195" s="9"/>
      <c r="AS195" s="9"/>
    </row>
    <row r="196" spans="1:45">
      <c r="A196" s="144"/>
      <c r="B196" s="52"/>
      <c r="C196" s="150"/>
      <c r="D196" s="150"/>
      <c r="E196" s="104"/>
      <c r="F196" s="104"/>
      <c r="G196" s="104"/>
      <c r="H196" s="104"/>
      <c r="I196" s="104"/>
      <c r="J196" s="104"/>
      <c r="K196" s="104"/>
      <c r="L196" s="104"/>
      <c r="M196" s="104"/>
      <c r="N196" s="104"/>
      <c r="O196" s="104"/>
      <c r="P196" s="104"/>
      <c r="Q196" s="104"/>
      <c r="R196" s="104"/>
      <c r="S196" s="104"/>
      <c r="T196" s="104"/>
      <c r="U196" s="104"/>
      <c r="V196" s="181"/>
    </row>
    <row r="197" spans="1:45" ht="189.6" customHeight="1">
      <c r="A197" s="52" t="s">
        <v>409</v>
      </c>
      <c r="B197" s="52" t="s">
        <v>410</v>
      </c>
      <c r="C197" s="150"/>
      <c r="D197" s="150"/>
      <c r="E197" s="104"/>
      <c r="F197" s="104"/>
      <c r="G197" s="104"/>
      <c r="H197" s="104"/>
      <c r="I197" s="104"/>
      <c r="J197" s="104"/>
      <c r="K197" s="104"/>
      <c r="L197" s="104"/>
      <c r="M197" s="104"/>
      <c r="N197" s="104"/>
      <c r="O197" s="104"/>
      <c r="P197" s="104"/>
      <c r="Q197" s="104"/>
      <c r="R197" s="104"/>
      <c r="S197" s="104"/>
      <c r="T197" s="104"/>
      <c r="U197" s="104"/>
      <c r="V197" s="228">
        <v>562</v>
      </c>
      <c r="W197" s="171"/>
      <c r="X197" s="171"/>
      <c r="Y197" s="171"/>
      <c r="Z197" s="171"/>
      <c r="AA197" s="171"/>
      <c r="AB197" s="171"/>
      <c r="AC197" s="171"/>
      <c r="AD197" s="171"/>
      <c r="AE197" s="171"/>
      <c r="AF197" s="171"/>
      <c r="AG197" s="171"/>
      <c r="AH197" s="171"/>
      <c r="AI197" s="171"/>
      <c r="AJ197" s="171"/>
      <c r="AK197" s="171"/>
      <c r="AL197" s="171"/>
      <c r="AM197" s="171"/>
      <c r="AN197" s="171"/>
      <c r="AO197" s="171"/>
      <c r="AP197" s="171"/>
      <c r="AQ197" s="171"/>
      <c r="AR197" s="171"/>
      <c r="AS197" s="171"/>
    </row>
    <row r="198" spans="1:45" ht="17.100000000000001" customHeight="1">
      <c r="A198" s="71"/>
      <c r="B198" s="52"/>
      <c r="C198" s="150"/>
      <c r="D198" s="150"/>
      <c r="E198" s="104"/>
      <c r="F198" s="104"/>
      <c r="G198" s="104"/>
      <c r="H198" s="104"/>
      <c r="I198" s="104"/>
      <c r="J198" s="104"/>
      <c r="K198" s="104"/>
      <c r="L198" s="104"/>
      <c r="M198" s="104"/>
      <c r="N198" s="104"/>
      <c r="O198" s="104"/>
      <c r="P198" s="104"/>
      <c r="Q198" s="104"/>
      <c r="R198" s="104"/>
      <c r="S198" s="104"/>
      <c r="T198" s="104"/>
      <c r="U198" s="104"/>
      <c r="V198" s="228"/>
      <c r="W198" s="171"/>
      <c r="X198" s="171"/>
      <c r="Y198" s="171"/>
      <c r="Z198" s="171"/>
      <c r="AA198" s="171"/>
      <c r="AB198" s="171"/>
      <c r="AC198" s="171"/>
      <c r="AD198" s="171"/>
      <c r="AE198" s="171"/>
      <c r="AF198" s="171"/>
      <c r="AG198" s="171"/>
      <c r="AH198" s="171"/>
      <c r="AI198" s="171"/>
      <c r="AJ198" s="171"/>
      <c r="AK198" s="171"/>
      <c r="AL198" s="171"/>
      <c r="AM198" s="171"/>
      <c r="AN198" s="171"/>
      <c r="AO198" s="171"/>
      <c r="AP198" s="171"/>
      <c r="AQ198" s="171"/>
      <c r="AR198" s="171"/>
      <c r="AS198" s="171"/>
    </row>
    <row r="199" spans="1:45" ht="168" customHeight="1">
      <c r="A199" s="69" t="s">
        <v>411</v>
      </c>
      <c r="B199" s="52" t="s">
        <v>412</v>
      </c>
      <c r="C199" s="150"/>
      <c r="D199" s="150"/>
      <c r="E199" s="104"/>
      <c r="F199" s="104"/>
      <c r="G199" s="104"/>
      <c r="H199" s="104"/>
      <c r="I199" s="104"/>
      <c r="J199" s="104"/>
      <c r="K199" s="104"/>
      <c r="L199" s="104"/>
      <c r="M199" s="104"/>
      <c r="N199" s="104"/>
      <c r="O199" s="104"/>
      <c r="P199" s="104"/>
      <c r="Q199" s="104"/>
      <c r="R199" s="104"/>
      <c r="S199" s="104"/>
      <c r="T199" s="104"/>
      <c r="U199" s="104"/>
      <c r="V199" s="228">
        <v>544</v>
      </c>
      <c r="W199" s="171"/>
      <c r="X199" s="171"/>
      <c r="Y199" s="171"/>
      <c r="Z199" s="171"/>
      <c r="AA199" s="171"/>
      <c r="AB199" s="171"/>
      <c r="AC199" s="171"/>
      <c r="AD199" s="171"/>
      <c r="AE199" s="171"/>
      <c r="AF199" s="171"/>
      <c r="AG199" s="171"/>
      <c r="AH199" s="171"/>
      <c r="AI199" s="171"/>
      <c r="AJ199" s="171"/>
      <c r="AK199" s="171"/>
      <c r="AL199" s="171"/>
      <c r="AM199" s="171"/>
      <c r="AN199" s="171"/>
      <c r="AO199" s="171"/>
      <c r="AP199" s="171"/>
      <c r="AQ199" s="171"/>
      <c r="AR199" s="171"/>
      <c r="AS199" s="171"/>
    </row>
    <row r="200" spans="1:45" ht="15.6" customHeight="1">
      <c r="A200" s="71"/>
      <c r="B200" s="71"/>
      <c r="C200" s="150"/>
      <c r="D200" s="150"/>
      <c r="E200" s="104"/>
      <c r="F200" s="104"/>
      <c r="G200" s="104"/>
      <c r="H200" s="104"/>
      <c r="I200" s="104"/>
      <c r="J200" s="104"/>
      <c r="K200" s="104"/>
      <c r="L200" s="104"/>
      <c r="M200" s="104"/>
      <c r="N200" s="104"/>
      <c r="O200" s="104"/>
      <c r="P200" s="104"/>
      <c r="Q200" s="104"/>
      <c r="R200" s="104"/>
      <c r="S200" s="104"/>
      <c r="T200" s="104"/>
      <c r="U200" s="104"/>
      <c r="V200" s="228"/>
      <c r="W200" s="171"/>
      <c r="X200" s="171"/>
      <c r="Y200" s="171"/>
      <c r="Z200" s="171"/>
      <c r="AA200" s="171"/>
      <c r="AB200" s="171"/>
      <c r="AC200" s="171"/>
      <c r="AD200" s="171"/>
      <c r="AE200" s="171"/>
      <c r="AF200" s="171"/>
      <c r="AG200" s="171"/>
      <c r="AH200" s="171"/>
      <c r="AI200" s="171"/>
      <c r="AJ200" s="171"/>
      <c r="AK200" s="171"/>
      <c r="AL200" s="171"/>
      <c r="AM200" s="171"/>
      <c r="AN200" s="171"/>
      <c r="AO200" s="171"/>
      <c r="AP200" s="171"/>
      <c r="AQ200" s="171"/>
      <c r="AR200" s="171"/>
      <c r="AS200" s="171"/>
    </row>
    <row r="201" spans="1:45" ht="169.5" customHeight="1">
      <c r="A201" s="69" t="s">
        <v>2026</v>
      </c>
      <c r="B201" s="52" t="s">
        <v>413</v>
      </c>
      <c r="C201" s="150"/>
      <c r="D201" s="150"/>
      <c r="E201" s="104"/>
      <c r="F201" s="104"/>
      <c r="G201" s="104"/>
      <c r="H201" s="104"/>
      <c r="I201" s="104"/>
      <c r="J201" s="104"/>
      <c r="K201" s="104"/>
      <c r="L201" s="104"/>
      <c r="M201" s="104"/>
      <c r="N201" s="104"/>
      <c r="O201" s="104"/>
      <c r="P201" s="104"/>
      <c r="Q201" s="104"/>
      <c r="R201" s="104"/>
      <c r="S201" s="104"/>
      <c r="T201" s="104"/>
      <c r="U201" s="104"/>
      <c r="V201" s="23">
        <v>615</v>
      </c>
      <c r="W201" s="171"/>
      <c r="X201" s="171"/>
      <c r="Y201" s="171"/>
      <c r="Z201" s="171"/>
      <c r="AA201" s="171"/>
      <c r="AB201" s="171"/>
      <c r="AC201" s="171"/>
      <c r="AD201" s="171"/>
      <c r="AE201" s="171"/>
      <c r="AF201" s="171"/>
      <c r="AG201" s="171"/>
      <c r="AH201" s="171"/>
      <c r="AI201" s="171"/>
      <c r="AJ201" s="171"/>
      <c r="AK201" s="171"/>
      <c r="AL201" s="171"/>
      <c r="AM201" s="171"/>
      <c r="AN201" s="171"/>
      <c r="AO201" s="171"/>
      <c r="AP201" s="171"/>
      <c r="AQ201" s="171"/>
      <c r="AR201" s="171"/>
      <c r="AS201" s="171"/>
    </row>
    <row r="202" spans="1:45">
      <c r="A202" s="71"/>
      <c r="B202" s="52"/>
      <c r="C202" s="150"/>
      <c r="D202" s="150"/>
      <c r="E202" s="104"/>
      <c r="F202" s="104"/>
      <c r="G202" s="104"/>
      <c r="H202" s="104"/>
      <c r="I202" s="104"/>
      <c r="J202" s="104"/>
      <c r="K202" s="104"/>
      <c r="L202" s="104"/>
      <c r="M202" s="104"/>
      <c r="N202" s="104"/>
      <c r="O202" s="104"/>
      <c r="P202" s="104"/>
      <c r="Q202" s="104"/>
      <c r="R202" s="104"/>
      <c r="S202" s="104"/>
      <c r="T202" s="104"/>
      <c r="U202" s="104"/>
      <c r="V202" s="181"/>
      <c r="W202" s="171"/>
      <c r="X202" s="171"/>
      <c r="Y202" s="171"/>
      <c r="Z202" s="171"/>
      <c r="AA202" s="171"/>
      <c r="AB202" s="171"/>
      <c r="AC202" s="171"/>
      <c r="AD202" s="171"/>
      <c r="AE202" s="171"/>
      <c r="AF202" s="171"/>
      <c r="AG202" s="171"/>
      <c r="AH202" s="171"/>
      <c r="AI202" s="171"/>
      <c r="AJ202" s="171"/>
      <c r="AK202" s="171"/>
      <c r="AL202" s="171"/>
      <c r="AM202" s="171"/>
      <c r="AN202" s="171"/>
      <c r="AO202" s="171"/>
      <c r="AP202" s="171"/>
      <c r="AQ202" s="171"/>
      <c r="AR202" s="171"/>
      <c r="AS202" s="171"/>
    </row>
    <row r="203" spans="1:45" ht="151.80000000000001">
      <c r="A203" s="71" t="s">
        <v>414</v>
      </c>
      <c r="B203" s="52" t="s">
        <v>415</v>
      </c>
      <c r="C203" s="150"/>
      <c r="D203" s="150"/>
      <c r="E203" s="104"/>
      <c r="F203" s="104"/>
      <c r="G203" s="104"/>
      <c r="H203" s="104"/>
      <c r="I203" s="104"/>
      <c r="J203" s="104"/>
      <c r="K203" s="104"/>
      <c r="L203" s="104"/>
      <c r="M203" s="104"/>
      <c r="N203" s="104"/>
      <c r="O203" s="104"/>
      <c r="P203" s="104"/>
      <c r="Q203" s="104"/>
      <c r="R203" s="104"/>
      <c r="S203" s="104"/>
      <c r="T203" s="104"/>
      <c r="U203" s="104"/>
      <c r="V203" s="228">
        <v>562</v>
      </c>
      <c r="W203" s="171"/>
      <c r="X203" s="171"/>
      <c r="Y203" s="171"/>
      <c r="Z203" s="171"/>
      <c r="AA203" s="171"/>
      <c r="AB203" s="171"/>
      <c r="AC203" s="171"/>
      <c r="AD203" s="171"/>
      <c r="AE203" s="171"/>
      <c r="AF203" s="171"/>
      <c r="AG203" s="171"/>
      <c r="AH203" s="171"/>
      <c r="AI203" s="171"/>
      <c r="AJ203" s="171"/>
      <c r="AK203" s="171"/>
      <c r="AL203" s="171"/>
      <c r="AM203" s="171"/>
      <c r="AN203" s="171"/>
      <c r="AO203" s="171"/>
      <c r="AP203" s="171"/>
      <c r="AQ203" s="171"/>
      <c r="AR203" s="171"/>
      <c r="AS203" s="171"/>
    </row>
    <row r="204" spans="1:45" ht="16.2" customHeight="1">
      <c r="A204" s="71"/>
      <c r="B204" s="71"/>
      <c r="C204" s="150"/>
      <c r="D204" s="150"/>
      <c r="E204" s="104"/>
      <c r="F204" s="104"/>
      <c r="G204" s="104"/>
      <c r="H204" s="104"/>
      <c r="I204" s="104"/>
      <c r="J204" s="104"/>
      <c r="K204" s="104"/>
      <c r="L204" s="104"/>
      <c r="M204" s="104"/>
      <c r="N204" s="104"/>
      <c r="O204" s="104"/>
      <c r="P204" s="104"/>
      <c r="Q204" s="104"/>
      <c r="R204" s="104"/>
      <c r="S204" s="104"/>
      <c r="T204" s="104"/>
      <c r="U204" s="104"/>
      <c r="V204" s="228"/>
      <c r="W204" s="171"/>
      <c r="X204" s="171"/>
      <c r="Y204" s="171"/>
      <c r="Z204" s="171"/>
      <c r="AA204" s="171"/>
      <c r="AB204" s="171"/>
      <c r="AC204" s="171"/>
      <c r="AD204" s="171"/>
      <c r="AE204" s="171"/>
      <c r="AF204" s="171"/>
      <c r="AG204" s="171"/>
      <c r="AH204" s="171"/>
      <c r="AI204" s="171"/>
      <c r="AJ204" s="171"/>
      <c r="AK204" s="171"/>
      <c r="AL204" s="171"/>
      <c r="AM204" s="171"/>
      <c r="AN204" s="171"/>
      <c r="AO204" s="171"/>
      <c r="AP204" s="171"/>
      <c r="AQ204" s="171"/>
      <c r="AR204" s="171"/>
      <c r="AS204" s="171"/>
    </row>
    <row r="205" spans="1:45" ht="151.80000000000001">
      <c r="A205" s="71" t="s">
        <v>1682</v>
      </c>
      <c r="B205" s="52" t="s">
        <v>416</v>
      </c>
      <c r="C205" s="150"/>
      <c r="D205" s="150"/>
      <c r="E205" s="104"/>
      <c r="F205" s="104"/>
      <c r="G205" s="104"/>
      <c r="H205" s="104"/>
      <c r="I205" s="104"/>
      <c r="J205" s="104"/>
      <c r="K205" s="104"/>
      <c r="L205" s="104"/>
      <c r="M205" s="104"/>
      <c r="N205" s="104"/>
      <c r="O205" s="104"/>
      <c r="P205" s="104"/>
      <c r="Q205" s="104"/>
      <c r="R205" s="104"/>
      <c r="S205" s="104"/>
      <c r="T205" s="104"/>
      <c r="U205" s="104"/>
      <c r="V205" s="23">
        <v>622</v>
      </c>
      <c r="W205" s="171"/>
      <c r="X205" s="171"/>
      <c r="Y205" s="171"/>
      <c r="Z205" s="171"/>
      <c r="AA205" s="171"/>
      <c r="AB205" s="171"/>
      <c r="AC205" s="171"/>
      <c r="AD205" s="171"/>
      <c r="AE205" s="171"/>
      <c r="AF205" s="171"/>
      <c r="AG205" s="171"/>
      <c r="AH205" s="171"/>
      <c r="AI205" s="171"/>
      <c r="AJ205" s="171"/>
      <c r="AK205" s="171"/>
      <c r="AL205" s="171"/>
      <c r="AM205" s="171"/>
      <c r="AN205" s="171"/>
      <c r="AO205" s="171"/>
      <c r="AP205" s="171"/>
      <c r="AQ205" s="171"/>
      <c r="AR205" s="171"/>
      <c r="AS205" s="171"/>
    </row>
    <row r="206" spans="1:45">
      <c r="A206" s="71"/>
      <c r="B206" s="52"/>
      <c r="C206" s="150"/>
      <c r="D206" s="150"/>
      <c r="E206" s="104"/>
      <c r="F206" s="104"/>
      <c r="G206" s="104"/>
      <c r="H206" s="104"/>
      <c r="I206" s="104"/>
      <c r="J206" s="104"/>
      <c r="K206" s="104"/>
      <c r="L206" s="104"/>
      <c r="M206" s="104"/>
      <c r="N206" s="104"/>
      <c r="O206" s="104"/>
      <c r="P206" s="104"/>
      <c r="Q206" s="104"/>
      <c r="R206" s="104"/>
      <c r="S206" s="104"/>
      <c r="T206" s="104"/>
      <c r="U206" s="104"/>
      <c r="V206" s="228"/>
      <c r="W206" s="171"/>
      <c r="X206" s="171"/>
      <c r="Y206" s="171"/>
      <c r="Z206" s="171"/>
      <c r="AA206" s="171"/>
      <c r="AB206" s="171"/>
      <c r="AC206" s="171"/>
      <c r="AD206" s="171"/>
      <c r="AE206" s="171"/>
      <c r="AF206" s="171"/>
      <c r="AG206" s="171"/>
      <c r="AH206" s="171"/>
      <c r="AI206" s="171"/>
      <c r="AJ206" s="171"/>
      <c r="AK206" s="171"/>
      <c r="AL206" s="171"/>
      <c r="AM206" s="171"/>
      <c r="AN206" s="171"/>
      <c r="AO206" s="171"/>
      <c r="AP206" s="171"/>
      <c r="AQ206" s="171"/>
      <c r="AR206" s="171"/>
      <c r="AS206" s="171"/>
    </row>
    <row r="207" spans="1:45" ht="151.80000000000001">
      <c r="A207" s="71" t="s">
        <v>1994</v>
      </c>
      <c r="B207" s="52" t="s">
        <v>417</v>
      </c>
      <c r="C207" s="150"/>
      <c r="D207" s="150"/>
      <c r="E207" s="104"/>
      <c r="F207" s="104"/>
      <c r="G207" s="104"/>
      <c r="H207" s="104"/>
      <c r="I207" s="104"/>
      <c r="J207" s="104"/>
      <c r="K207" s="104"/>
      <c r="L207" s="104"/>
      <c r="M207" s="104"/>
      <c r="N207" s="104"/>
      <c r="O207" s="104"/>
      <c r="P207" s="104"/>
      <c r="Q207" s="104"/>
      <c r="R207" s="104"/>
      <c r="S207" s="104"/>
      <c r="T207" s="104"/>
      <c r="U207" s="104"/>
      <c r="V207" s="228">
        <v>544</v>
      </c>
      <c r="W207" s="171"/>
      <c r="X207" s="171"/>
      <c r="Y207" s="171"/>
      <c r="Z207" s="171"/>
      <c r="AA207" s="171"/>
      <c r="AB207" s="171"/>
      <c r="AC207" s="171"/>
      <c r="AD207" s="171"/>
      <c r="AE207" s="171"/>
      <c r="AF207" s="171"/>
      <c r="AG207" s="171"/>
      <c r="AH207" s="171"/>
      <c r="AI207" s="171"/>
      <c r="AJ207" s="171"/>
      <c r="AK207" s="171"/>
      <c r="AL207" s="171"/>
      <c r="AM207" s="171"/>
      <c r="AN207" s="171"/>
      <c r="AO207" s="171"/>
      <c r="AP207" s="171"/>
      <c r="AQ207" s="171"/>
      <c r="AR207" s="171"/>
      <c r="AS207" s="171"/>
    </row>
    <row r="208" spans="1:45" ht="21.6" customHeight="1">
      <c r="A208" s="71"/>
      <c r="B208" s="71"/>
      <c r="C208" s="150"/>
      <c r="D208" s="150"/>
      <c r="E208" s="104"/>
      <c r="F208" s="104"/>
      <c r="G208" s="104"/>
      <c r="H208" s="104"/>
      <c r="I208" s="104"/>
      <c r="J208" s="104"/>
      <c r="K208" s="104"/>
      <c r="L208" s="104"/>
      <c r="M208" s="104"/>
      <c r="N208" s="104"/>
      <c r="O208" s="104"/>
      <c r="P208" s="104"/>
      <c r="Q208" s="104"/>
      <c r="R208" s="104"/>
      <c r="S208" s="104"/>
      <c r="T208" s="104"/>
      <c r="U208" s="104"/>
      <c r="V208" s="228"/>
      <c r="W208" s="171"/>
      <c r="X208" s="171"/>
      <c r="Y208" s="171"/>
      <c r="Z208" s="171"/>
      <c r="AA208" s="171"/>
      <c r="AB208" s="171"/>
      <c r="AC208" s="171"/>
      <c r="AD208" s="171"/>
      <c r="AE208" s="171"/>
      <c r="AF208" s="171"/>
      <c r="AG208" s="171"/>
      <c r="AH208" s="171"/>
      <c r="AI208" s="171"/>
      <c r="AJ208" s="171"/>
      <c r="AK208" s="171"/>
      <c r="AL208" s="171"/>
      <c r="AM208" s="171"/>
      <c r="AN208" s="171"/>
      <c r="AO208" s="171"/>
      <c r="AP208" s="171"/>
      <c r="AQ208" s="171"/>
      <c r="AR208" s="171"/>
      <c r="AS208" s="171"/>
    </row>
    <row r="209" spans="1:45" ht="151.80000000000001">
      <c r="A209" s="71" t="s">
        <v>2027</v>
      </c>
      <c r="B209" s="52" t="s">
        <v>418</v>
      </c>
      <c r="C209" s="150"/>
      <c r="D209" s="150"/>
      <c r="E209" s="104"/>
      <c r="F209" s="104"/>
      <c r="G209" s="104"/>
      <c r="H209" s="104"/>
      <c r="I209" s="104"/>
      <c r="J209" s="104"/>
      <c r="K209" s="104"/>
      <c r="L209" s="104"/>
      <c r="M209" s="104"/>
      <c r="N209" s="104"/>
      <c r="O209" s="104"/>
      <c r="P209" s="104"/>
      <c r="Q209" s="104"/>
      <c r="R209" s="104"/>
      <c r="S209" s="104"/>
      <c r="T209" s="104"/>
      <c r="U209" s="104"/>
      <c r="V209" s="23">
        <v>615</v>
      </c>
      <c r="W209" s="171"/>
      <c r="X209" s="171"/>
      <c r="Y209" s="171"/>
      <c r="Z209" s="171"/>
      <c r="AA209" s="171"/>
      <c r="AB209" s="171"/>
      <c r="AC209" s="171"/>
      <c r="AD209" s="171"/>
      <c r="AE209" s="171"/>
      <c r="AF209" s="171"/>
      <c r="AG209" s="171"/>
      <c r="AH209" s="171"/>
      <c r="AI209" s="171"/>
      <c r="AJ209" s="171"/>
      <c r="AK209" s="171"/>
      <c r="AL209" s="171"/>
      <c r="AM209" s="171"/>
      <c r="AN209" s="171"/>
      <c r="AO209" s="171"/>
      <c r="AP209" s="171"/>
      <c r="AQ209" s="171"/>
      <c r="AR209" s="171"/>
      <c r="AS209" s="171"/>
    </row>
    <row r="210" spans="1:45">
      <c r="A210" s="71"/>
      <c r="B210" s="52"/>
      <c r="C210" s="150"/>
      <c r="D210" s="150"/>
      <c r="E210" s="104"/>
      <c r="F210" s="104"/>
      <c r="G210" s="104"/>
      <c r="H210" s="104"/>
      <c r="I210" s="104"/>
      <c r="J210" s="104"/>
      <c r="K210" s="104"/>
      <c r="L210" s="104"/>
      <c r="M210" s="104"/>
      <c r="N210" s="104"/>
      <c r="O210" s="104"/>
      <c r="P210" s="104"/>
      <c r="Q210" s="104"/>
      <c r="R210" s="104"/>
      <c r="S210" s="104"/>
      <c r="T210" s="104"/>
      <c r="U210" s="104"/>
      <c r="V210" s="181"/>
      <c r="W210" s="171"/>
      <c r="X210" s="171"/>
      <c r="Y210" s="171"/>
      <c r="Z210" s="171"/>
      <c r="AA210" s="171"/>
      <c r="AB210" s="171"/>
      <c r="AC210" s="171"/>
      <c r="AD210" s="171"/>
      <c r="AE210" s="171"/>
      <c r="AF210" s="171"/>
      <c r="AG210" s="171"/>
      <c r="AH210" s="171"/>
      <c r="AI210" s="171"/>
      <c r="AJ210" s="171"/>
      <c r="AK210" s="171"/>
      <c r="AL210" s="171"/>
      <c r="AM210" s="171"/>
      <c r="AN210" s="171"/>
      <c r="AO210" s="171"/>
      <c r="AP210" s="171"/>
      <c r="AQ210" s="171"/>
      <c r="AR210" s="171"/>
      <c r="AS210" s="171"/>
    </row>
    <row r="211" spans="1:45" ht="151.80000000000001">
      <c r="A211" s="71" t="s">
        <v>1683</v>
      </c>
      <c r="B211" s="52" t="s">
        <v>419</v>
      </c>
      <c r="C211" s="150"/>
      <c r="D211" s="150"/>
      <c r="E211" s="104"/>
      <c r="F211" s="104"/>
      <c r="G211" s="104"/>
      <c r="H211" s="104"/>
      <c r="I211" s="104"/>
      <c r="J211" s="104"/>
      <c r="K211" s="104"/>
      <c r="L211" s="104"/>
      <c r="M211" s="104"/>
      <c r="N211" s="104"/>
      <c r="O211" s="104"/>
      <c r="P211" s="104"/>
      <c r="Q211" s="104"/>
      <c r="R211" s="104"/>
      <c r="S211" s="104"/>
      <c r="T211" s="104"/>
      <c r="U211" s="104"/>
      <c r="V211" s="228">
        <v>570</v>
      </c>
      <c r="W211" s="171"/>
      <c r="X211" s="171"/>
      <c r="Y211" s="171"/>
      <c r="Z211" s="171"/>
      <c r="AA211" s="171"/>
      <c r="AB211" s="171"/>
      <c r="AC211" s="171"/>
      <c r="AD211" s="171"/>
      <c r="AE211" s="171"/>
      <c r="AF211" s="171"/>
      <c r="AG211" s="171"/>
      <c r="AH211" s="171"/>
      <c r="AI211" s="171"/>
      <c r="AJ211" s="171"/>
      <c r="AK211" s="171"/>
      <c r="AL211" s="171"/>
      <c r="AM211" s="171"/>
      <c r="AN211" s="171"/>
      <c r="AO211" s="171"/>
      <c r="AP211" s="171"/>
      <c r="AQ211" s="171"/>
      <c r="AR211" s="171"/>
      <c r="AS211" s="171"/>
    </row>
    <row r="212" spans="1:45" ht="18" customHeight="1">
      <c r="A212" s="71"/>
      <c r="B212" s="71"/>
      <c r="C212" s="150"/>
      <c r="D212" s="150"/>
      <c r="E212" s="104"/>
      <c r="F212" s="104"/>
      <c r="G212" s="104"/>
      <c r="H212" s="104"/>
      <c r="I212" s="104"/>
      <c r="J212" s="104"/>
      <c r="K212" s="104"/>
      <c r="L212" s="104"/>
      <c r="M212" s="104"/>
      <c r="N212" s="104"/>
      <c r="O212" s="104"/>
      <c r="P212" s="104"/>
      <c r="Q212" s="104"/>
      <c r="R212" s="104"/>
      <c r="S212" s="104"/>
      <c r="T212" s="104"/>
      <c r="U212" s="104"/>
      <c r="V212" s="228"/>
      <c r="W212" s="171"/>
      <c r="X212" s="171"/>
      <c r="Y212" s="171"/>
      <c r="Z212" s="171"/>
      <c r="AA212" s="171"/>
      <c r="AB212" s="171"/>
      <c r="AC212" s="171"/>
      <c r="AD212" s="171"/>
      <c r="AE212" s="171"/>
      <c r="AF212" s="171"/>
      <c r="AG212" s="171"/>
      <c r="AH212" s="171"/>
      <c r="AI212" s="171"/>
      <c r="AJ212" s="171"/>
      <c r="AK212" s="171"/>
      <c r="AL212" s="171"/>
      <c r="AM212" s="171"/>
      <c r="AN212" s="171"/>
      <c r="AO212" s="171"/>
      <c r="AP212" s="171"/>
      <c r="AQ212" s="171"/>
      <c r="AR212" s="171"/>
      <c r="AS212" s="171"/>
    </row>
    <row r="213" spans="1:45" ht="151.80000000000001">
      <c r="A213" s="71" t="s">
        <v>1684</v>
      </c>
      <c r="B213" s="52" t="s">
        <v>420</v>
      </c>
      <c r="C213" s="150"/>
      <c r="D213" s="150"/>
      <c r="E213" s="104"/>
      <c r="F213" s="104"/>
      <c r="G213" s="104"/>
      <c r="H213" s="104"/>
      <c r="I213" s="104"/>
      <c r="J213" s="104"/>
      <c r="K213" s="104"/>
      <c r="L213" s="104"/>
      <c r="M213" s="104"/>
      <c r="N213" s="104"/>
      <c r="O213" s="104"/>
      <c r="P213" s="104"/>
      <c r="Q213" s="104"/>
      <c r="R213" s="104"/>
      <c r="S213" s="104"/>
      <c r="T213" s="104"/>
      <c r="U213" s="104"/>
      <c r="V213" s="23">
        <v>630</v>
      </c>
      <c r="W213" s="171"/>
      <c r="X213" s="171"/>
      <c r="Y213" s="171"/>
      <c r="Z213" s="171"/>
      <c r="AA213" s="171"/>
      <c r="AB213" s="171"/>
      <c r="AC213" s="171"/>
      <c r="AD213" s="171"/>
      <c r="AE213" s="171"/>
      <c r="AF213" s="171"/>
      <c r="AG213" s="171"/>
      <c r="AH213" s="171"/>
      <c r="AI213" s="171"/>
      <c r="AJ213" s="171"/>
      <c r="AK213" s="171"/>
      <c r="AL213" s="171"/>
      <c r="AM213" s="171"/>
      <c r="AN213" s="171"/>
      <c r="AO213" s="171"/>
      <c r="AP213" s="171"/>
      <c r="AQ213" s="171"/>
      <c r="AR213" s="171"/>
      <c r="AS213" s="171"/>
    </row>
    <row r="214" spans="1:45">
      <c r="A214" s="71"/>
      <c r="B214" s="52"/>
      <c r="C214" s="150"/>
      <c r="D214" s="150"/>
      <c r="E214" s="104"/>
      <c r="F214" s="104"/>
      <c r="G214" s="104"/>
      <c r="H214" s="104"/>
      <c r="I214" s="104"/>
      <c r="J214" s="104"/>
      <c r="K214" s="104"/>
      <c r="L214" s="104"/>
      <c r="M214" s="104"/>
      <c r="N214" s="104"/>
      <c r="O214" s="104"/>
      <c r="P214" s="104"/>
      <c r="Q214" s="104"/>
      <c r="R214" s="104"/>
      <c r="S214" s="104"/>
      <c r="T214" s="104"/>
      <c r="U214" s="104"/>
      <c r="V214" s="181"/>
      <c r="W214" s="171"/>
      <c r="X214" s="171"/>
      <c r="Y214" s="171"/>
      <c r="Z214" s="171"/>
      <c r="AA214" s="171"/>
      <c r="AB214" s="171"/>
      <c r="AC214" s="171"/>
      <c r="AD214" s="171"/>
      <c r="AE214" s="171"/>
      <c r="AF214" s="171"/>
      <c r="AG214" s="171"/>
      <c r="AH214" s="171"/>
      <c r="AI214" s="171"/>
      <c r="AJ214" s="171"/>
      <c r="AK214" s="171"/>
      <c r="AL214" s="171"/>
      <c r="AM214" s="171"/>
      <c r="AN214" s="171"/>
      <c r="AO214" s="171"/>
      <c r="AP214" s="171"/>
      <c r="AQ214" s="171"/>
      <c r="AR214" s="171"/>
      <c r="AS214" s="171"/>
    </row>
    <row r="215" spans="1:45" ht="151.80000000000001">
      <c r="A215" s="71" t="s">
        <v>1685</v>
      </c>
      <c r="B215" s="52" t="s">
        <v>421</v>
      </c>
      <c r="C215" s="150"/>
      <c r="D215" s="150"/>
      <c r="E215" s="104"/>
      <c r="F215" s="104"/>
      <c r="G215" s="104"/>
      <c r="H215" s="104"/>
      <c r="I215" s="104"/>
      <c r="J215" s="104"/>
      <c r="K215" s="104"/>
      <c r="L215" s="104"/>
      <c r="M215" s="104"/>
      <c r="N215" s="104"/>
      <c r="O215" s="104"/>
      <c r="P215" s="104"/>
      <c r="Q215" s="104"/>
      <c r="R215" s="104"/>
      <c r="S215" s="104"/>
      <c r="T215" s="104"/>
      <c r="U215" s="104"/>
      <c r="V215" s="228">
        <v>550</v>
      </c>
      <c r="W215" s="171"/>
      <c r="X215" s="171"/>
      <c r="Y215" s="171"/>
      <c r="Z215" s="171"/>
      <c r="AA215" s="171"/>
      <c r="AB215" s="171"/>
      <c r="AC215" s="171"/>
      <c r="AD215" s="171"/>
      <c r="AE215" s="171"/>
      <c r="AF215" s="171"/>
      <c r="AG215" s="171"/>
      <c r="AH215" s="171"/>
      <c r="AI215" s="171"/>
      <c r="AJ215" s="171"/>
      <c r="AK215" s="171"/>
      <c r="AL215" s="171"/>
      <c r="AM215" s="171"/>
      <c r="AN215" s="171"/>
      <c r="AO215" s="171"/>
      <c r="AP215" s="171"/>
      <c r="AQ215" s="171"/>
      <c r="AR215" s="171"/>
      <c r="AS215" s="171"/>
    </row>
    <row r="216" spans="1:45" ht="17.100000000000001" customHeight="1">
      <c r="A216" s="69"/>
      <c r="B216" s="69"/>
      <c r="C216" s="150"/>
      <c r="D216" s="150"/>
      <c r="E216" s="104"/>
      <c r="F216" s="104"/>
      <c r="G216" s="104"/>
      <c r="H216" s="104"/>
      <c r="I216" s="104"/>
      <c r="J216" s="104"/>
      <c r="K216" s="104"/>
      <c r="L216" s="104"/>
      <c r="M216" s="104"/>
      <c r="N216" s="104"/>
      <c r="O216" s="104"/>
      <c r="P216" s="104"/>
      <c r="Q216" s="104"/>
      <c r="R216" s="104"/>
      <c r="S216" s="104"/>
      <c r="T216" s="104"/>
      <c r="U216" s="104"/>
      <c r="V216" s="228"/>
      <c r="W216" s="171"/>
      <c r="X216" s="171"/>
      <c r="Y216" s="171"/>
      <c r="Z216" s="171"/>
      <c r="AA216" s="171"/>
      <c r="AB216" s="171"/>
      <c r="AC216" s="171"/>
      <c r="AD216" s="171"/>
      <c r="AE216" s="171"/>
      <c r="AF216" s="171"/>
      <c r="AG216" s="171"/>
      <c r="AH216" s="171"/>
      <c r="AI216" s="171"/>
      <c r="AJ216" s="171"/>
      <c r="AK216" s="171"/>
      <c r="AL216" s="171"/>
      <c r="AM216" s="171"/>
      <c r="AN216" s="171"/>
      <c r="AO216" s="171"/>
      <c r="AP216" s="171"/>
      <c r="AQ216" s="171"/>
      <c r="AR216" s="171"/>
      <c r="AS216" s="171"/>
    </row>
    <row r="217" spans="1:45" ht="151.80000000000001">
      <c r="A217" s="71" t="s">
        <v>2028</v>
      </c>
      <c r="B217" s="52" t="s">
        <v>422</v>
      </c>
      <c r="C217" s="150"/>
      <c r="D217" s="150"/>
      <c r="E217" s="104"/>
      <c r="F217" s="104"/>
      <c r="G217" s="104"/>
      <c r="H217" s="104"/>
      <c r="I217" s="104"/>
      <c r="J217" s="104"/>
      <c r="K217" s="104"/>
      <c r="L217" s="104"/>
      <c r="M217" s="104"/>
      <c r="N217" s="104"/>
      <c r="O217" s="104"/>
      <c r="P217" s="104"/>
      <c r="Q217" s="104"/>
      <c r="R217" s="104"/>
      <c r="S217" s="104"/>
      <c r="T217" s="104"/>
      <c r="U217" s="104"/>
      <c r="V217" s="23">
        <v>620</v>
      </c>
      <c r="W217" s="171"/>
      <c r="X217" s="171"/>
      <c r="Y217" s="171"/>
      <c r="Z217" s="171"/>
      <c r="AA217" s="171"/>
      <c r="AB217" s="171"/>
      <c r="AC217" s="171"/>
      <c r="AD217" s="171"/>
      <c r="AE217" s="171"/>
      <c r="AF217" s="171"/>
      <c r="AG217" s="171"/>
      <c r="AH217" s="171"/>
      <c r="AI217" s="171"/>
      <c r="AJ217" s="171"/>
      <c r="AK217" s="171"/>
      <c r="AL217" s="171"/>
      <c r="AM217" s="171"/>
      <c r="AN217" s="171"/>
      <c r="AO217" s="171"/>
      <c r="AP217" s="171"/>
      <c r="AQ217" s="171"/>
      <c r="AR217" s="171"/>
      <c r="AS217" s="171"/>
    </row>
    <row r="218" spans="1:45" s="253" customFormat="1">
      <c r="A218" s="235"/>
      <c r="B218" s="140"/>
      <c r="C218" s="134"/>
      <c r="D218" s="134"/>
      <c r="E218" s="45"/>
      <c r="F218" s="45"/>
      <c r="G218" s="45"/>
      <c r="H218" s="45"/>
      <c r="I218" s="45"/>
      <c r="J218" s="45"/>
      <c r="K218" s="45"/>
      <c r="L218" s="45"/>
      <c r="M218" s="45"/>
      <c r="N218" s="45"/>
      <c r="O218" s="45"/>
      <c r="P218" s="45"/>
      <c r="Q218" s="45"/>
      <c r="R218" s="45"/>
      <c r="S218" s="45"/>
      <c r="T218" s="45"/>
      <c r="U218" s="45"/>
      <c r="V218" s="183"/>
    </row>
    <row r="219" spans="1:45" s="10" customFormat="1" ht="27.6">
      <c r="A219" s="154" t="s">
        <v>423</v>
      </c>
      <c r="B219" s="159" t="s">
        <v>305</v>
      </c>
      <c r="C219" s="159" t="s">
        <v>143</v>
      </c>
      <c r="D219" s="159" t="s">
        <v>144</v>
      </c>
      <c r="E219" s="159" t="s">
        <v>424</v>
      </c>
      <c r="F219" s="159" t="s">
        <v>425</v>
      </c>
      <c r="G219" s="159" t="s">
        <v>426</v>
      </c>
      <c r="H219" s="159" t="s">
        <v>427</v>
      </c>
      <c r="I219" s="159" t="s">
        <v>428</v>
      </c>
      <c r="J219" s="159" t="s">
        <v>429</v>
      </c>
      <c r="K219" s="159" t="s">
        <v>430</v>
      </c>
      <c r="L219" s="159" t="s">
        <v>431</v>
      </c>
      <c r="M219" s="159" t="s">
        <v>432</v>
      </c>
      <c r="N219" s="159" t="s">
        <v>433</v>
      </c>
      <c r="O219" s="159" t="s">
        <v>434</v>
      </c>
      <c r="P219" s="159" t="s">
        <v>435</v>
      </c>
      <c r="Q219" s="159" t="s">
        <v>436</v>
      </c>
      <c r="R219" s="159" t="s">
        <v>437</v>
      </c>
      <c r="S219" s="159" t="s">
        <v>438</v>
      </c>
      <c r="T219" s="159" t="s">
        <v>439</v>
      </c>
      <c r="U219" s="159" t="s">
        <v>440</v>
      </c>
      <c r="V219" s="12"/>
      <c r="W219" s="9"/>
      <c r="X219" s="9"/>
      <c r="Y219" s="9"/>
      <c r="Z219" s="9"/>
      <c r="AA219" s="9"/>
      <c r="AB219" s="9"/>
      <c r="AC219" s="9"/>
      <c r="AD219" s="9"/>
      <c r="AE219" s="9"/>
      <c r="AF219" s="9"/>
      <c r="AG219" s="9"/>
      <c r="AH219" s="9"/>
      <c r="AI219" s="9"/>
      <c r="AJ219" s="9"/>
      <c r="AK219" s="9"/>
      <c r="AL219" s="9"/>
      <c r="AM219" s="9"/>
      <c r="AN219" s="9"/>
      <c r="AO219" s="9"/>
      <c r="AP219" s="9"/>
      <c r="AQ219" s="9"/>
      <c r="AR219" s="9"/>
      <c r="AS219" s="9"/>
    </row>
    <row r="220" spans="1:45">
      <c r="A220" s="98" t="s">
        <v>441</v>
      </c>
      <c r="B220" s="108"/>
      <c r="C220" s="108"/>
      <c r="D220" s="108"/>
      <c r="E220" s="223"/>
      <c r="F220" s="223"/>
      <c r="G220" s="223"/>
      <c r="H220" s="223"/>
      <c r="I220" s="223"/>
      <c r="J220" s="223"/>
      <c r="K220" s="223"/>
      <c r="L220" s="223"/>
      <c r="M220" s="223"/>
      <c r="N220" s="223"/>
      <c r="O220" s="223"/>
      <c r="P220" s="223"/>
      <c r="Q220" s="223"/>
      <c r="R220" s="223"/>
      <c r="S220" s="226"/>
      <c r="T220" s="226"/>
      <c r="U220" s="226"/>
      <c r="V220" s="130"/>
    </row>
    <row r="221" spans="1:45" ht="28.8">
      <c r="A221" s="342" t="s">
        <v>1640</v>
      </c>
      <c r="B221" s="343" t="s">
        <v>1652</v>
      </c>
      <c r="C221" s="344" t="s">
        <v>312</v>
      </c>
      <c r="D221" s="191" t="s">
        <v>1639</v>
      </c>
      <c r="E221" s="104"/>
      <c r="F221" s="67"/>
      <c r="G221" s="104"/>
      <c r="H221" s="104"/>
      <c r="I221" s="104"/>
      <c r="J221" s="104"/>
      <c r="K221" s="339" t="s">
        <v>442</v>
      </c>
      <c r="L221" s="104"/>
      <c r="M221" s="104"/>
      <c r="N221" s="104"/>
      <c r="O221" s="104"/>
      <c r="P221" s="104"/>
      <c r="Q221" s="339" t="s">
        <v>443</v>
      </c>
      <c r="R221" s="104"/>
      <c r="S221" s="104"/>
      <c r="T221" s="104"/>
      <c r="U221" s="104"/>
      <c r="V221" s="23">
        <v>75</v>
      </c>
    </row>
    <row r="222" spans="1:45" ht="28.8">
      <c r="A222" s="342" t="s">
        <v>1641</v>
      </c>
      <c r="B222" s="343" t="s">
        <v>1653</v>
      </c>
      <c r="C222" s="40" t="s">
        <v>312</v>
      </c>
      <c r="D222" s="191" t="s">
        <v>1639</v>
      </c>
      <c r="E222" s="104"/>
      <c r="F222" s="67"/>
      <c r="G222" s="104"/>
      <c r="H222" s="104"/>
      <c r="I222" s="104"/>
      <c r="J222" s="104"/>
      <c r="K222" s="339" t="s">
        <v>444</v>
      </c>
      <c r="L222" s="104"/>
      <c r="M222" s="104"/>
      <c r="N222" s="104"/>
      <c r="O222" s="104"/>
      <c r="P222" s="104"/>
      <c r="Q222" s="339" t="s">
        <v>445</v>
      </c>
      <c r="R222" s="104"/>
      <c r="S222" s="104"/>
      <c r="T222" s="104"/>
      <c r="U222" s="104"/>
      <c r="V222" s="23">
        <v>157</v>
      </c>
    </row>
    <row r="223" spans="1:45" ht="28.8">
      <c r="A223" s="342" t="s">
        <v>1642</v>
      </c>
      <c r="B223" s="343" t="s">
        <v>1654</v>
      </c>
      <c r="C223" s="40" t="s">
        <v>312</v>
      </c>
      <c r="D223" s="191" t="s">
        <v>1639</v>
      </c>
      <c r="E223" s="104"/>
      <c r="F223" s="67"/>
      <c r="G223" s="104"/>
      <c r="H223" s="104"/>
      <c r="I223" s="104"/>
      <c r="J223" s="104"/>
      <c r="K223" s="339" t="s">
        <v>446</v>
      </c>
      <c r="L223" s="104"/>
      <c r="M223" s="104"/>
      <c r="N223" s="104"/>
      <c r="O223" s="104"/>
      <c r="P223" s="104"/>
      <c r="Q223" s="339" t="s">
        <v>447</v>
      </c>
      <c r="R223" s="104"/>
      <c r="S223" s="104"/>
      <c r="T223" s="104"/>
      <c r="U223" s="104"/>
      <c r="V223" s="23">
        <v>260</v>
      </c>
    </row>
    <row r="224" spans="1:45" ht="14.4">
      <c r="A224" s="345" t="s">
        <v>1638</v>
      </c>
      <c r="B224" s="346" t="s">
        <v>1637</v>
      </c>
      <c r="C224" s="347" t="s">
        <v>312</v>
      </c>
      <c r="D224" s="191" t="s">
        <v>1639</v>
      </c>
      <c r="E224" s="104"/>
      <c r="F224" s="339" t="s">
        <v>448</v>
      </c>
      <c r="G224" s="104"/>
      <c r="H224" s="104"/>
      <c r="I224" s="104"/>
      <c r="J224" s="104"/>
      <c r="K224" s="104"/>
      <c r="L224" s="104"/>
      <c r="M224" s="104"/>
      <c r="N224" s="104"/>
      <c r="O224" s="104"/>
      <c r="P224" s="104"/>
      <c r="Q224" s="104"/>
      <c r="R224" s="104"/>
      <c r="S224" s="104"/>
      <c r="T224" s="104"/>
      <c r="U224" s="104"/>
      <c r="V224" s="23">
        <v>157</v>
      </c>
    </row>
    <row r="225" spans="1:22" ht="14.4">
      <c r="A225" s="345" t="s">
        <v>1644</v>
      </c>
      <c r="B225" s="346" t="s">
        <v>1643</v>
      </c>
      <c r="C225" s="347" t="s">
        <v>312</v>
      </c>
      <c r="D225" s="191" t="s">
        <v>1639</v>
      </c>
      <c r="E225" s="104"/>
      <c r="F225" s="339" t="s">
        <v>449</v>
      </c>
      <c r="G225" s="104"/>
      <c r="H225" s="104"/>
      <c r="I225" s="104"/>
      <c r="J225" s="104"/>
      <c r="K225" s="104"/>
      <c r="L225" s="104"/>
      <c r="M225" s="104"/>
      <c r="N225" s="104"/>
      <c r="O225" s="104"/>
      <c r="P225" s="104"/>
      <c r="Q225" s="104"/>
      <c r="R225" s="104"/>
      <c r="S225" s="104"/>
      <c r="T225" s="104"/>
      <c r="U225" s="104"/>
      <c r="V225" s="23">
        <v>204</v>
      </c>
    </row>
    <row r="226" spans="1:22" ht="28.8">
      <c r="A226" s="342" t="s">
        <v>1645</v>
      </c>
      <c r="B226" s="343" t="s">
        <v>1655</v>
      </c>
      <c r="C226" s="150"/>
      <c r="D226" s="40" t="s">
        <v>1633</v>
      </c>
      <c r="E226" s="104"/>
      <c r="F226" s="104"/>
      <c r="G226" s="104"/>
      <c r="H226" s="104"/>
      <c r="I226" s="104"/>
      <c r="J226" s="104"/>
      <c r="K226" s="104"/>
      <c r="L226" s="339" t="s">
        <v>450</v>
      </c>
      <c r="M226" s="104"/>
      <c r="N226" s="104"/>
      <c r="O226" s="104"/>
      <c r="P226" s="104"/>
      <c r="Q226" s="104"/>
      <c r="R226" s="339" t="s">
        <v>451</v>
      </c>
      <c r="S226" s="104"/>
      <c r="T226" s="104"/>
      <c r="U226" s="104"/>
      <c r="V226" s="23">
        <v>82</v>
      </c>
    </row>
    <row r="227" spans="1:22" ht="28.8">
      <c r="A227" s="342" t="s">
        <v>1646</v>
      </c>
      <c r="B227" s="343" t="s">
        <v>1656</v>
      </c>
      <c r="C227" s="40" t="s">
        <v>312</v>
      </c>
      <c r="D227" s="40" t="s">
        <v>1633</v>
      </c>
      <c r="E227" s="104"/>
      <c r="F227" s="104"/>
      <c r="G227" s="104"/>
      <c r="H227" s="104"/>
      <c r="I227" s="104"/>
      <c r="J227" s="104"/>
      <c r="K227" s="104"/>
      <c r="L227" s="339" t="s">
        <v>452</v>
      </c>
      <c r="M227" s="104"/>
      <c r="N227" s="104"/>
      <c r="O227" s="104"/>
      <c r="P227" s="104"/>
      <c r="Q227" s="104"/>
      <c r="R227" s="339" t="s">
        <v>453</v>
      </c>
      <c r="S227" s="104"/>
      <c r="T227" s="104"/>
      <c r="U227" s="104"/>
      <c r="V227" s="23">
        <v>75</v>
      </c>
    </row>
    <row r="228" spans="1:22" ht="28.8">
      <c r="A228" s="342" t="s">
        <v>1647</v>
      </c>
      <c r="B228" s="343" t="s">
        <v>1657</v>
      </c>
      <c r="C228" s="40" t="s">
        <v>312</v>
      </c>
      <c r="D228" s="40" t="s">
        <v>1633</v>
      </c>
      <c r="E228" s="104"/>
      <c r="F228" s="104"/>
      <c r="G228" s="104"/>
      <c r="H228" s="104"/>
      <c r="I228" s="104"/>
      <c r="J228" s="104"/>
      <c r="K228" s="104"/>
      <c r="L228" s="339" t="s">
        <v>454</v>
      </c>
      <c r="M228" s="104"/>
      <c r="N228" s="104"/>
      <c r="O228" s="104"/>
      <c r="P228" s="104"/>
      <c r="Q228" s="104"/>
      <c r="R228" s="339" t="s">
        <v>455</v>
      </c>
      <c r="S228" s="104"/>
      <c r="T228" s="104"/>
      <c r="U228" s="104"/>
      <c r="V228" s="23">
        <v>157</v>
      </c>
    </row>
    <row r="229" spans="1:22" ht="28.8">
      <c r="A229" s="342" t="s">
        <v>1648</v>
      </c>
      <c r="B229" s="343" t="s">
        <v>1658</v>
      </c>
      <c r="C229" s="150"/>
      <c r="D229" s="40" t="s">
        <v>1625</v>
      </c>
      <c r="E229" s="104"/>
      <c r="F229" s="104"/>
      <c r="G229" s="104"/>
      <c r="H229" s="104"/>
      <c r="I229" s="104"/>
      <c r="J229" s="104"/>
      <c r="K229" s="104"/>
      <c r="L229" s="339" t="s">
        <v>456</v>
      </c>
      <c r="M229" s="104"/>
      <c r="N229" s="104"/>
      <c r="O229" s="104"/>
      <c r="P229" s="104"/>
      <c r="Q229" s="104"/>
      <c r="R229" s="339" t="s">
        <v>457</v>
      </c>
      <c r="S229" s="104"/>
      <c r="T229" s="104"/>
      <c r="U229" s="104"/>
      <c r="V229" s="23">
        <v>110</v>
      </c>
    </row>
    <row r="230" spans="1:22" ht="28.8">
      <c r="A230" s="342" t="s">
        <v>1649</v>
      </c>
      <c r="B230" s="343" t="s">
        <v>1659</v>
      </c>
      <c r="C230" s="150"/>
      <c r="D230" s="40" t="s">
        <v>1625</v>
      </c>
      <c r="E230" s="104"/>
      <c r="F230" s="104"/>
      <c r="G230" s="104"/>
      <c r="H230" s="104"/>
      <c r="I230" s="104"/>
      <c r="J230" s="104"/>
      <c r="K230" s="104"/>
      <c r="L230" s="339" t="s">
        <v>458</v>
      </c>
      <c r="M230" s="104"/>
      <c r="N230" s="104"/>
      <c r="O230" s="104"/>
      <c r="P230" s="104"/>
      <c r="Q230" s="104"/>
      <c r="R230" s="339" t="s">
        <v>459</v>
      </c>
      <c r="S230" s="104"/>
      <c r="T230" s="104"/>
      <c r="U230" s="104"/>
      <c r="V230" s="23">
        <v>155</v>
      </c>
    </row>
    <row r="231" spans="1:22" ht="28.8">
      <c r="A231" s="342" t="s">
        <v>1650</v>
      </c>
      <c r="B231" s="343" t="s">
        <v>1660</v>
      </c>
      <c r="C231" s="344" t="s">
        <v>312</v>
      </c>
      <c r="D231" s="40" t="s">
        <v>1630</v>
      </c>
      <c r="E231" s="104"/>
      <c r="F231" s="104"/>
      <c r="G231" s="104"/>
      <c r="H231" s="104"/>
      <c r="I231" s="104"/>
      <c r="J231" s="104"/>
      <c r="K231" s="104"/>
      <c r="L231" s="339" t="s">
        <v>460</v>
      </c>
      <c r="M231" s="104"/>
      <c r="N231" s="104"/>
      <c r="O231" s="104"/>
      <c r="P231" s="104"/>
      <c r="Q231" s="104"/>
      <c r="R231" s="339" t="s">
        <v>461</v>
      </c>
      <c r="S231" s="104"/>
      <c r="T231" s="104"/>
      <c r="U231" s="104"/>
      <c r="V231" s="23">
        <v>190</v>
      </c>
    </row>
    <row r="232" spans="1:22" ht="28.8">
      <c r="A232" s="342" t="s">
        <v>1651</v>
      </c>
      <c r="B232" s="189" t="s">
        <v>1661</v>
      </c>
      <c r="C232" s="40" t="s">
        <v>312</v>
      </c>
      <c r="D232" s="40" t="s">
        <v>1630</v>
      </c>
      <c r="E232" s="104"/>
      <c r="F232" s="104"/>
      <c r="G232" s="104"/>
      <c r="H232" s="104"/>
      <c r="I232" s="104"/>
      <c r="J232" s="104"/>
      <c r="K232" s="104"/>
      <c r="L232" s="339" t="s">
        <v>462</v>
      </c>
      <c r="M232" s="104"/>
      <c r="N232" s="104"/>
      <c r="O232" s="104"/>
      <c r="P232" s="104"/>
      <c r="Q232" s="104"/>
      <c r="R232" s="339" t="s">
        <v>463</v>
      </c>
      <c r="S232" s="104"/>
      <c r="T232" s="104"/>
      <c r="U232" s="104"/>
      <c r="V232" s="23">
        <v>235</v>
      </c>
    </row>
    <row r="233" spans="1:22">
      <c r="A233" s="235"/>
      <c r="B233" s="140"/>
      <c r="C233" s="134"/>
      <c r="D233" s="134"/>
      <c r="E233" s="45"/>
      <c r="F233" s="45"/>
      <c r="G233" s="45"/>
      <c r="H233" s="45"/>
      <c r="I233" s="45"/>
      <c r="J233" s="45"/>
      <c r="K233" s="45"/>
      <c r="L233" s="45"/>
      <c r="M233" s="45"/>
      <c r="N233" s="45"/>
      <c r="O233" s="45"/>
      <c r="P233" s="45"/>
      <c r="Q233" s="45"/>
      <c r="R233" s="45"/>
      <c r="S233" s="45"/>
      <c r="T233" s="45"/>
      <c r="U233" s="45"/>
      <c r="V233" s="28"/>
    </row>
    <row r="234" spans="1:22">
      <c r="A234" s="98" t="s">
        <v>464</v>
      </c>
      <c r="B234" s="108"/>
      <c r="C234" s="108"/>
      <c r="D234" s="108"/>
      <c r="E234" s="223"/>
      <c r="F234" s="223"/>
      <c r="G234" s="223"/>
      <c r="H234" s="223"/>
      <c r="I234" s="223"/>
      <c r="J234" s="223"/>
      <c r="K234" s="223"/>
      <c r="L234" s="223"/>
      <c r="M234" s="223"/>
      <c r="N234" s="223"/>
      <c r="O234" s="223"/>
      <c r="P234" s="223"/>
      <c r="Q234" s="223"/>
      <c r="R234" s="223"/>
      <c r="S234" s="226"/>
      <c r="T234" s="226"/>
      <c r="U234" s="226"/>
      <c r="V234" s="126"/>
    </row>
    <row r="235" spans="1:22" s="171" customFormat="1" ht="14.4">
      <c r="A235" s="346" t="s">
        <v>1991</v>
      </c>
      <c r="B235" s="346" t="s">
        <v>1663</v>
      </c>
      <c r="C235" s="191" t="s">
        <v>312</v>
      </c>
      <c r="D235" s="191" t="s">
        <v>1662</v>
      </c>
      <c r="E235" s="48"/>
      <c r="F235" s="48"/>
      <c r="G235" s="48"/>
      <c r="H235" s="339" t="s">
        <v>465</v>
      </c>
      <c r="I235" s="48"/>
      <c r="J235" s="48"/>
      <c r="K235" s="48"/>
      <c r="L235" s="48"/>
      <c r="M235" s="48"/>
      <c r="N235" s="48"/>
      <c r="O235" s="48"/>
      <c r="P235" s="48"/>
      <c r="Q235" s="48"/>
      <c r="R235" s="48"/>
      <c r="S235" s="48"/>
      <c r="T235" s="48"/>
      <c r="U235" s="48"/>
      <c r="V235" s="23">
        <v>82</v>
      </c>
    </row>
    <row r="236" spans="1:22" s="171" customFormat="1" ht="14.4">
      <c r="A236" s="346" t="s">
        <v>1992</v>
      </c>
      <c r="B236" s="346" t="s">
        <v>1664</v>
      </c>
      <c r="C236" s="191" t="s">
        <v>312</v>
      </c>
      <c r="D236" s="191" t="s">
        <v>1662</v>
      </c>
      <c r="E236" s="48"/>
      <c r="F236" s="48"/>
      <c r="G236" s="48"/>
      <c r="H236" s="339" t="s">
        <v>466</v>
      </c>
      <c r="I236" s="48"/>
      <c r="J236" s="48"/>
      <c r="K236" s="48"/>
      <c r="L236" s="48"/>
      <c r="M236" s="48"/>
      <c r="N236" s="48"/>
      <c r="O236" s="48"/>
      <c r="P236" s="48"/>
      <c r="Q236" s="48"/>
      <c r="R236" s="48"/>
      <c r="S236" s="48"/>
      <c r="T236" s="48"/>
      <c r="U236" s="48"/>
      <c r="V236" s="23">
        <v>179</v>
      </c>
    </row>
    <row r="237" spans="1:22" s="171" customFormat="1" ht="28.8">
      <c r="A237" s="342" t="s">
        <v>1989</v>
      </c>
      <c r="B237" s="343" t="s">
        <v>1665</v>
      </c>
      <c r="C237" s="40" t="s">
        <v>312</v>
      </c>
      <c r="D237" s="191" t="s">
        <v>1662</v>
      </c>
      <c r="E237" s="48"/>
      <c r="F237" s="48"/>
      <c r="G237" s="48"/>
      <c r="H237" s="48"/>
      <c r="I237" s="48"/>
      <c r="J237" s="48"/>
      <c r="K237" s="48"/>
      <c r="L237" s="48"/>
      <c r="M237" s="48"/>
      <c r="N237" s="339" t="s">
        <v>467</v>
      </c>
      <c r="O237" s="48"/>
      <c r="P237" s="48"/>
      <c r="Q237" s="48"/>
      <c r="R237" s="48"/>
      <c r="S237" s="48"/>
      <c r="T237" s="339" t="s">
        <v>468</v>
      </c>
      <c r="U237" s="48"/>
      <c r="V237" s="23">
        <v>97</v>
      </c>
    </row>
    <row r="238" spans="1:22" s="171" customFormat="1" ht="28.8">
      <c r="A238" s="342" t="s">
        <v>1667</v>
      </c>
      <c r="B238" s="343" t="s">
        <v>1669</v>
      </c>
      <c r="C238" s="40"/>
      <c r="D238" s="40" t="s">
        <v>1666</v>
      </c>
      <c r="E238" s="48"/>
      <c r="F238" s="48"/>
      <c r="G238" s="48"/>
      <c r="H238" s="48"/>
      <c r="I238" s="48"/>
      <c r="J238" s="48"/>
      <c r="K238" s="48"/>
      <c r="L238" s="48"/>
      <c r="M238" s="48"/>
      <c r="N238" s="48"/>
      <c r="O238" s="339" t="s">
        <v>469</v>
      </c>
      <c r="P238" s="48"/>
      <c r="Q238" s="48"/>
      <c r="R238" s="339"/>
      <c r="S238" s="48"/>
      <c r="T238" s="48"/>
      <c r="U238" s="339" t="s">
        <v>470</v>
      </c>
      <c r="V238" s="23">
        <v>75</v>
      </c>
    </row>
    <row r="239" spans="1:22" s="171" customFormat="1" ht="28.8">
      <c r="A239" s="342" t="s">
        <v>1990</v>
      </c>
      <c r="B239" s="343" t="s">
        <v>1670</v>
      </c>
      <c r="C239" s="40" t="s">
        <v>312</v>
      </c>
      <c r="D239" s="40" t="s">
        <v>1666</v>
      </c>
      <c r="E239" s="48"/>
      <c r="F239" s="48"/>
      <c r="G239" s="48"/>
      <c r="H239" s="48"/>
      <c r="I239" s="48"/>
      <c r="J239" s="48"/>
      <c r="K239" s="48"/>
      <c r="L239" s="48"/>
      <c r="M239" s="48"/>
      <c r="N239" s="48"/>
      <c r="O239" s="339" t="s">
        <v>471</v>
      </c>
      <c r="P239" s="48"/>
      <c r="Q239" s="48"/>
      <c r="R239" s="339"/>
      <c r="S239" s="48"/>
      <c r="T239" s="48"/>
      <c r="U239" s="339" t="s">
        <v>472</v>
      </c>
      <c r="V239" s="23">
        <v>35</v>
      </c>
    </row>
    <row r="240" spans="1:22" s="171" customFormat="1" ht="14.4">
      <c r="A240" s="339" t="s">
        <v>2004</v>
      </c>
      <c r="B240" s="343" t="s">
        <v>2011</v>
      </c>
      <c r="C240" s="40"/>
      <c r="D240" s="40" t="s">
        <v>1666</v>
      </c>
      <c r="E240" s="48"/>
      <c r="F240" s="48"/>
      <c r="G240" s="48"/>
      <c r="H240" s="48"/>
      <c r="I240" s="48" t="s">
        <v>2006</v>
      </c>
      <c r="J240" s="48"/>
      <c r="K240" s="48"/>
      <c r="L240" s="48"/>
      <c r="M240" s="48"/>
      <c r="N240" s="48"/>
      <c r="O240" s="339"/>
      <c r="P240" s="48"/>
      <c r="Q240" s="48"/>
      <c r="R240" s="339"/>
      <c r="S240" s="48"/>
      <c r="T240" s="48"/>
      <c r="U240" s="339"/>
      <c r="V240" s="23">
        <v>80</v>
      </c>
    </row>
    <row r="241" spans="1:22" s="171" customFormat="1" ht="14.4">
      <c r="A241" s="339" t="s">
        <v>2005</v>
      </c>
      <c r="B241" s="343" t="s">
        <v>2012</v>
      </c>
      <c r="C241" s="40"/>
      <c r="D241" s="40" t="s">
        <v>1666</v>
      </c>
      <c r="E241" s="48"/>
      <c r="F241" s="48"/>
      <c r="G241" s="48"/>
      <c r="H241" s="48"/>
      <c r="I241" s="48" t="s">
        <v>2007</v>
      </c>
      <c r="J241" s="48"/>
      <c r="K241" s="48"/>
      <c r="L241" s="48"/>
      <c r="M241" s="48"/>
      <c r="N241" s="48"/>
      <c r="O241" s="339"/>
      <c r="P241" s="48"/>
      <c r="Q241" s="48"/>
      <c r="R241" s="339"/>
      <c r="S241" s="48"/>
      <c r="T241" s="48"/>
      <c r="U241" s="339"/>
      <c r="V241" s="23">
        <v>260</v>
      </c>
    </row>
    <row r="242" spans="1:22" s="171" customFormat="1" ht="14.4">
      <c r="A242" s="339" t="s">
        <v>1668</v>
      </c>
      <c r="B242" s="339" t="s">
        <v>473</v>
      </c>
      <c r="C242" s="40"/>
      <c r="D242" s="40" t="s">
        <v>1666</v>
      </c>
      <c r="E242" s="48"/>
      <c r="F242" s="48"/>
      <c r="G242" s="48"/>
      <c r="H242" s="48"/>
      <c r="I242" s="339" t="s">
        <v>474</v>
      </c>
      <c r="J242" s="48"/>
      <c r="K242" s="48"/>
      <c r="L242" s="48"/>
      <c r="M242" s="48"/>
      <c r="N242" s="48"/>
      <c r="O242" s="339"/>
      <c r="P242" s="48"/>
      <c r="Q242" s="48"/>
      <c r="R242" s="339"/>
      <c r="S242" s="48"/>
      <c r="T242" s="48"/>
      <c r="U242" s="339"/>
      <c r="V242" s="23">
        <v>155</v>
      </c>
    </row>
    <row r="243" spans="1:22" s="171" customFormat="1" ht="14.4">
      <c r="A243" s="339" t="s">
        <v>1993</v>
      </c>
      <c r="B243" s="339" t="s">
        <v>475</v>
      </c>
      <c r="C243" s="40" t="s">
        <v>312</v>
      </c>
      <c r="D243" s="40" t="s">
        <v>1666</v>
      </c>
      <c r="E243" s="48"/>
      <c r="F243" s="48"/>
      <c r="G243" s="48"/>
      <c r="H243" s="48"/>
      <c r="I243" s="339" t="s">
        <v>476</v>
      </c>
      <c r="J243" s="48"/>
      <c r="K243" s="48"/>
      <c r="L243" s="48"/>
      <c r="M243" s="48"/>
      <c r="N243" s="48"/>
      <c r="O243" s="339"/>
      <c r="P243" s="48"/>
      <c r="Q243" s="48"/>
      <c r="R243" s="339"/>
      <c r="S243" s="48"/>
      <c r="T243" s="48"/>
      <c r="U243" s="339"/>
      <c r="V243" s="23">
        <v>190</v>
      </c>
    </row>
    <row r="244" spans="1:22" s="171" customFormat="1" ht="14.4">
      <c r="A244" s="339" t="s">
        <v>2014</v>
      </c>
      <c r="B244" s="339" t="s">
        <v>2008</v>
      </c>
      <c r="C244" s="40"/>
      <c r="D244" s="40" t="s">
        <v>1666</v>
      </c>
      <c r="E244" s="48"/>
      <c r="F244" s="48"/>
      <c r="G244" s="48"/>
      <c r="H244" s="48"/>
      <c r="I244" s="339" t="s">
        <v>2009</v>
      </c>
      <c r="J244" s="48"/>
      <c r="K244" s="48"/>
      <c r="L244" s="48"/>
      <c r="M244" s="48"/>
      <c r="N244" s="48"/>
      <c r="O244" s="339"/>
      <c r="P244" s="48"/>
      <c r="Q244" s="48"/>
      <c r="R244" s="339"/>
      <c r="S244" s="48"/>
      <c r="T244" s="48"/>
      <c r="U244" s="339"/>
      <c r="V244" s="23">
        <v>335</v>
      </c>
    </row>
    <row r="245" spans="1:22" s="171" customFormat="1" ht="14.4">
      <c r="A245" s="339" t="s">
        <v>2003</v>
      </c>
      <c r="B245" s="339" t="s">
        <v>2013</v>
      </c>
      <c r="C245" s="40" t="s">
        <v>312</v>
      </c>
      <c r="D245" s="40" t="s">
        <v>1666</v>
      </c>
      <c r="E245" s="48"/>
      <c r="F245" s="48"/>
      <c r="G245" s="48"/>
      <c r="H245" s="48"/>
      <c r="I245" s="339" t="s">
        <v>2010</v>
      </c>
      <c r="J245" s="48"/>
      <c r="K245" s="48"/>
      <c r="L245" s="48"/>
      <c r="M245" s="48"/>
      <c r="N245" s="48"/>
      <c r="O245" s="339"/>
      <c r="P245" s="48"/>
      <c r="Q245" s="48"/>
      <c r="R245" s="339"/>
      <c r="S245" s="48"/>
      <c r="T245" s="48"/>
      <c r="U245" s="339"/>
      <c r="V245" s="23">
        <v>370</v>
      </c>
    </row>
    <row r="246" spans="1:22" s="253" customFormat="1" ht="14.4">
      <c r="A246" s="297"/>
      <c r="B246" s="307"/>
      <c r="C246" s="107"/>
      <c r="D246" s="330"/>
      <c r="E246" s="331"/>
      <c r="F246" s="331"/>
      <c r="G246" s="331"/>
      <c r="H246" s="331"/>
      <c r="I246" s="331"/>
      <c r="J246" s="331"/>
      <c r="K246" s="331"/>
      <c r="L246" s="331"/>
      <c r="M246" s="331"/>
      <c r="N246" s="298"/>
      <c r="O246" s="297"/>
      <c r="P246" s="331"/>
      <c r="Q246" s="298"/>
      <c r="R246" s="297"/>
      <c r="S246" s="331"/>
      <c r="T246" s="298"/>
      <c r="U246" s="297"/>
      <c r="V246" s="257"/>
    </row>
    <row r="247" spans="1:22">
      <c r="A247" s="98" t="s">
        <v>313</v>
      </c>
      <c r="B247" s="108"/>
      <c r="C247" s="108"/>
      <c r="D247" s="108"/>
      <c r="E247" s="223"/>
      <c r="F247" s="223"/>
      <c r="G247" s="223"/>
      <c r="H247" s="223"/>
      <c r="I247" s="223"/>
      <c r="J247" s="223"/>
      <c r="K247" s="223"/>
      <c r="L247" s="223"/>
      <c r="M247" s="223"/>
      <c r="N247" s="223"/>
      <c r="O247" s="223"/>
      <c r="P247" s="223"/>
      <c r="Q247" s="223"/>
      <c r="R247" s="223"/>
      <c r="S247" s="223"/>
      <c r="T247" s="223"/>
      <c r="U247" s="223"/>
      <c r="V247" s="126"/>
    </row>
    <row r="248" spans="1:22" s="171" customFormat="1" ht="14.4">
      <c r="A248" s="69" t="s">
        <v>477</v>
      </c>
      <c r="B248" s="69" t="s">
        <v>478</v>
      </c>
      <c r="C248" s="40"/>
      <c r="D248" s="40"/>
      <c r="E248" s="48"/>
      <c r="F248" s="48"/>
      <c r="G248" s="48"/>
      <c r="H248" s="48"/>
      <c r="I248" s="48"/>
      <c r="J248" s="48"/>
      <c r="K248" s="339" t="s">
        <v>479</v>
      </c>
      <c r="L248" s="48"/>
      <c r="M248" s="48"/>
      <c r="N248" s="339" t="s">
        <v>480</v>
      </c>
      <c r="O248" s="339" t="s">
        <v>481</v>
      </c>
      <c r="P248" s="48"/>
      <c r="Q248" s="339" t="s">
        <v>482</v>
      </c>
      <c r="R248" s="339"/>
      <c r="S248" s="48"/>
      <c r="T248" s="339" t="s">
        <v>484</v>
      </c>
      <c r="U248" s="339" t="s">
        <v>483</v>
      </c>
      <c r="V248" s="23">
        <v>3</v>
      </c>
    </row>
    <row r="249" spans="1:22" s="171" customFormat="1" ht="14.4">
      <c r="A249" s="69" t="s">
        <v>485</v>
      </c>
      <c r="B249" s="69" t="s">
        <v>314</v>
      </c>
      <c r="C249" s="40"/>
      <c r="D249" s="40"/>
      <c r="E249" s="48"/>
      <c r="F249" s="48"/>
      <c r="G249" s="48"/>
      <c r="H249" s="48"/>
      <c r="I249" s="48"/>
      <c r="J249" s="48"/>
      <c r="K249" s="339" t="s">
        <v>486</v>
      </c>
      <c r="L249" s="48"/>
      <c r="M249" s="48"/>
      <c r="N249" s="339" t="s">
        <v>487</v>
      </c>
      <c r="O249" s="339" t="s">
        <v>488</v>
      </c>
      <c r="P249" s="48"/>
      <c r="Q249" s="339" t="s">
        <v>489</v>
      </c>
      <c r="R249" s="339"/>
      <c r="S249" s="48"/>
      <c r="T249" s="339" t="s">
        <v>491</v>
      </c>
      <c r="U249" s="339" t="s">
        <v>490</v>
      </c>
      <c r="V249" s="23">
        <v>82</v>
      </c>
    </row>
    <row r="250" spans="1:22" s="177" customFormat="1" ht="14.4">
      <c r="A250" s="69" t="s">
        <v>492</v>
      </c>
      <c r="B250" s="69" t="s">
        <v>315</v>
      </c>
      <c r="C250" s="40"/>
      <c r="D250" s="40"/>
      <c r="E250" s="48"/>
      <c r="F250" s="48"/>
      <c r="G250" s="48"/>
      <c r="H250" s="48"/>
      <c r="I250" s="48"/>
      <c r="J250" s="48"/>
      <c r="K250" s="339" t="s">
        <v>493</v>
      </c>
      <c r="L250" s="48"/>
      <c r="M250" s="48"/>
      <c r="N250" s="339" t="s">
        <v>494</v>
      </c>
      <c r="O250" s="339" t="s">
        <v>495</v>
      </c>
      <c r="P250" s="48"/>
      <c r="Q250" s="339" t="s">
        <v>496</v>
      </c>
      <c r="R250" s="339"/>
      <c r="S250" s="48"/>
      <c r="T250" s="339" t="s">
        <v>498</v>
      </c>
      <c r="U250" s="339" t="s">
        <v>497</v>
      </c>
      <c r="V250" s="23">
        <v>82</v>
      </c>
    </row>
    <row r="251" spans="1:22" s="171" customFormat="1" ht="14.4">
      <c r="A251" s="69" t="s">
        <v>499</v>
      </c>
      <c r="B251" s="69" t="s">
        <v>316</v>
      </c>
      <c r="C251" s="40"/>
      <c r="D251" s="40"/>
      <c r="E251" s="48"/>
      <c r="F251" s="48"/>
      <c r="G251" s="48"/>
      <c r="H251" s="48"/>
      <c r="I251" s="48"/>
      <c r="J251" s="48"/>
      <c r="K251" s="339" t="s">
        <v>500</v>
      </c>
      <c r="L251" s="48"/>
      <c r="M251" s="48"/>
      <c r="N251" s="339" t="s">
        <v>501</v>
      </c>
      <c r="O251" s="339" t="s">
        <v>502</v>
      </c>
      <c r="P251" s="48"/>
      <c r="Q251" s="339" t="s">
        <v>503</v>
      </c>
      <c r="R251" s="339"/>
      <c r="S251" s="48"/>
      <c r="T251" s="339" t="s">
        <v>505</v>
      </c>
      <c r="U251" s="339" t="s">
        <v>504</v>
      </c>
      <c r="V251" s="23">
        <v>183</v>
      </c>
    </row>
    <row r="252" spans="1:22" s="171" customFormat="1">
      <c r="A252" s="71"/>
      <c r="B252" s="52"/>
      <c r="C252" s="150"/>
      <c r="D252" s="150"/>
      <c r="E252" s="104"/>
      <c r="F252" s="104"/>
      <c r="G252" s="104"/>
      <c r="H252" s="104"/>
      <c r="I252" s="104"/>
      <c r="J252" s="104"/>
      <c r="K252" s="104"/>
      <c r="L252" s="104"/>
      <c r="M252" s="104"/>
      <c r="N252" s="104"/>
      <c r="O252" s="104"/>
      <c r="P252" s="104"/>
      <c r="Q252" s="104"/>
      <c r="R252" s="104"/>
      <c r="S252" s="104"/>
      <c r="T252" s="104"/>
      <c r="U252" s="104"/>
      <c r="V252" s="23"/>
    </row>
    <row r="253" spans="1:22">
      <c r="A253" s="98" t="s">
        <v>317</v>
      </c>
      <c r="B253" s="108"/>
      <c r="C253" s="108"/>
      <c r="D253" s="108"/>
      <c r="E253" s="223"/>
      <c r="F253" s="223"/>
      <c r="G253" s="223"/>
      <c r="H253" s="223"/>
      <c r="I253" s="223"/>
      <c r="J253" s="223"/>
      <c r="K253" s="223"/>
      <c r="L253" s="223"/>
      <c r="M253" s="223"/>
      <c r="N253" s="223"/>
      <c r="O253" s="223"/>
      <c r="P253" s="223"/>
      <c r="Q253" s="223"/>
      <c r="R253" s="223"/>
      <c r="S253" s="226"/>
      <c r="T253" s="226"/>
      <c r="U253" s="226"/>
      <c r="V253" s="126"/>
    </row>
    <row r="254" spans="1:22" s="166" customFormat="1"/>
    <row r="255" spans="1:22" s="163" customFormat="1">
      <c r="A255" s="348" t="s">
        <v>1696</v>
      </c>
      <c r="B255" s="69" t="s">
        <v>506</v>
      </c>
      <c r="C255" s="69"/>
      <c r="D255" s="69"/>
      <c r="E255" s="69"/>
      <c r="F255" s="69" t="s">
        <v>539</v>
      </c>
      <c r="G255" s="69"/>
      <c r="H255" s="69" t="s">
        <v>507</v>
      </c>
      <c r="I255" s="69" t="s">
        <v>508</v>
      </c>
      <c r="J255" s="69"/>
      <c r="K255" s="69"/>
      <c r="L255" s="69"/>
      <c r="M255" s="69"/>
      <c r="N255" s="69"/>
      <c r="O255" s="69"/>
      <c r="P255" s="69"/>
      <c r="Q255" s="69"/>
      <c r="R255" s="69"/>
      <c r="S255" s="69"/>
      <c r="T255" s="69"/>
      <c r="U255" s="69"/>
      <c r="V255" s="23">
        <v>0</v>
      </c>
    </row>
    <row r="256" spans="1:22" s="163" customFormat="1">
      <c r="A256" s="348" t="s">
        <v>1697</v>
      </c>
      <c r="B256" s="69" t="s">
        <v>509</v>
      </c>
      <c r="C256" s="69"/>
      <c r="D256" s="69"/>
      <c r="E256" s="69"/>
      <c r="F256" s="69" t="s">
        <v>540</v>
      </c>
      <c r="G256" s="69"/>
      <c r="H256" s="69" t="s">
        <v>510</v>
      </c>
      <c r="I256" s="69" t="s">
        <v>511</v>
      </c>
      <c r="J256" s="69"/>
      <c r="K256" s="69"/>
      <c r="L256" s="69"/>
      <c r="M256" s="69"/>
      <c r="N256" s="69"/>
      <c r="O256" s="69"/>
      <c r="P256" s="69"/>
      <c r="Q256" s="69"/>
      <c r="R256" s="69"/>
      <c r="S256" s="69"/>
      <c r="T256" s="69"/>
      <c r="U256" s="69"/>
      <c r="V256" s="23">
        <v>25</v>
      </c>
    </row>
    <row r="257" spans="1:45" s="163" customFormat="1">
      <c r="A257" s="348" t="s">
        <v>1960</v>
      </c>
      <c r="B257" s="69" t="s">
        <v>512</v>
      </c>
      <c r="C257" s="69"/>
      <c r="D257" s="69"/>
      <c r="E257" s="69"/>
      <c r="F257" s="69" t="s">
        <v>541</v>
      </c>
      <c r="G257" s="69"/>
      <c r="H257" s="69" t="s">
        <v>513</v>
      </c>
      <c r="I257" s="69" t="s">
        <v>514</v>
      </c>
      <c r="J257" s="69"/>
      <c r="K257" s="69"/>
      <c r="L257" s="69"/>
      <c r="M257" s="69"/>
      <c r="N257" s="69"/>
      <c r="O257" s="69"/>
      <c r="P257" s="69"/>
      <c r="Q257" s="69"/>
      <c r="R257" s="69"/>
      <c r="S257" s="69"/>
      <c r="T257" s="69"/>
      <c r="U257" s="69"/>
      <c r="V257" s="23">
        <v>0</v>
      </c>
    </row>
    <row r="258" spans="1:45" s="163" customFormat="1">
      <c r="A258" s="348" t="s">
        <v>1961</v>
      </c>
      <c r="B258" s="69" t="s">
        <v>515</v>
      </c>
      <c r="C258" s="69"/>
      <c r="D258" s="69"/>
      <c r="E258" s="69"/>
      <c r="F258" s="69" t="s">
        <v>548</v>
      </c>
      <c r="G258" s="69"/>
      <c r="H258" s="69" t="s">
        <v>516</v>
      </c>
      <c r="I258" s="69" t="s">
        <v>517</v>
      </c>
      <c r="J258" s="69"/>
      <c r="K258" s="69"/>
      <c r="L258" s="69"/>
      <c r="M258" s="69"/>
      <c r="N258" s="69"/>
      <c r="O258" s="69"/>
      <c r="P258" s="69"/>
      <c r="Q258" s="69"/>
      <c r="R258" s="69"/>
      <c r="S258" s="69"/>
      <c r="T258" s="69"/>
      <c r="U258" s="69"/>
      <c r="V258" s="23">
        <v>8</v>
      </c>
    </row>
    <row r="259" spans="1:45" s="163" customFormat="1">
      <c r="A259" s="348" t="s">
        <v>1962</v>
      </c>
      <c r="B259" s="69" t="s">
        <v>518</v>
      </c>
      <c r="C259" s="69"/>
      <c r="D259" s="69"/>
      <c r="E259" s="69"/>
      <c r="F259" s="69" t="s">
        <v>549</v>
      </c>
      <c r="G259" s="69"/>
      <c r="H259" s="69" t="s">
        <v>519</v>
      </c>
      <c r="I259" s="69" t="s">
        <v>520</v>
      </c>
      <c r="J259" s="69"/>
      <c r="K259" s="69"/>
      <c r="L259" s="69"/>
      <c r="M259" s="69"/>
      <c r="N259" s="69"/>
      <c r="O259" s="69"/>
      <c r="P259" s="69"/>
      <c r="Q259" s="69"/>
      <c r="R259" s="69"/>
      <c r="S259" s="69"/>
      <c r="T259" s="69"/>
      <c r="U259" s="69"/>
      <c r="V259" s="23">
        <v>33</v>
      </c>
    </row>
    <row r="260" spans="1:45" s="163" customFormat="1" ht="27.6">
      <c r="A260" s="142" t="s">
        <v>1706</v>
      </c>
      <c r="B260" s="69" t="s">
        <v>533</v>
      </c>
      <c r="C260" s="69"/>
      <c r="D260" s="69"/>
      <c r="E260" s="69"/>
      <c r="F260" s="69" t="s">
        <v>546</v>
      </c>
      <c r="G260" s="69"/>
      <c r="H260" s="69" t="s">
        <v>534</v>
      </c>
      <c r="I260" s="69" t="s">
        <v>535</v>
      </c>
      <c r="J260" s="69"/>
      <c r="K260" s="69"/>
      <c r="L260" s="69"/>
      <c r="M260" s="69"/>
      <c r="N260" s="69"/>
      <c r="O260" s="69"/>
      <c r="P260" s="69"/>
      <c r="Q260" s="69"/>
      <c r="R260" s="69"/>
      <c r="S260" s="69"/>
      <c r="T260" s="69"/>
      <c r="U260" s="69"/>
      <c r="V260" s="23">
        <v>33</v>
      </c>
    </row>
    <row r="261" spans="1:45" s="163" customFormat="1" ht="27.6">
      <c r="A261" s="142" t="s">
        <v>1705</v>
      </c>
      <c r="B261" s="69" t="s">
        <v>530</v>
      </c>
      <c r="C261" s="69"/>
      <c r="D261" s="69"/>
      <c r="E261" s="69"/>
      <c r="F261" s="69" t="s">
        <v>545</v>
      </c>
      <c r="G261" s="69"/>
      <c r="H261" s="69" t="s">
        <v>531</v>
      </c>
      <c r="I261" s="69" t="s">
        <v>532</v>
      </c>
      <c r="J261" s="69"/>
      <c r="K261" s="69"/>
      <c r="L261" s="69"/>
      <c r="M261" s="69"/>
      <c r="N261" s="69"/>
      <c r="O261" s="69"/>
      <c r="P261" s="69"/>
      <c r="Q261" s="69"/>
      <c r="R261" s="69"/>
      <c r="S261" s="69"/>
      <c r="T261" s="69"/>
      <c r="U261" s="69"/>
      <c r="V261" s="23">
        <v>33</v>
      </c>
    </row>
    <row r="262" spans="1:45" s="163" customFormat="1" ht="27.6">
      <c r="A262" s="142" t="s">
        <v>1964</v>
      </c>
      <c r="B262" s="69" t="s">
        <v>536</v>
      </c>
      <c r="C262" s="69"/>
      <c r="D262" s="69"/>
      <c r="E262" s="69"/>
      <c r="F262" s="69" t="s">
        <v>547</v>
      </c>
      <c r="G262" s="69"/>
      <c r="H262" s="69" t="s">
        <v>537</v>
      </c>
      <c r="I262" s="69" t="s">
        <v>538</v>
      </c>
      <c r="J262" s="69"/>
      <c r="K262" s="69"/>
      <c r="L262" s="69"/>
      <c r="M262" s="69"/>
      <c r="N262" s="69"/>
      <c r="O262" s="69"/>
      <c r="P262" s="69"/>
      <c r="Q262" s="69"/>
      <c r="R262" s="69"/>
      <c r="S262" s="69"/>
      <c r="T262" s="69"/>
      <c r="U262" s="69"/>
      <c r="V262" s="23">
        <v>41</v>
      </c>
    </row>
    <row r="263" spans="1:45" s="163" customFormat="1" ht="27.6">
      <c r="A263" s="142" t="s">
        <v>1703</v>
      </c>
      <c r="B263" s="69" t="s">
        <v>521</v>
      </c>
      <c r="C263" s="69"/>
      <c r="D263" s="69"/>
      <c r="E263" s="69"/>
      <c r="F263" s="69" t="s">
        <v>543</v>
      </c>
      <c r="G263" s="69"/>
      <c r="H263" s="69" t="s">
        <v>522</v>
      </c>
      <c r="I263" s="69" t="s">
        <v>523</v>
      </c>
      <c r="J263" s="69"/>
      <c r="K263" s="69"/>
      <c r="L263" s="69"/>
      <c r="M263" s="69"/>
      <c r="N263" s="69"/>
      <c r="O263" s="69"/>
      <c r="P263" s="69"/>
      <c r="Q263" s="69"/>
      <c r="R263" s="69"/>
      <c r="S263" s="69"/>
      <c r="T263" s="69"/>
      <c r="U263" s="69"/>
      <c r="V263" s="23">
        <v>91</v>
      </c>
    </row>
    <row r="264" spans="1:45" s="163" customFormat="1" ht="27.6">
      <c r="A264" s="142" t="s">
        <v>1704</v>
      </c>
      <c r="B264" s="69" t="s">
        <v>524</v>
      </c>
      <c r="C264" s="69"/>
      <c r="D264" s="69"/>
      <c r="E264" s="69"/>
      <c r="F264" s="69" t="s">
        <v>542</v>
      </c>
      <c r="G264" s="69"/>
      <c r="H264" s="69" t="s">
        <v>525</v>
      </c>
      <c r="I264" s="69" t="s">
        <v>526</v>
      </c>
      <c r="J264" s="69"/>
      <c r="K264" s="69"/>
      <c r="L264" s="69"/>
      <c r="M264" s="69"/>
      <c r="N264" s="69"/>
      <c r="O264" s="69"/>
      <c r="P264" s="69"/>
      <c r="Q264" s="69"/>
      <c r="R264" s="69"/>
      <c r="S264" s="69"/>
      <c r="T264" s="69"/>
      <c r="U264" s="69"/>
      <c r="V264" s="23">
        <v>91</v>
      </c>
    </row>
    <row r="265" spans="1:45" s="163" customFormat="1" ht="27.6">
      <c r="A265" s="142" t="s">
        <v>1963</v>
      </c>
      <c r="B265" s="69" t="s">
        <v>527</v>
      </c>
      <c r="C265" s="69"/>
      <c r="D265" s="69"/>
      <c r="E265" s="69"/>
      <c r="F265" s="69" t="s">
        <v>544</v>
      </c>
      <c r="G265" s="69"/>
      <c r="H265" s="69" t="s">
        <v>528</v>
      </c>
      <c r="I265" s="69" t="s">
        <v>529</v>
      </c>
      <c r="J265" s="69"/>
      <c r="K265" s="69"/>
      <c r="L265" s="69"/>
      <c r="M265" s="69"/>
      <c r="N265" s="69"/>
      <c r="O265" s="69"/>
      <c r="P265" s="69"/>
      <c r="Q265" s="69"/>
      <c r="R265" s="69"/>
      <c r="S265" s="69"/>
      <c r="T265" s="69"/>
      <c r="U265" s="69"/>
      <c r="V265" s="349">
        <v>99</v>
      </c>
    </row>
    <row r="266" spans="1:45" s="166" customFormat="1">
      <c r="A266" s="308"/>
      <c r="B266" s="142"/>
      <c r="C266" s="142"/>
      <c r="D266" s="142"/>
      <c r="E266" s="142"/>
      <c r="F266" s="142"/>
      <c r="G266" s="142"/>
      <c r="H266" s="142"/>
      <c r="I266" s="142"/>
      <c r="J266" s="142"/>
      <c r="K266" s="142"/>
      <c r="L266" s="142"/>
      <c r="M266" s="142"/>
      <c r="N266" s="142"/>
      <c r="O266" s="142"/>
      <c r="P266" s="142"/>
      <c r="Q266" s="142"/>
      <c r="R266" s="142"/>
      <c r="S266" s="142"/>
      <c r="T266" s="142"/>
      <c r="U266" s="142"/>
      <c r="V266" s="71"/>
    </row>
    <row r="267" spans="1:45">
      <c r="A267" s="98" t="s">
        <v>197</v>
      </c>
      <c r="B267" s="103"/>
      <c r="C267" s="103"/>
      <c r="D267" s="103"/>
      <c r="E267" s="226"/>
      <c r="F267" s="226"/>
      <c r="G267" s="226"/>
      <c r="H267" s="226"/>
      <c r="I267" s="226"/>
      <c r="J267" s="226"/>
      <c r="K267" s="226"/>
      <c r="L267" s="226"/>
      <c r="M267" s="226"/>
      <c r="N267" s="226"/>
      <c r="O267" s="226"/>
      <c r="P267" s="226"/>
      <c r="Q267" s="226"/>
      <c r="R267" s="226"/>
      <c r="S267" s="226"/>
      <c r="T267" s="226"/>
      <c r="U267" s="226"/>
      <c r="V267" s="126"/>
    </row>
    <row r="268" spans="1:45" s="33" customFormat="1">
      <c r="A268" s="69"/>
      <c r="B268" s="69"/>
      <c r="C268" s="150"/>
      <c r="D268" s="150"/>
      <c r="E268" s="104"/>
      <c r="F268" s="104"/>
      <c r="G268" s="104"/>
      <c r="H268" s="104"/>
      <c r="I268" s="104"/>
      <c r="J268" s="138"/>
      <c r="K268" s="138"/>
      <c r="L268" s="138"/>
      <c r="M268" s="138"/>
      <c r="N268" s="138"/>
      <c r="O268" s="138"/>
      <c r="P268" s="104"/>
      <c r="Q268" s="104"/>
      <c r="R268" s="104"/>
      <c r="S268" s="104"/>
      <c r="T268" s="104"/>
      <c r="U268" s="104"/>
      <c r="V268" s="23"/>
      <c r="W268" s="166"/>
      <c r="X268" s="166"/>
      <c r="Y268" s="166"/>
      <c r="Z268" s="166"/>
      <c r="AA268" s="166"/>
      <c r="AB268" s="166"/>
      <c r="AC268" s="166"/>
      <c r="AD268" s="166"/>
      <c r="AE268" s="166"/>
      <c r="AF268" s="166"/>
      <c r="AG268" s="166"/>
      <c r="AH268" s="166"/>
      <c r="AI268" s="166"/>
      <c r="AJ268" s="166"/>
      <c r="AK268" s="166"/>
      <c r="AL268" s="166"/>
      <c r="AM268" s="166"/>
      <c r="AN268" s="166"/>
      <c r="AO268" s="166"/>
      <c r="AP268" s="166"/>
      <c r="AQ268" s="166"/>
      <c r="AR268" s="166"/>
      <c r="AS268" s="166"/>
    </row>
    <row r="269" spans="1:45" s="163" customFormat="1" ht="31.5" customHeight="1">
      <c r="A269" s="69" t="s">
        <v>1698</v>
      </c>
      <c r="B269" s="69" t="s">
        <v>550</v>
      </c>
      <c r="C269" s="69"/>
      <c r="D269" s="69"/>
      <c r="E269" s="69"/>
      <c r="F269" s="69"/>
      <c r="G269" s="69"/>
      <c r="H269" s="69"/>
      <c r="I269" s="69"/>
      <c r="J269" s="69"/>
      <c r="K269" s="69" t="s">
        <v>551</v>
      </c>
      <c r="L269" s="69" t="s">
        <v>580</v>
      </c>
      <c r="M269" s="69"/>
      <c r="N269" s="69" t="s">
        <v>592</v>
      </c>
      <c r="O269" s="69" t="s">
        <v>607</v>
      </c>
      <c r="P269" s="69"/>
      <c r="Q269" s="69"/>
      <c r="R269" s="69"/>
      <c r="S269" s="69"/>
      <c r="T269" s="69"/>
      <c r="U269" s="69"/>
      <c r="V269" s="23">
        <v>0</v>
      </c>
    </row>
    <row r="270" spans="1:45" s="163" customFormat="1" ht="31.5" customHeight="1">
      <c r="A270" s="69" t="s">
        <v>1965</v>
      </c>
      <c r="B270" s="69" t="s">
        <v>554</v>
      </c>
      <c r="C270" s="69"/>
      <c r="D270" s="69"/>
      <c r="E270" s="69"/>
      <c r="F270" s="69"/>
      <c r="G270" s="69"/>
      <c r="H270" s="69"/>
      <c r="I270" s="69"/>
      <c r="J270" s="69"/>
      <c r="K270" s="69" t="s">
        <v>555</v>
      </c>
      <c r="L270" s="69" t="s">
        <v>583</v>
      </c>
      <c r="M270" s="69"/>
      <c r="N270" s="69" t="s">
        <v>595</v>
      </c>
      <c r="O270" s="69" t="s">
        <v>610</v>
      </c>
      <c r="P270" s="69"/>
      <c r="Q270" s="69"/>
      <c r="R270" s="69"/>
      <c r="S270" s="69"/>
      <c r="T270" s="69"/>
      <c r="U270" s="69"/>
      <c r="V270" s="23">
        <v>8</v>
      </c>
    </row>
    <row r="271" spans="1:45" s="163" customFormat="1" ht="31.5" customHeight="1">
      <c r="A271" s="69" t="s">
        <v>1966</v>
      </c>
      <c r="B271" s="69" t="s">
        <v>568</v>
      </c>
      <c r="C271" s="69"/>
      <c r="D271" s="69"/>
      <c r="E271" s="69"/>
      <c r="F271" s="69"/>
      <c r="G271" s="69"/>
      <c r="H271" s="69"/>
      <c r="I271" s="69"/>
      <c r="J271" s="69"/>
      <c r="K271" s="69" t="s">
        <v>569</v>
      </c>
      <c r="L271" s="69" t="s">
        <v>582</v>
      </c>
      <c r="M271" s="69"/>
      <c r="N271" s="69" t="s">
        <v>594</v>
      </c>
      <c r="O271" s="69" t="s">
        <v>609</v>
      </c>
      <c r="P271" s="69"/>
      <c r="Q271" s="69"/>
      <c r="R271" s="69"/>
      <c r="S271" s="69"/>
      <c r="T271" s="69"/>
      <c r="U271" s="69"/>
      <c r="V271" s="23">
        <v>8</v>
      </c>
    </row>
    <row r="272" spans="1:45" s="163" customFormat="1" ht="31.5" customHeight="1">
      <c r="A272" s="69" t="s">
        <v>1699</v>
      </c>
      <c r="B272" s="69" t="s">
        <v>552</v>
      </c>
      <c r="C272" s="69"/>
      <c r="D272" s="69"/>
      <c r="E272" s="69"/>
      <c r="F272" s="69"/>
      <c r="G272" s="69"/>
      <c r="H272" s="69"/>
      <c r="I272" s="69"/>
      <c r="J272" s="69"/>
      <c r="K272" s="69" t="s">
        <v>553</v>
      </c>
      <c r="L272" s="69" t="s">
        <v>581</v>
      </c>
      <c r="M272" s="69"/>
      <c r="N272" s="69" t="s">
        <v>593</v>
      </c>
      <c r="O272" s="69" t="s">
        <v>608</v>
      </c>
      <c r="P272" s="69"/>
      <c r="Q272" s="69"/>
      <c r="R272" s="69"/>
      <c r="S272" s="69"/>
      <c r="T272" s="69"/>
      <c r="U272" s="69"/>
      <c r="V272" s="23">
        <v>28</v>
      </c>
    </row>
    <row r="273" spans="1:45" s="163" customFormat="1" ht="31.5" customHeight="1">
      <c r="A273" s="69" t="s">
        <v>1967</v>
      </c>
      <c r="B273" s="69" t="s">
        <v>570</v>
      </c>
      <c r="C273" s="69"/>
      <c r="D273" s="69"/>
      <c r="E273" s="69"/>
      <c r="F273" s="69"/>
      <c r="G273" s="69"/>
      <c r="H273" s="69"/>
      <c r="I273" s="69"/>
      <c r="J273" s="69"/>
      <c r="K273" s="69" t="s">
        <v>571</v>
      </c>
      <c r="L273" s="69" t="s">
        <v>584</v>
      </c>
      <c r="M273" s="69"/>
      <c r="N273" s="69" t="s">
        <v>596</v>
      </c>
      <c r="O273" s="69" t="s">
        <v>611</v>
      </c>
      <c r="P273" s="69"/>
      <c r="Q273" s="69"/>
      <c r="R273" s="69"/>
      <c r="S273" s="69"/>
      <c r="T273" s="69"/>
      <c r="U273" s="69"/>
      <c r="V273" s="23">
        <v>36</v>
      </c>
    </row>
    <row r="274" spans="1:45" s="163" customFormat="1" ht="31.5" customHeight="1">
      <c r="A274" s="69" t="s">
        <v>1925</v>
      </c>
      <c r="B274" s="69" t="s">
        <v>564</v>
      </c>
      <c r="C274" s="69"/>
      <c r="D274" s="69"/>
      <c r="E274" s="69"/>
      <c r="F274" s="69"/>
      <c r="G274" s="69"/>
      <c r="H274" s="69"/>
      <c r="I274" s="69"/>
      <c r="J274" s="69"/>
      <c r="K274" s="69" t="s">
        <v>565</v>
      </c>
      <c r="L274" s="69" t="s">
        <v>591</v>
      </c>
      <c r="M274" s="69"/>
      <c r="N274" s="69" t="s">
        <v>603</v>
      </c>
      <c r="O274" s="69" t="s">
        <v>617</v>
      </c>
      <c r="P274" s="69"/>
      <c r="Q274" s="69"/>
      <c r="R274" s="69"/>
      <c r="S274" s="69"/>
      <c r="T274" s="69"/>
      <c r="U274" s="69"/>
      <c r="V274" s="23">
        <v>71</v>
      </c>
    </row>
    <row r="275" spans="1:45" s="163" customFormat="1" ht="31.5" customHeight="1">
      <c r="A275" s="69" t="s">
        <v>1926</v>
      </c>
      <c r="B275" s="69" t="s">
        <v>562</v>
      </c>
      <c r="C275" s="69"/>
      <c r="D275" s="69"/>
      <c r="E275" s="69"/>
      <c r="F275" s="69"/>
      <c r="G275" s="69"/>
      <c r="H275" s="69"/>
      <c r="I275" s="69"/>
      <c r="J275" s="69"/>
      <c r="K275" s="69" t="s">
        <v>563</v>
      </c>
      <c r="L275" s="69" t="s">
        <v>590</v>
      </c>
      <c r="M275" s="69"/>
      <c r="N275" s="69" t="s">
        <v>602</v>
      </c>
      <c r="O275" s="69"/>
      <c r="P275" s="69"/>
      <c r="Q275" s="69"/>
      <c r="R275" s="69"/>
      <c r="S275" s="69"/>
      <c r="T275" s="69"/>
      <c r="U275" s="69"/>
      <c r="V275" s="23">
        <v>71</v>
      </c>
    </row>
    <row r="276" spans="1:45" s="163" customFormat="1" ht="31.5" customHeight="1">
      <c r="A276" s="69" t="s">
        <v>1968</v>
      </c>
      <c r="B276" s="69" t="s">
        <v>566</v>
      </c>
      <c r="C276" s="69"/>
      <c r="D276" s="69"/>
      <c r="E276" s="69"/>
      <c r="F276" s="69"/>
      <c r="G276" s="69"/>
      <c r="H276" s="69"/>
      <c r="I276" s="69"/>
      <c r="J276" s="69"/>
      <c r="K276" s="69" t="s">
        <v>567</v>
      </c>
      <c r="L276" s="69"/>
      <c r="M276" s="69"/>
      <c r="N276" s="69" t="s">
        <v>604</v>
      </c>
      <c r="O276" s="69"/>
      <c r="P276" s="69"/>
      <c r="Q276" s="69"/>
      <c r="R276" s="69"/>
      <c r="S276" s="69"/>
      <c r="T276" s="69"/>
      <c r="U276" s="69"/>
      <c r="V276" s="23">
        <v>79</v>
      </c>
    </row>
    <row r="277" spans="1:45" s="163" customFormat="1" ht="31.5" customHeight="1">
      <c r="A277" s="142" t="s">
        <v>1702</v>
      </c>
      <c r="B277" s="69" t="s">
        <v>560</v>
      </c>
      <c r="C277" s="69"/>
      <c r="D277" s="69"/>
      <c r="E277" s="69"/>
      <c r="F277" s="69"/>
      <c r="G277" s="69"/>
      <c r="H277" s="69"/>
      <c r="I277" s="69"/>
      <c r="J277" s="69"/>
      <c r="K277" s="69" t="s">
        <v>561</v>
      </c>
      <c r="L277" s="69" t="s">
        <v>587</v>
      </c>
      <c r="M277" s="69"/>
      <c r="N277" s="69" t="s">
        <v>599</v>
      </c>
      <c r="O277" s="69" t="s">
        <v>614</v>
      </c>
      <c r="P277" s="69"/>
      <c r="Q277" s="69"/>
      <c r="R277" s="69"/>
      <c r="S277" s="69"/>
      <c r="T277" s="69"/>
      <c r="U277" s="69"/>
      <c r="V277" s="23">
        <v>117</v>
      </c>
    </row>
    <row r="278" spans="1:45" s="163" customFormat="1" ht="31.5" customHeight="1">
      <c r="A278" s="142" t="s">
        <v>1900</v>
      </c>
      <c r="B278" s="69" t="s">
        <v>556</v>
      </c>
      <c r="C278" s="69"/>
      <c r="D278" s="69"/>
      <c r="E278" s="69"/>
      <c r="F278" s="69"/>
      <c r="G278" s="69"/>
      <c r="H278" s="69"/>
      <c r="I278" s="69"/>
      <c r="J278" s="69"/>
      <c r="K278" s="69" t="s">
        <v>557</v>
      </c>
      <c r="L278" s="69" t="s">
        <v>585</v>
      </c>
      <c r="M278" s="69"/>
      <c r="N278" s="69" t="s">
        <v>597</v>
      </c>
      <c r="O278" s="69" t="s">
        <v>612</v>
      </c>
      <c r="P278" s="69"/>
      <c r="Q278" s="69"/>
      <c r="R278" s="69"/>
      <c r="S278" s="69"/>
      <c r="T278" s="69"/>
      <c r="U278" s="69"/>
      <c r="V278" s="23">
        <v>117</v>
      </c>
    </row>
    <row r="279" spans="1:45" s="163" customFormat="1" ht="31.5" customHeight="1">
      <c r="A279" s="69" t="s">
        <v>1969</v>
      </c>
      <c r="B279" s="69" t="s">
        <v>572</v>
      </c>
      <c r="C279" s="69"/>
      <c r="D279" s="69"/>
      <c r="E279" s="69"/>
      <c r="F279" s="69"/>
      <c r="G279" s="69"/>
      <c r="H279" s="69"/>
      <c r="I279" s="69"/>
      <c r="J279" s="69"/>
      <c r="K279" s="69" t="s">
        <v>573</v>
      </c>
      <c r="L279" s="69" t="s">
        <v>588</v>
      </c>
      <c r="M279" s="69"/>
      <c r="N279" s="69" t="s">
        <v>600</v>
      </c>
      <c r="O279" s="69" t="s">
        <v>615</v>
      </c>
      <c r="P279" s="69"/>
      <c r="Q279" s="69"/>
      <c r="R279" s="69"/>
      <c r="S279" s="69"/>
      <c r="T279" s="69"/>
      <c r="U279" s="69"/>
      <c r="V279" s="23">
        <v>125</v>
      </c>
    </row>
    <row r="280" spans="1:45" s="163" customFormat="1" ht="31.5" customHeight="1">
      <c r="A280" s="142" t="s">
        <v>1927</v>
      </c>
      <c r="B280" s="69" t="s">
        <v>558</v>
      </c>
      <c r="C280" s="69"/>
      <c r="D280" s="69"/>
      <c r="E280" s="69"/>
      <c r="F280" s="69"/>
      <c r="G280" s="69"/>
      <c r="H280" s="69"/>
      <c r="I280" s="69"/>
      <c r="J280" s="69"/>
      <c r="K280" s="69" t="s">
        <v>559</v>
      </c>
      <c r="L280" s="69" t="s">
        <v>586</v>
      </c>
      <c r="M280" s="69"/>
      <c r="N280" s="69" t="s">
        <v>598</v>
      </c>
      <c r="O280" s="69" t="s">
        <v>613</v>
      </c>
      <c r="P280" s="69"/>
      <c r="Q280" s="69"/>
      <c r="R280" s="69"/>
      <c r="S280" s="69"/>
      <c r="T280" s="69"/>
      <c r="U280" s="69"/>
      <c r="V280" s="23">
        <v>150</v>
      </c>
    </row>
    <row r="281" spans="1:45" s="163" customFormat="1" ht="31.5" customHeight="1">
      <c r="A281" s="69" t="s">
        <v>1928</v>
      </c>
      <c r="B281" s="69" t="s">
        <v>574</v>
      </c>
      <c r="C281" s="69"/>
      <c r="D281" s="69"/>
      <c r="E281" s="69"/>
      <c r="F281" s="69"/>
      <c r="G281" s="69"/>
      <c r="H281" s="69"/>
      <c r="I281" s="69"/>
      <c r="J281" s="69"/>
      <c r="K281" s="69" t="s">
        <v>575</v>
      </c>
      <c r="L281" s="69" t="s">
        <v>589</v>
      </c>
      <c r="M281" s="69"/>
      <c r="N281" s="69" t="s">
        <v>601</v>
      </c>
      <c r="O281" s="69" t="s">
        <v>616</v>
      </c>
      <c r="P281" s="69"/>
      <c r="Q281" s="69"/>
      <c r="R281" s="69"/>
      <c r="S281" s="69"/>
      <c r="T281" s="69"/>
      <c r="U281" s="69"/>
      <c r="V281" s="23">
        <v>158</v>
      </c>
    </row>
    <row r="282" spans="1:45" s="163" customFormat="1" ht="31.5" customHeight="1">
      <c r="A282" s="69" t="s">
        <v>1929</v>
      </c>
      <c r="B282" s="69" t="s">
        <v>576</v>
      </c>
      <c r="C282" s="69"/>
      <c r="D282" s="69"/>
      <c r="E282" s="69"/>
      <c r="F282" s="69"/>
      <c r="G282" s="69"/>
      <c r="H282" s="69"/>
      <c r="I282" s="69"/>
      <c r="J282" s="69"/>
      <c r="K282" s="69"/>
      <c r="L282" s="69" t="s">
        <v>577</v>
      </c>
      <c r="M282" s="69"/>
      <c r="N282" s="69"/>
      <c r="O282" s="69" t="s">
        <v>605</v>
      </c>
      <c r="P282" s="69"/>
      <c r="Q282" s="69"/>
      <c r="R282" s="69"/>
      <c r="S282" s="69"/>
      <c r="T282" s="69"/>
      <c r="U282" s="69"/>
      <c r="V282" s="23">
        <v>62</v>
      </c>
    </row>
    <row r="283" spans="1:45" s="163" customFormat="1" ht="31.5" customHeight="1">
      <c r="A283" s="69" t="s">
        <v>1970</v>
      </c>
      <c r="B283" s="69" t="s">
        <v>578</v>
      </c>
      <c r="C283" s="69"/>
      <c r="D283" s="69"/>
      <c r="E283" s="69"/>
      <c r="F283" s="69"/>
      <c r="G283" s="69"/>
      <c r="H283" s="69"/>
      <c r="I283" s="69"/>
      <c r="J283" s="69"/>
      <c r="K283" s="69"/>
      <c r="L283" s="69" t="s">
        <v>579</v>
      </c>
      <c r="M283" s="69"/>
      <c r="N283" s="69"/>
      <c r="O283" s="69" t="s">
        <v>606</v>
      </c>
      <c r="P283" s="69"/>
      <c r="Q283" s="69"/>
      <c r="R283" s="69"/>
      <c r="S283" s="69"/>
      <c r="T283" s="69"/>
      <c r="U283" s="69"/>
      <c r="V283" s="23">
        <v>70</v>
      </c>
    </row>
    <row r="284" spans="1:45" s="163" customFormat="1">
      <c r="A284" s="29"/>
      <c r="B284" s="29"/>
      <c r="C284" s="29"/>
      <c r="D284" s="29"/>
      <c r="E284" s="29"/>
      <c r="F284" s="29"/>
      <c r="G284" s="29"/>
      <c r="H284" s="29"/>
      <c r="I284" s="29"/>
      <c r="J284" s="29"/>
      <c r="K284" s="29"/>
      <c r="L284" s="29"/>
      <c r="M284" s="29"/>
      <c r="N284" s="29"/>
      <c r="O284" s="29"/>
      <c r="P284" s="29"/>
      <c r="Q284" s="29"/>
      <c r="R284" s="29"/>
      <c r="S284" s="29"/>
      <c r="T284" s="29"/>
      <c r="U284" s="29"/>
      <c r="V284" s="29"/>
    </row>
    <row r="285" spans="1:45" s="163" customFormat="1">
      <c r="A285" s="98" t="s">
        <v>618</v>
      </c>
      <c r="B285" s="103"/>
      <c r="C285" s="103"/>
      <c r="D285" s="103"/>
      <c r="E285" s="226"/>
      <c r="F285" s="226"/>
      <c r="G285" s="226"/>
      <c r="H285" s="226"/>
      <c r="I285" s="226"/>
      <c r="J285" s="226"/>
      <c r="K285" s="226"/>
      <c r="L285" s="226"/>
      <c r="M285" s="226"/>
      <c r="N285" s="226"/>
      <c r="O285" s="226"/>
      <c r="P285" s="226"/>
      <c r="Q285" s="226"/>
      <c r="R285" s="226"/>
      <c r="S285" s="226"/>
      <c r="T285" s="226"/>
      <c r="U285" s="226"/>
      <c r="V285" s="126"/>
      <c r="W285" s="166"/>
      <c r="X285" s="166"/>
      <c r="Y285" s="166"/>
      <c r="Z285" s="166"/>
      <c r="AA285" s="166"/>
      <c r="AB285" s="166"/>
      <c r="AC285" s="166"/>
      <c r="AD285" s="166"/>
      <c r="AE285" s="166"/>
      <c r="AF285" s="166"/>
      <c r="AG285" s="166"/>
      <c r="AH285" s="166"/>
      <c r="AI285" s="166"/>
      <c r="AJ285" s="166"/>
      <c r="AK285" s="166"/>
      <c r="AL285" s="166"/>
      <c r="AM285" s="166"/>
      <c r="AN285" s="166"/>
      <c r="AO285" s="166"/>
      <c r="AP285" s="166"/>
      <c r="AQ285" s="166"/>
      <c r="AR285" s="166"/>
      <c r="AS285" s="166"/>
    </row>
    <row r="286" spans="1:45" s="177" customFormat="1">
      <c r="A286" s="69"/>
      <c r="B286" s="69"/>
      <c r="C286" s="40"/>
      <c r="D286" s="40"/>
      <c r="E286" s="48"/>
      <c r="F286" s="48"/>
      <c r="G286" s="48"/>
      <c r="H286" s="48"/>
      <c r="I286" s="48"/>
      <c r="J286" s="48"/>
      <c r="K286" s="48"/>
      <c r="L286" s="48"/>
      <c r="M286" s="48"/>
      <c r="N286" s="48"/>
      <c r="O286" s="48"/>
      <c r="P286" s="48"/>
      <c r="Q286" s="48"/>
      <c r="R286" s="48"/>
      <c r="S286" s="48"/>
      <c r="T286" s="48"/>
      <c r="U286" s="48"/>
      <c r="V286" s="28"/>
      <c r="W286" s="172"/>
      <c r="X286" s="172"/>
      <c r="Y286" s="172"/>
      <c r="Z286" s="172"/>
      <c r="AA286" s="172"/>
      <c r="AB286" s="172"/>
      <c r="AC286" s="172"/>
      <c r="AD286" s="172"/>
      <c r="AE286" s="172"/>
      <c r="AF286" s="172"/>
      <c r="AG286" s="172"/>
      <c r="AH286" s="172"/>
      <c r="AI286" s="172"/>
      <c r="AJ286" s="172"/>
      <c r="AK286" s="172"/>
      <c r="AL286" s="172"/>
      <c r="AM286" s="172"/>
      <c r="AN286" s="172"/>
      <c r="AO286" s="172"/>
      <c r="AP286" s="172"/>
      <c r="AQ286" s="172"/>
      <c r="AR286" s="172"/>
      <c r="AS286" s="172"/>
    </row>
    <row r="287" spans="1:45" s="177" customFormat="1" ht="31.5" customHeight="1">
      <c r="A287" s="69" t="s">
        <v>1700</v>
      </c>
      <c r="B287" s="69" t="s">
        <v>619</v>
      </c>
      <c r="C287" s="69"/>
      <c r="D287" s="69"/>
      <c r="E287" s="69"/>
      <c r="F287" s="69"/>
      <c r="G287" s="69"/>
      <c r="H287" s="69"/>
      <c r="I287" s="69"/>
      <c r="J287" s="69"/>
      <c r="K287" s="69"/>
      <c r="L287" s="69"/>
      <c r="M287" s="69"/>
      <c r="N287" s="69"/>
      <c r="O287" s="69"/>
      <c r="P287" s="69"/>
      <c r="Q287" s="69" t="s">
        <v>653</v>
      </c>
      <c r="R287" s="69" t="s">
        <v>665</v>
      </c>
      <c r="S287" s="69"/>
      <c r="T287" s="69" t="s">
        <v>620</v>
      </c>
      <c r="U287" s="69" t="s">
        <v>643</v>
      </c>
      <c r="V287" s="23">
        <v>0</v>
      </c>
    </row>
    <row r="288" spans="1:45" s="177" customFormat="1" ht="31.5" customHeight="1">
      <c r="A288" s="69" t="s">
        <v>1932</v>
      </c>
      <c r="B288" s="69" t="s">
        <v>623</v>
      </c>
      <c r="C288" s="69"/>
      <c r="D288" s="69"/>
      <c r="E288" s="69"/>
      <c r="F288" s="69"/>
      <c r="G288" s="69"/>
      <c r="H288" s="69"/>
      <c r="I288" s="69"/>
      <c r="J288" s="69"/>
      <c r="K288" s="69"/>
      <c r="L288" s="69"/>
      <c r="M288" s="69"/>
      <c r="N288" s="69"/>
      <c r="O288" s="69"/>
      <c r="P288" s="69"/>
      <c r="Q288" s="69" t="s">
        <v>655</v>
      </c>
      <c r="R288" s="69" t="s">
        <v>667</v>
      </c>
      <c r="S288" s="69"/>
      <c r="T288" s="69" t="s">
        <v>624</v>
      </c>
      <c r="U288" s="69" t="s">
        <v>645</v>
      </c>
      <c r="V288" s="23">
        <v>8</v>
      </c>
    </row>
    <row r="289" spans="1:45" s="177" customFormat="1" ht="31.5" customHeight="1">
      <c r="A289" s="69" t="s">
        <v>1933</v>
      </c>
      <c r="B289" s="69" t="s">
        <v>625</v>
      </c>
      <c r="C289" s="69"/>
      <c r="D289" s="69"/>
      <c r="E289" s="69"/>
      <c r="F289" s="69"/>
      <c r="G289" s="69"/>
      <c r="H289" s="69"/>
      <c r="I289" s="69"/>
      <c r="J289" s="69"/>
      <c r="K289" s="69"/>
      <c r="L289" s="69"/>
      <c r="M289" s="69"/>
      <c r="N289" s="69"/>
      <c r="O289" s="69"/>
      <c r="P289" s="69"/>
      <c r="Q289" s="69" t="s">
        <v>661</v>
      </c>
      <c r="R289" s="69" t="s">
        <v>668</v>
      </c>
      <c r="S289" s="69"/>
      <c r="T289" s="69" t="s">
        <v>626</v>
      </c>
      <c r="U289" s="69" t="s">
        <v>646</v>
      </c>
      <c r="V289" s="23">
        <v>0</v>
      </c>
    </row>
    <row r="290" spans="1:45" s="177" customFormat="1" ht="31.5" customHeight="1">
      <c r="A290" s="69" t="s">
        <v>1931</v>
      </c>
      <c r="B290" s="69" t="s">
        <v>621</v>
      </c>
      <c r="C290" s="69"/>
      <c r="D290" s="69"/>
      <c r="E290" s="69"/>
      <c r="F290" s="69"/>
      <c r="G290" s="69"/>
      <c r="H290" s="69"/>
      <c r="I290" s="69"/>
      <c r="J290" s="69"/>
      <c r="K290" s="69"/>
      <c r="L290" s="69"/>
      <c r="M290" s="69"/>
      <c r="N290" s="69"/>
      <c r="O290" s="69"/>
      <c r="P290" s="69"/>
      <c r="Q290" s="69" t="s">
        <v>654</v>
      </c>
      <c r="R290" s="69" t="s">
        <v>666</v>
      </c>
      <c r="S290" s="69"/>
      <c r="T290" s="69" t="s">
        <v>622</v>
      </c>
      <c r="U290" s="69" t="s">
        <v>644</v>
      </c>
      <c r="V290" s="23">
        <v>30</v>
      </c>
    </row>
    <row r="291" spans="1:45" s="177" customFormat="1" ht="31.5" customHeight="1">
      <c r="A291" s="69" t="s">
        <v>1930</v>
      </c>
      <c r="B291" s="69" t="s">
        <v>627</v>
      </c>
      <c r="C291" s="69"/>
      <c r="D291" s="69"/>
      <c r="E291" s="69"/>
      <c r="F291" s="69"/>
      <c r="G291" s="69"/>
      <c r="H291" s="69"/>
      <c r="I291" s="69"/>
      <c r="J291" s="69"/>
      <c r="K291" s="69"/>
      <c r="L291" s="69"/>
      <c r="M291" s="69"/>
      <c r="N291" s="69"/>
      <c r="O291" s="69"/>
      <c r="P291" s="69"/>
      <c r="Q291" s="69" t="s">
        <v>662</v>
      </c>
      <c r="R291" s="69" t="s">
        <v>669</v>
      </c>
      <c r="S291" s="69"/>
      <c r="T291" s="69" t="s">
        <v>628</v>
      </c>
      <c r="U291" s="69" t="s">
        <v>647</v>
      </c>
      <c r="V291" s="23">
        <v>38</v>
      </c>
    </row>
    <row r="292" spans="1:45" s="177" customFormat="1" ht="31.5" customHeight="1">
      <c r="A292" s="69" t="s">
        <v>1934</v>
      </c>
      <c r="B292" s="69" t="s">
        <v>635</v>
      </c>
      <c r="C292" s="69"/>
      <c r="D292" s="69"/>
      <c r="E292" s="69"/>
      <c r="F292" s="69"/>
      <c r="G292" s="69"/>
      <c r="H292" s="69"/>
      <c r="I292" s="69"/>
      <c r="J292" s="69"/>
      <c r="K292" s="69"/>
      <c r="L292" s="69"/>
      <c r="M292" s="69"/>
      <c r="N292" s="69"/>
      <c r="O292" s="69"/>
      <c r="P292" s="69"/>
      <c r="Q292" s="69" t="s">
        <v>659</v>
      </c>
      <c r="R292" s="69" t="s">
        <v>673</v>
      </c>
      <c r="S292" s="69"/>
      <c r="T292" s="69" t="s">
        <v>636</v>
      </c>
      <c r="U292" s="69" t="s">
        <v>651</v>
      </c>
      <c r="V292" s="23">
        <v>74</v>
      </c>
    </row>
    <row r="293" spans="1:45" s="177" customFormat="1" ht="31.5" customHeight="1">
      <c r="A293" s="69" t="s">
        <v>1971</v>
      </c>
      <c r="B293" s="69" t="s">
        <v>637</v>
      </c>
      <c r="C293" s="69"/>
      <c r="D293" s="69"/>
      <c r="E293" s="69"/>
      <c r="F293" s="69"/>
      <c r="G293" s="69"/>
      <c r="H293" s="69"/>
      <c r="I293" s="69"/>
      <c r="J293" s="69"/>
      <c r="K293" s="69"/>
      <c r="L293" s="69"/>
      <c r="M293" s="69"/>
      <c r="N293" s="69"/>
      <c r="O293" s="69"/>
      <c r="P293" s="69"/>
      <c r="Q293" s="69" t="s">
        <v>660</v>
      </c>
      <c r="R293" s="69" t="s">
        <v>674</v>
      </c>
      <c r="S293" s="69"/>
      <c r="T293" s="69" t="s">
        <v>638</v>
      </c>
      <c r="U293" s="69" t="s">
        <v>652</v>
      </c>
      <c r="V293" s="23">
        <v>82</v>
      </c>
    </row>
    <row r="294" spans="1:45" s="177" customFormat="1" ht="31.5" customHeight="1">
      <c r="A294" s="69" t="s">
        <v>1935</v>
      </c>
      <c r="B294" s="69" t="s">
        <v>631</v>
      </c>
      <c r="C294" s="69"/>
      <c r="D294" s="69"/>
      <c r="E294" s="69"/>
      <c r="F294" s="69"/>
      <c r="G294" s="69"/>
      <c r="H294" s="69"/>
      <c r="I294" s="69"/>
      <c r="J294" s="69"/>
      <c r="K294" s="69"/>
      <c r="L294" s="69"/>
      <c r="M294" s="69"/>
      <c r="N294" s="69"/>
      <c r="O294" s="69"/>
      <c r="P294" s="69"/>
      <c r="Q294" s="69" t="s">
        <v>657</v>
      </c>
      <c r="R294" s="69" t="s">
        <v>671</v>
      </c>
      <c r="S294" s="69"/>
      <c r="T294" s="69" t="s">
        <v>632</v>
      </c>
      <c r="U294" s="69" t="s">
        <v>649</v>
      </c>
      <c r="V294" s="23">
        <v>143</v>
      </c>
    </row>
    <row r="295" spans="1:45" s="177" customFormat="1" ht="31.5" customHeight="1">
      <c r="A295" s="69" t="s">
        <v>1936</v>
      </c>
      <c r="B295" s="69" t="s">
        <v>629</v>
      </c>
      <c r="C295" s="69"/>
      <c r="D295" s="69"/>
      <c r="E295" s="69"/>
      <c r="F295" s="69"/>
      <c r="G295" s="69"/>
      <c r="H295" s="69"/>
      <c r="I295" s="69"/>
      <c r="J295" s="69"/>
      <c r="K295" s="69"/>
      <c r="L295" s="69"/>
      <c r="M295" s="69"/>
      <c r="N295" s="69"/>
      <c r="O295" s="69"/>
      <c r="P295" s="69"/>
      <c r="Q295" s="69" t="s">
        <v>656</v>
      </c>
      <c r="R295" s="69" t="s">
        <v>670</v>
      </c>
      <c r="S295" s="69"/>
      <c r="T295" s="69" t="s">
        <v>630</v>
      </c>
      <c r="U295" s="69" t="s">
        <v>648</v>
      </c>
      <c r="V295" s="23">
        <v>143</v>
      </c>
    </row>
    <row r="296" spans="1:45" s="177" customFormat="1" ht="31.5" customHeight="1">
      <c r="A296" s="69" t="s">
        <v>1937</v>
      </c>
      <c r="B296" s="69" t="s">
        <v>633</v>
      </c>
      <c r="C296" s="69"/>
      <c r="D296" s="69"/>
      <c r="E296" s="69"/>
      <c r="F296" s="69"/>
      <c r="G296" s="69"/>
      <c r="H296" s="69"/>
      <c r="I296" s="69"/>
      <c r="J296" s="69"/>
      <c r="K296" s="69"/>
      <c r="L296" s="69"/>
      <c r="M296" s="69"/>
      <c r="N296" s="69"/>
      <c r="O296" s="69"/>
      <c r="P296" s="69"/>
      <c r="Q296" s="69" t="s">
        <v>658</v>
      </c>
      <c r="R296" s="69" t="s">
        <v>672</v>
      </c>
      <c r="S296" s="69"/>
      <c r="T296" s="69" t="s">
        <v>634</v>
      </c>
      <c r="U296" s="69" t="s">
        <v>650</v>
      </c>
      <c r="V296" s="23">
        <v>151</v>
      </c>
    </row>
    <row r="297" spans="1:45" s="177" customFormat="1" ht="31.5" customHeight="1">
      <c r="A297" s="69" t="s">
        <v>1701</v>
      </c>
      <c r="B297" s="69" t="s">
        <v>639</v>
      </c>
      <c r="C297" s="69"/>
      <c r="D297" s="69"/>
      <c r="E297" s="69"/>
      <c r="F297" s="69"/>
      <c r="G297" s="69"/>
      <c r="H297" s="69"/>
      <c r="I297" s="69"/>
      <c r="J297" s="69"/>
      <c r="K297" s="69"/>
      <c r="L297" s="69"/>
      <c r="M297" s="69"/>
      <c r="N297" s="69"/>
      <c r="O297" s="69"/>
      <c r="P297" s="69"/>
      <c r="Q297" s="69"/>
      <c r="R297" s="69" t="s">
        <v>663</v>
      </c>
      <c r="S297" s="69"/>
      <c r="T297" s="69"/>
      <c r="U297" s="69" t="s">
        <v>640</v>
      </c>
      <c r="V297" s="23">
        <v>105</v>
      </c>
    </row>
    <row r="298" spans="1:45" s="177" customFormat="1" ht="31.5" customHeight="1">
      <c r="A298" s="69" t="s">
        <v>1938</v>
      </c>
      <c r="B298" s="69" t="s">
        <v>641</v>
      </c>
      <c r="C298" s="69"/>
      <c r="D298" s="69"/>
      <c r="E298" s="69"/>
      <c r="F298" s="69"/>
      <c r="G298" s="69"/>
      <c r="H298" s="69"/>
      <c r="I298" s="69"/>
      <c r="J298" s="69"/>
      <c r="K298" s="69"/>
      <c r="L298" s="69"/>
      <c r="M298" s="69"/>
      <c r="N298" s="69"/>
      <c r="O298" s="69"/>
      <c r="P298" s="69"/>
      <c r="Q298" s="69"/>
      <c r="R298" s="69" t="s">
        <v>664</v>
      </c>
      <c r="S298" s="69"/>
      <c r="T298" s="69"/>
      <c r="U298" s="69" t="s">
        <v>642</v>
      </c>
      <c r="V298" s="23">
        <v>113</v>
      </c>
    </row>
    <row r="299" spans="1:45" s="177" customFormat="1">
      <c r="A299" s="69"/>
      <c r="B299" s="69"/>
      <c r="C299" s="40"/>
      <c r="D299" s="40"/>
      <c r="E299" s="48"/>
      <c r="F299" s="48"/>
      <c r="G299" s="48"/>
      <c r="H299" s="48"/>
      <c r="I299" s="48"/>
      <c r="J299" s="48"/>
      <c r="K299" s="48"/>
      <c r="L299" s="48"/>
      <c r="M299" s="48"/>
      <c r="N299" s="48"/>
      <c r="O299" s="48"/>
      <c r="P299" s="48"/>
      <c r="Q299" s="48"/>
      <c r="R299" s="48"/>
      <c r="S299" s="48"/>
      <c r="T299" s="48"/>
      <c r="U299" s="48"/>
      <c r="V299" s="28"/>
      <c r="W299" s="172"/>
      <c r="X299" s="172"/>
      <c r="Y299" s="172"/>
      <c r="Z299" s="172"/>
      <c r="AA299" s="172"/>
      <c r="AB299" s="172"/>
      <c r="AC299" s="172"/>
      <c r="AD299" s="172"/>
      <c r="AE299" s="172"/>
      <c r="AF299" s="172"/>
      <c r="AG299" s="172"/>
      <c r="AH299" s="172"/>
      <c r="AI299" s="172"/>
      <c r="AJ299" s="172"/>
      <c r="AK299" s="172"/>
      <c r="AL299" s="172"/>
      <c r="AM299" s="172"/>
      <c r="AN299" s="172"/>
      <c r="AO299" s="172"/>
      <c r="AP299" s="172"/>
      <c r="AQ299" s="172"/>
      <c r="AR299" s="172"/>
      <c r="AS299" s="172"/>
    </row>
    <row r="300" spans="1:45" s="177" customFormat="1">
      <c r="A300" s="98" t="s">
        <v>228</v>
      </c>
      <c r="B300" s="103"/>
      <c r="C300" s="103"/>
      <c r="D300" s="103"/>
      <c r="E300" s="226"/>
      <c r="F300" s="226"/>
      <c r="G300" s="226"/>
      <c r="H300" s="226"/>
      <c r="I300" s="226"/>
      <c r="J300" s="226"/>
      <c r="K300" s="226"/>
      <c r="L300" s="226"/>
      <c r="M300" s="226"/>
      <c r="N300" s="226"/>
      <c r="O300" s="226"/>
      <c r="P300" s="226"/>
      <c r="Q300" s="226"/>
      <c r="R300" s="226"/>
      <c r="S300" s="223"/>
      <c r="T300" s="223"/>
      <c r="U300" s="223"/>
      <c r="V300" s="126"/>
      <c r="W300" s="172"/>
      <c r="X300" s="172"/>
      <c r="Y300" s="172"/>
      <c r="Z300" s="172"/>
      <c r="AA300" s="172"/>
      <c r="AB300" s="172"/>
      <c r="AC300" s="172"/>
      <c r="AD300" s="172"/>
      <c r="AE300" s="172"/>
      <c r="AF300" s="172"/>
      <c r="AG300" s="172"/>
      <c r="AH300" s="172"/>
      <c r="AI300" s="172"/>
      <c r="AJ300" s="172"/>
      <c r="AK300" s="172"/>
      <c r="AL300" s="172"/>
      <c r="AM300" s="172"/>
      <c r="AN300" s="172"/>
      <c r="AO300" s="172"/>
      <c r="AP300" s="172"/>
      <c r="AQ300" s="172"/>
      <c r="AR300" s="172"/>
      <c r="AS300" s="172"/>
    </row>
    <row r="301" spans="1:45" s="163" customFormat="1" ht="14.4">
      <c r="A301" s="69" t="s">
        <v>675</v>
      </c>
      <c r="B301" s="69" t="s">
        <v>676</v>
      </c>
      <c r="C301" s="40"/>
      <c r="D301" s="40"/>
      <c r="E301" s="48"/>
      <c r="F301" s="339" t="s">
        <v>677</v>
      </c>
      <c r="G301" s="48"/>
      <c r="H301" s="339" t="s">
        <v>678</v>
      </c>
      <c r="I301" s="339" t="s">
        <v>679</v>
      </c>
      <c r="J301" s="48"/>
      <c r="K301" s="339" t="s">
        <v>680</v>
      </c>
      <c r="L301" s="339" t="s">
        <v>681</v>
      </c>
      <c r="M301" s="48"/>
      <c r="N301" s="339"/>
      <c r="O301" s="339" t="s">
        <v>682</v>
      </c>
      <c r="P301" s="48"/>
      <c r="Q301" s="339" t="s">
        <v>683</v>
      </c>
      <c r="R301" s="339" t="s">
        <v>684</v>
      </c>
      <c r="S301" s="48"/>
      <c r="T301" s="339" t="s">
        <v>685</v>
      </c>
      <c r="U301" s="339" t="s">
        <v>686</v>
      </c>
      <c r="V301" s="28">
        <v>82</v>
      </c>
      <c r="W301" s="166"/>
      <c r="X301" s="166"/>
      <c r="Y301" s="166"/>
      <c r="Z301" s="166"/>
      <c r="AA301" s="166"/>
      <c r="AB301" s="166"/>
      <c r="AC301" s="166"/>
      <c r="AD301" s="166"/>
      <c r="AE301" s="166"/>
      <c r="AF301" s="166"/>
      <c r="AG301" s="166"/>
      <c r="AH301" s="166"/>
      <c r="AI301" s="166"/>
      <c r="AJ301" s="166"/>
      <c r="AK301" s="166"/>
      <c r="AL301" s="166"/>
      <c r="AM301" s="166"/>
      <c r="AN301" s="166"/>
      <c r="AO301" s="166"/>
      <c r="AP301" s="166"/>
      <c r="AQ301" s="166"/>
      <c r="AR301" s="166"/>
      <c r="AS301" s="166"/>
    </row>
    <row r="302" spans="1:45" s="163" customFormat="1">
      <c r="A302" s="22"/>
      <c r="B302" s="22"/>
      <c r="C302" s="22"/>
      <c r="D302" s="22"/>
      <c r="E302" s="155"/>
      <c r="F302" s="155"/>
      <c r="G302" s="155"/>
      <c r="H302" s="155"/>
      <c r="I302" s="155"/>
      <c r="J302" s="155"/>
      <c r="K302" s="155"/>
      <c r="L302" s="155"/>
      <c r="M302" s="155"/>
      <c r="N302" s="155"/>
      <c r="O302" s="155"/>
      <c r="P302" s="155"/>
      <c r="Q302" s="155"/>
      <c r="R302" s="155"/>
      <c r="S302" s="155"/>
      <c r="T302" s="155"/>
      <c r="U302" s="155"/>
      <c r="V302" s="28"/>
      <c r="W302" s="166"/>
      <c r="X302" s="166"/>
      <c r="Y302" s="166"/>
      <c r="Z302" s="166"/>
      <c r="AA302" s="166"/>
      <c r="AB302" s="166"/>
      <c r="AC302" s="166"/>
      <c r="AD302" s="166"/>
      <c r="AE302" s="166"/>
      <c r="AF302" s="166"/>
      <c r="AG302" s="166"/>
      <c r="AH302" s="166"/>
      <c r="AI302" s="166"/>
      <c r="AJ302" s="166"/>
      <c r="AK302" s="166"/>
      <c r="AL302" s="166"/>
      <c r="AM302" s="166"/>
      <c r="AN302" s="166"/>
      <c r="AO302" s="166"/>
      <c r="AP302" s="166"/>
      <c r="AQ302" s="166"/>
      <c r="AR302" s="166"/>
      <c r="AS302" s="166"/>
    </row>
    <row r="303" spans="1:45" s="177" customFormat="1">
      <c r="A303" s="98" t="s">
        <v>688</v>
      </c>
      <c r="B303" s="103"/>
      <c r="C303" s="103"/>
      <c r="D303" s="103"/>
      <c r="E303" s="226"/>
      <c r="F303" s="226"/>
      <c r="G303" s="226"/>
      <c r="H303" s="226"/>
      <c r="I303" s="226"/>
      <c r="J303" s="226"/>
      <c r="K303" s="226"/>
      <c r="L303" s="226"/>
      <c r="M303" s="226"/>
      <c r="N303" s="226"/>
      <c r="O303" s="226"/>
      <c r="P303" s="226"/>
      <c r="Q303" s="226"/>
      <c r="R303" s="226"/>
      <c r="S303" s="223"/>
      <c r="T303" s="223"/>
      <c r="U303" s="226"/>
      <c r="V303" s="126"/>
      <c r="W303" s="172"/>
      <c r="X303" s="172"/>
      <c r="Y303" s="172"/>
      <c r="Z303" s="172"/>
      <c r="AA303" s="172"/>
      <c r="AB303" s="172"/>
      <c r="AC303" s="172"/>
      <c r="AD303" s="172"/>
      <c r="AE303" s="172"/>
      <c r="AF303" s="172"/>
      <c r="AG303" s="172"/>
      <c r="AH303" s="172"/>
      <c r="AI303" s="172"/>
      <c r="AJ303" s="172"/>
      <c r="AK303" s="172"/>
      <c r="AL303" s="172"/>
      <c r="AM303" s="172"/>
      <c r="AN303" s="172"/>
      <c r="AO303" s="172"/>
      <c r="AP303" s="172"/>
      <c r="AQ303" s="172"/>
      <c r="AR303" s="172"/>
      <c r="AS303" s="172"/>
    </row>
    <row r="304" spans="1:45" s="177" customFormat="1" ht="14.4">
      <c r="A304" s="69" t="s">
        <v>247</v>
      </c>
      <c r="B304" s="69" t="s">
        <v>369</v>
      </c>
      <c r="C304" s="40"/>
      <c r="D304" s="40"/>
      <c r="E304" s="48"/>
      <c r="F304" s="339" t="s">
        <v>689</v>
      </c>
      <c r="G304" s="48"/>
      <c r="H304" s="339" t="s">
        <v>690</v>
      </c>
      <c r="I304" s="339" t="s">
        <v>691</v>
      </c>
      <c r="J304" s="48"/>
      <c r="K304" s="339" t="s">
        <v>692</v>
      </c>
      <c r="L304" s="339" t="s">
        <v>693</v>
      </c>
      <c r="M304" s="48"/>
      <c r="N304" s="339" t="s">
        <v>694</v>
      </c>
      <c r="O304" s="339" t="s">
        <v>695</v>
      </c>
      <c r="P304" s="48"/>
      <c r="Q304" s="339" t="s">
        <v>696</v>
      </c>
      <c r="R304" s="339" t="s">
        <v>697</v>
      </c>
      <c r="S304" s="48"/>
      <c r="T304" s="339" t="s">
        <v>698</v>
      </c>
      <c r="U304" s="339" t="s">
        <v>699</v>
      </c>
      <c r="V304" s="23">
        <v>5</v>
      </c>
    </row>
    <row r="305" spans="1:45" s="177" customFormat="1">
      <c r="A305" s="235"/>
      <c r="B305" s="140"/>
      <c r="C305" s="134"/>
      <c r="D305" s="134"/>
      <c r="E305" s="45"/>
      <c r="F305" s="45"/>
      <c r="G305" s="45"/>
      <c r="H305" s="45"/>
      <c r="I305" s="45"/>
      <c r="J305" s="45"/>
      <c r="K305" s="45"/>
      <c r="L305" s="45"/>
      <c r="M305" s="45"/>
      <c r="N305" s="45"/>
      <c r="O305" s="45"/>
      <c r="P305" s="45"/>
      <c r="Q305" s="45"/>
      <c r="R305" s="45"/>
      <c r="S305" s="53"/>
      <c r="T305" s="53"/>
      <c r="U305" s="45"/>
      <c r="V305" s="28"/>
      <c r="W305" s="172"/>
      <c r="X305" s="172"/>
      <c r="Y305" s="172"/>
      <c r="Z305" s="172"/>
      <c r="AA305" s="172"/>
      <c r="AB305" s="172"/>
      <c r="AC305" s="172"/>
      <c r="AD305" s="172"/>
      <c r="AE305" s="172"/>
      <c r="AF305" s="172"/>
      <c r="AG305" s="172"/>
      <c r="AH305" s="172"/>
      <c r="AI305" s="172"/>
      <c r="AJ305" s="172"/>
      <c r="AK305" s="172"/>
      <c r="AL305" s="172"/>
      <c r="AM305" s="172"/>
      <c r="AN305" s="172"/>
      <c r="AO305" s="172"/>
      <c r="AP305" s="172"/>
      <c r="AQ305" s="172"/>
      <c r="AR305" s="172"/>
      <c r="AS305" s="172"/>
    </row>
    <row r="306" spans="1:45">
      <c r="A306" s="98" t="s">
        <v>253</v>
      </c>
      <c r="B306" s="103"/>
      <c r="C306" s="103"/>
      <c r="D306" s="103"/>
      <c r="E306" s="226"/>
      <c r="F306" s="226"/>
      <c r="G306" s="226"/>
      <c r="H306" s="226"/>
      <c r="I306" s="226"/>
      <c r="J306" s="226"/>
      <c r="K306" s="226"/>
      <c r="L306" s="226"/>
      <c r="M306" s="226"/>
      <c r="N306" s="226"/>
      <c r="O306" s="226"/>
      <c r="P306" s="226"/>
      <c r="Q306" s="226"/>
      <c r="R306" s="226"/>
      <c r="S306" s="223"/>
      <c r="T306" s="223"/>
      <c r="U306" s="226"/>
      <c r="V306" s="126"/>
    </row>
    <row r="307" spans="1:45" ht="14.4">
      <c r="A307" s="69" t="s">
        <v>700</v>
      </c>
      <c r="B307" s="69" t="s">
        <v>701</v>
      </c>
      <c r="C307" s="40"/>
      <c r="D307" s="40"/>
      <c r="E307" s="48"/>
      <c r="F307" s="339" t="s">
        <v>1671</v>
      </c>
      <c r="G307" s="48"/>
      <c r="H307" s="339" t="s">
        <v>1672</v>
      </c>
      <c r="I307" s="339" t="s">
        <v>1673</v>
      </c>
      <c r="J307" s="48"/>
      <c r="K307" s="339" t="s">
        <v>1674</v>
      </c>
      <c r="L307" s="339" t="s">
        <v>1675</v>
      </c>
      <c r="M307" s="48"/>
      <c r="N307" s="339" t="s">
        <v>1676</v>
      </c>
      <c r="O307" s="339" t="s">
        <v>1677</v>
      </c>
      <c r="P307" s="48"/>
      <c r="Q307" s="48"/>
      <c r="R307" s="95"/>
      <c r="S307" s="48"/>
      <c r="T307" s="48"/>
      <c r="U307" s="95"/>
      <c r="V307" s="28">
        <v>0</v>
      </c>
    </row>
    <row r="308" spans="1:45" ht="14.4">
      <c r="A308" s="69" t="s">
        <v>702</v>
      </c>
      <c r="B308" s="69" t="s">
        <v>701</v>
      </c>
      <c r="C308" s="40"/>
      <c r="D308" s="40"/>
      <c r="E308" s="48"/>
      <c r="F308" s="48"/>
      <c r="G308" s="48"/>
      <c r="H308" s="48"/>
      <c r="I308" s="48"/>
      <c r="J308" s="48"/>
      <c r="K308" s="48"/>
      <c r="L308" s="48"/>
      <c r="M308" s="48"/>
      <c r="N308" s="48"/>
      <c r="O308" s="48"/>
      <c r="P308" s="48"/>
      <c r="Q308" s="339" t="s">
        <v>1678</v>
      </c>
      <c r="R308" s="339" t="s">
        <v>1679</v>
      </c>
      <c r="S308" s="48"/>
      <c r="T308" s="339" t="s">
        <v>1680</v>
      </c>
      <c r="U308" s="339" t="s">
        <v>1681</v>
      </c>
      <c r="V308" s="28">
        <v>0</v>
      </c>
    </row>
    <row r="309" spans="1:45">
      <c r="A309" s="235"/>
      <c r="B309" s="140"/>
      <c r="C309" s="134"/>
      <c r="D309" s="134"/>
      <c r="E309" s="45"/>
      <c r="F309" s="45"/>
      <c r="G309" s="45"/>
      <c r="H309" s="45"/>
      <c r="I309" s="45"/>
      <c r="J309" s="45"/>
      <c r="K309" s="45"/>
      <c r="L309" s="45"/>
      <c r="M309" s="45"/>
      <c r="N309" s="45"/>
      <c r="O309" s="45"/>
      <c r="P309" s="45"/>
      <c r="Q309" s="45"/>
      <c r="R309" s="45"/>
      <c r="S309" s="53"/>
      <c r="T309" s="53"/>
      <c r="U309" s="45"/>
      <c r="V309" s="28"/>
    </row>
    <row r="310" spans="1:45">
      <c r="A310" s="98" t="s">
        <v>263</v>
      </c>
      <c r="B310" s="103"/>
      <c r="C310" s="103"/>
      <c r="D310" s="103"/>
      <c r="E310" s="226"/>
      <c r="F310" s="226"/>
      <c r="G310" s="226"/>
      <c r="H310" s="226"/>
      <c r="I310" s="226"/>
      <c r="J310" s="226"/>
      <c r="K310" s="226"/>
      <c r="L310" s="226"/>
      <c r="M310" s="226"/>
      <c r="N310" s="226"/>
      <c r="O310" s="226"/>
      <c r="P310" s="226"/>
      <c r="Q310" s="226"/>
      <c r="R310" s="226"/>
      <c r="S310" s="223"/>
      <c r="T310" s="223"/>
      <c r="U310" s="226"/>
      <c r="V310" s="126"/>
    </row>
    <row r="311" spans="1:45" ht="14.4">
      <c r="A311" s="69" t="s">
        <v>382</v>
      </c>
      <c r="B311" s="69" t="s">
        <v>383</v>
      </c>
      <c r="C311" s="40"/>
      <c r="D311" s="40"/>
      <c r="E311" s="48"/>
      <c r="F311" s="339" t="s">
        <v>703</v>
      </c>
      <c r="G311" s="48"/>
      <c r="H311" s="339" t="s">
        <v>704</v>
      </c>
      <c r="I311" s="339" t="s">
        <v>705</v>
      </c>
      <c r="J311" s="48"/>
      <c r="K311" s="48"/>
      <c r="L311" s="339" t="s">
        <v>706</v>
      </c>
      <c r="M311" s="48"/>
      <c r="N311" s="339" t="s">
        <v>707</v>
      </c>
      <c r="O311" s="339" t="s">
        <v>708</v>
      </c>
      <c r="P311" s="48"/>
      <c r="Q311" s="339" t="s">
        <v>709</v>
      </c>
      <c r="R311" s="339" t="s">
        <v>710</v>
      </c>
      <c r="S311" s="48"/>
      <c r="T311" s="339" t="s">
        <v>711</v>
      </c>
      <c r="U311" s="339" t="s">
        <v>712</v>
      </c>
      <c r="V311" s="28">
        <v>2</v>
      </c>
    </row>
    <row r="312" spans="1:45" ht="14.4">
      <c r="A312" s="69" t="s">
        <v>113</v>
      </c>
      <c r="B312" s="69" t="s">
        <v>264</v>
      </c>
      <c r="C312" s="40"/>
      <c r="D312" s="40"/>
      <c r="E312" s="48"/>
      <c r="F312" s="339" t="s">
        <v>713</v>
      </c>
      <c r="G312" s="48"/>
      <c r="H312" s="339" t="s">
        <v>714</v>
      </c>
      <c r="I312" s="339" t="s">
        <v>715</v>
      </c>
      <c r="J312" s="48"/>
      <c r="K312" s="48"/>
      <c r="L312" s="339" t="s">
        <v>716</v>
      </c>
      <c r="M312" s="48"/>
      <c r="N312" s="339" t="s">
        <v>717</v>
      </c>
      <c r="O312" s="339" t="s">
        <v>718</v>
      </c>
      <c r="P312" s="48"/>
      <c r="Q312" s="339" t="s">
        <v>719</v>
      </c>
      <c r="R312" s="339" t="s">
        <v>720</v>
      </c>
      <c r="S312" s="48"/>
      <c r="T312" s="339" t="s">
        <v>721</v>
      </c>
      <c r="U312" s="339" t="s">
        <v>722</v>
      </c>
      <c r="V312" s="28">
        <v>6</v>
      </c>
    </row>
    <row r="313" spans="1:45">
      <c r="A313" s="235"/>
      <c r="B313" s="140"/>
      <c r="C313" s="134"/>
      <c r="D313" s="134"/>
      <c r="E313" s="45"/>
      <c r="F313" s="45"/>
      <c r="G313" s="45"/>
      <c r="H313" s="45"/>
      <c r="I313" s="45"/>
      <c r="J313" s="45"/>
      <c r="K313" s="45"/>
      <c r="L313" s="45"/>
      <c r="M313" s="45"/>
      <c r="N313" s="45"/>
      <c r="O313" s="45"/>
      <c r="P313" s="45"/>
      <c r="Q313" s="45"/>
      <c r="R313" s="45"/>
      <c r="S313" s="53"/>
      <c r="T313" s="53"/>
      <c r="U313" s="45"/>
      <c r="V313" s="28"/>
    </row>
    <row r="314" spans="1:45">
      <c r="A314" s="98" t="s">
        <v>384</v>
      </c>
      <c r="B314" s="103"/>
      <c r="C314" s="103"/>
      <c r="D314" s="103"/>
      <c r="E314" s="226"/>
      <c r="F314" s="226"/>
      <c r="G314" s="226"/>
      <c r="H314" s="226"/>
      <c r="I314" s="226"/>
      <c r="J314" s="226"/>
      <c r="K314" s="226"/>
      <c r="L314" s="226"/>
      <c r="M314" s="226"/>
      <c r="N314" s="226"/>
      <c r="O314" s="226"/>
      <c r="P314" s="226"/>
      <c r="Q314" s="226"/>
      <c r="R314" s="226"/>
      <c r="S314" s="223"/>
      <c r="T314" s="223"/>
      <c r="U314" s="226"/>
      <c r="V314" s="126"/>
    </row>
    <row r="315" spans="1:45" ht="14.4">
      <c r="A315" s="69" t="s">
        <v>385</v>
      </c>
      <c r="B315" s="69" t="s">
        <v>386</v>
      </c>
      <c r="C315" s="40"/>
      <c r="D315" s="40"/>
      <c r="E315" s="48"/>
      <c r="F315" s="339" t="s">
        <v>723</v>
      </c>
      <c r="G315" s="48"/>
      <c r="H315" s="339" t="s">
        <v>724</v>
      </c>
      <c r="I315" s="339" t="s">
        <v>725</v>
      </c>
      <c r="J315" s="48"/>
      <c r="K315" s="339" t="s">
        <v>726</v>
      </c>
      <c r="L315" s="339" t="s">
        <v>727</v>
      </c>
      <c r="M315" s="48"/>
      <c r="N315" s="339" t="s">
        <v>728</v>
      </c>
      <c r="O315" s="339" t="s">
        <v>729</v>
      </c>
      <c r="P315" s="48"/>
      <c r="Q315" s="339" t="s">
        <v>730</v>
      </c>
      <c r="R315" s="339" t="s">
        <v>731</v>
      </c>
      <c r="S315" s="48"/>
      <c r="T315" s="339" t="s">
        <v>732</v>
      </c>
      <c r="U315" s="339" t="s">
        <v>733</v>
      </c>
      <c r="V315" s="28">
        <v>6</v>
      </c>
    </row>
    <row r="316" spans="1:45" ht="14.4">
      <c r="A316" s="69" t="s">
        <v>734</v>
      </c>
      <c r="B316" s="69" t="s">
        <v>735</v>
      </c>
      <c r="C316" s="40"/>
      <c r="D316" s="40"/>
      <c r="E316" s="48"/>
      <c r="F316" s="48"/>
      <c r="G316" s="48"/>
      <c r="H316" s="48"/>
      <c r="I316" s="48"/>
      <c r="J316" s="48"/>
      <c r="K316" s="48"/>
      <c r="L316" s="48"/>
      <c r="M316" s="48"/>
      <c r="N316" s="48"/>
      <c r="O316" s="339" t="s">
        <v>736</v>
      </c>
      <c r="P316" s="48"/>
      <c r="Q316" s="48"/>
      <c r="R316" s="339"/>
      <c r="S316" s="48"/>
      <c r="T316" s="48"/>
      <c r="U316" s="339" t="s">
        <v>737</v>
      </c>
      <c r="V316" s="28">
        <v>7</v>
      </c>
    </row>
    <row r="317" spans="1:45" ht="14.4">
      <c r="A317" t="s">
        <v>738</v>
      </c>
      <c r="B317" t="s">
        <v>738</v>
      </c>
      <c r="C317" s="40"/>
      <c r="D317" s="40"/>
      <c r="E317" s="48"/>
      <c r="F317" s="48"/>
      <c r="G317" s="48"/>
      <c r="H317" s="48"/>
      <c r="I317" s="48"/>
      <c r="J317" s="48"/>
      <c r="K317" s="48"/>
      <c r="L317" s="48"/>
      <c r="M317" s="48"/>
      <c r="N317" s="339" t="s">
        <v>739</v>
      </c>
      <c r="O317" s="339"/>
      <c r="P317" s="48"/>
      <c r="Q317" s="48"/>
      <c r="R317" s="339"/>
      <c r="S317" s="48"/>
      <c r="T317" s="339" t="s">
        <v>740</v>
      </c>
      <c r="U317" s="339"/>
      <c r="V317" s="28">
        <v>5</v>
      </c>
    </row>
    <row r="318" spans="1:45" ht="14.4">
      <c r="A318" s="69" t="s">
        <v>387</v>
      </c>
      <c r="B318" s="69" t="s">
        <v>388</v>
      </c>
      <c r="C318" s="40"/>
      <c r="D318" s="40"/>
      <c r="E318" s="48"/>
      <c r="F318" s="339" t="s">
        <v>741</v>
      </c>
      <c r="G318" s="48"/>
      <c r="H318" s="48"/>
      <c r="I318" s="48"/>
      <c r="J318" s="48"/>
      <c r="K318" s="339" t="s">
        <v>742</v>
      </c>
      <c r="L318" s="48"/>
      <c r="M318" s="48"/>
      <c r="N318" s="48"/>
      <c r="O318" s="48"/>
      <c r="P318" s="48"/>
      <c r="Q318" s="339" t="s">
        <v>743</v>
      </c>
      <c r="R318" s="48"/>
      <c r="S318" s="48"/>
      <c r="T318" s="48"/>
      <c r="U318" s="48"/>
      <c r="V318" s="28">
        <v>7</v>
      </c>
    </row>
    <row r="319" spans="1:45" ht="14.4">
      <c r="A319" s="69" t="s">
        <v>389</v>
      </c>
      <c r="B319" s="69" t="s">
        <v>390</v>
      </c>
      <c r="C319" s="40"/>
      <c r="D319" s="40"/>
      <c r="E319" s="48"/>
      <c r="F319" s="339" t="s">
        <v>744</v>
      </c>
      <c r="G319" s="48"/>
      <c r="H319" s="339" t="s">
        <v>745</v>
      </c>
      <c r="J319" s="48"/>
      <c r="K319" s="339" t="s">
        <v>746</v>
      </c>
      <c r="M319" s="48"/>
      <c r="N319" s="339" t="s">
        <v>747</v>
      </c>
      <c r="P319" s="48"/>
      <c r="Q319" s="339" t="s">
        <v>748</v>
      </c>
      <c r="S319" s="48"/>
      <c r="T319" s="339" t="s">
        <v>749</v>
      </c>
      <c r="V319" s="28">
        <v>87</v>
      </c>
    </row>
    <row r="320" spans="1:45" ht="14.4">
      <c r="A320" s="69" t="s">
        <v>750</v>
      </c>
      <c r="B320" s="69" t="s">
        <v>751</v>
      </c>
      <c r="C320" s="40"/>
      <c r="D320" s="40"/>
      <c r="E320" s="48"/>
      <c r="F320" s="339" t="s">
        <v>752</v>
      </c>
      <c r="G320" s="48"/>
      <c r="H320" s="339" t="s">
        <v>753</v>
      </c>
      <c r="I320" s="339" t="s">
        <v>754</v>
      </c>
      <c r="J320" s="48"/>
      <c r="K320" s="339" t="s">
        <v>755</v>
      </c>
      <c r="L320" s="339" t="s">
        <v>756</v>
      </c>
      <c r="M320" s="48"/>
      <c r="N320" s="339" t="s">
        <v>757</v>
      </c>
      <c r="O320" s="339" t="s">
        <v>758</v>
      </c>
      <c r="P320" s="48"/>
      <c r="Q320" s="339" t="s">
        <v>759</v>
      </c>
      <c r="R320" s="339" t="s">
        <v>760</v>
      </c>
      <c r="S320" s="48"/>
      <c r="T320" s="339" t="s">
        <v>761</v>
      </c>
      <c r="U320" s="339" t="s">
        <v>762</v>
      </c>
      <c r="V320" s="23">
        <v>117</v>
      </c>
    </row>
    <row r="321" spans="1:45" ht="14.4">
      <c r="A321" t="s">
        <v>763</v>
      </c>
      <c r="B321" t="s">
        <v>763</v>
      </c>
      <c r="C321" s="150"/>
      <c r="D321" s="150"/>
      <c r="E321" s="104"/>
      <c r="F321" s="104"/>
      <c r="G321" s="104"/>
      <c r="H321" s="339" t="s">
        <v>764</v>
      </c>
      <c r="I321" s="339" t="s">
        <v>765</v>
      </c>
      <c r="J321" s="104"/>
      <c r="K321" s="339" t="s">
        <v>766</v>
      </c>
      <c r="L321" s="339" t="s">
        <v>767</v>
      </c>
      <c r="M321" s="104"/>
      <c r="N321" s="104"/>
      <c r="O321" s="104"/>
      <c r="P321" s="104"/>
      <c r="Q321" s="104"/>
      <c r="R321" s="339" t="s">
        <v>768</v>
      </c>
      <c r="S321" s="138"/>
      <c r="T321" s="138"/>
      <c r="U321" s="104"/>
      <c r="V321" s="28">
        <v>5</v>
      </c>
    </row>
    <row r="322" spans="1:45">
      <c r="A322" s="98" t="s">
        <v>391</v>
      </c>
      <c r="B322" s="103"/>
      <c r="C322" s="103"/>
      <c r="D322" s="103"/>
      <c r="E322" s="226"/>
      <c r="F322" s="226"/>
      <c r="G322" s="226"/>
      <c r="H322" s="208"/>
      <c r="I322" s="226"/>
      <c r="J322" s="226"/>
      <c r="K322" s="226"/>
      <c r="L322" s="226"/>
      <c r="M322" s="226"/>
      <c r="N322" s="226"/>
      <c r="O322" s="226"/>
      <c r="P322" s="226"/>
      <c r="Q322" s="226"/>
      <c r="R322" s="226"/>
      <c r="S322" s="223"/>
      <c r="T322" s="223"/>
      <c r="U322" s="226"/>
      <c r="V322" s="126"/>
    </row>
    <row r="323" spans="1:45" ht="14.4">
      <c r="A323" s="69" t="s">
        <v>769</v>
      </c>
      <c r="B323" s="69" t="s">
        <v>770</v>
      </c>
      <c r="C323" s="40"/>
      <c r="D323" s="40"/>
      <c r="E323" s="48"/>
      <c r="F323" s="48"/>
      <c r="G323" s="48"/>
      <c r="H323" s="48"/>
      <c r="I323" s="339" t="s">
        <v>771</v>
      </c>
      <c r="J323" s="48"/>
      <c r="K323" s="48"/>
      <c r="L323" s="339" t="s">
        <v>771</v>
      </c>
      <c r="M323" s="48"/>
      <c r="N323" s="48"/>
      <c r="O323" s="339" t="s">
        <v>771</v>
      </c>
      <c r="P323" s="48"/>
      <c r="Q323" s="48"/>
      <c r="R323" s="339" t="s">
        <v>771</v>
      </c>
      <c r="S323" s="48"/>
      <c r="T323" s="48"/>
      <c r="U323" s="339" t="s">
        <v>771</v>
      </c>
      <c r="V323" s="28">
        <v>1</v>
      </c>
    </row>
    <row r="324" spans="1:45" s="177" customFormat="1" ht="14.4">
      <c r="A324" s="69" t="s">
        <v>772</v>
      </c>
      <c r="B324" s="69" t="s">
        <v>773</v>
      </c>
      <c r="C324" s="40"/>
      <c r="D324" s="40"/>
      <c r="E324" s="48"/>
      <c r="F324" s="339" t="s">
        <v>774</v>
      </c>
      <c r="G324" s="48"/>
      <c r="H324" s="339" t="s">
        <v>775</v>
      </c>
      <c r="I324" s="48"/>
      <c r="J324" s="48"/>
      <c r="K324" s="339" t="s">
        <v>776</v>
      </c>
      <c r="L324" s="339" t="s">
        <v>777</v>
      </c>
      <c r="M324" s="48"/>
      <c r="N324" s="339" t="s">
        <v>778</v>
      </c>
      <c r="O324" s="48"/>
      <c r="P324" s="48"/>
      <c r="Q324" s="339" t="s">
        <v>779</v>
      </c>
      <c r="R324" s="339" t="s">
        <v>780</v>
      </c>
      <c r="S324" s="48"/>
      <c r="T324" s="339" t="s">
        <v>781</v>
      </c>
      <c r="U324" s="48"/>
      <c r="V324" s="28">
        <v>7</v>
      </c>
      <c r="W324" s="172"/>
      <c r="X324" s="172"/>
      <c r="Y324" s="172"/>
      <c r="Z324" s="172"/>
      <c r="AA324" s="172"/>
      <c r="AB324" s="172"/>
      <c r="AC324" s="172"/>
      <c r="AD324" s="172"/>
      <c r="AE324" s="172"/>
      <c r="AF324" s="172"/>
      <c r="AG324" s="172"/>
      <c r="AH324" s="172"/>
      <c r="AI324" s="172"/>
      <c r="AJ324" s="172"/>
      <c r="AK324" s="172"/>
      <c r="AL324" s="172"/>
      <c r="AM324" s="172"/>
      <c r="AN324" s="172"/>
      <c r="AO324" s="172"/>
      <c r="AP324" s="172"/>
      <c r="AQ324" s="172"/>
      <c r="AR324" s="172"/>
      <c r="AS324" s="172"/>
    </row>
    <row r="325" spans="1:45" ht="14.4">
      <c r="A325" s="71" t="s">
        <v>921</v>
      </c>
      <c r="B325" s="69" t="s">
        <v>392</v>
      </c>
      <c r="C325" s="40"/>
      <c r="D325" s="40"/>
      <c r="E325" s="48"/>
      <c r="F325" s="339" t="s">
        <v>782</v>
      </c>
      <c r="G325" s="48"/>
      <c r="H325" s="339" t="s">
        <v>783</v>
      </c>
      <c r="I325" s="48"/>
      <c r="J325" s="48"/>
      <c r="K325" s="339" t="s">
        <v>784</v>
      </c>
      <c r="L325" s="339" t="s">
        <v>785</v>
      </c>
      <c r="M325" s="48"/>
      <c r="N325" s="339" t="s">
        <v>786</v>
      </c>
      <c r="O325" s="48"/>
      <c r="P325" s="48"/>
      <c r="Q325" s="339" t="s">
        <v>787</v>
      </c>
      <c r="R325" s="339" t="s">
        <v>788</v>
      </c>
      <c r="S325" s="48"/>
      <c r="T325" s="339" t="s">
        <v>789</v>
      </c>
      <c r="U325" s="48"/>
      <c r="V325" s="28">
        <v>10</v>
      </c>
    </row>
    <row r="326" spans="1:45">
      <c r="A326" s="71"/>
      <c r="B326" s="52"/>
      <c r="C326" s="150"/>
      <c r="D326" s="150"/>
      <c r="E326" s="104"/>
      <c r="F326" s="104"/>
      <c r="G326" s="104"/>
      <c r="H326" s="104"/>
      <c r="I326" s="104"/>
      <c r="J326" s="104"/>
      <c r="K326" s="104"/>
      <c r="L326" s="104"/>
      <c r="M326" s="104"/>
      <c r="N326" s="104"/>
      <c r="O326" s="104"/>
      <c r="P326" s="104"/>
      <c r="Q326" s="104"/>
      <c r="R326" s="104"/>
      <c r="S326" s="138"/>
      <c r="T326" s="138"/>
      <c r="U326" s="138"/>
      <c r="V326" s="28"/>
    </row>
    <row r="327" spans="1:45">
      <c r="A327" s="98" t="s">
        <v>790</v>
      </c>
      <c r="B327" s="108"/>
      <c r="C327" s="108"/>
      <c r="D327" s="108"/>
      <c r="E327" s="223"/>
      <c r="F327" s="223"/>
      <c r="G327" s="223"/>
      <c r="H327" s="223"/>
      <c r="I327" s="223"/>
      <c r="J327" s="223"/>
      <c r="K327" s="223"/>
      <c r="L327" s="223"/>
      <c r="M327" s="223"/>
      <c r="N327" s="223"/>
      <c r="O327" s="223"/>
      <c r="P327" s="223"/>
      <c r="Q327" s="223"/>
      <c r="R327" s="223"/>
      <c r="S327" s="223"/>
      <c r="T327" s="223"/>
      <c r="U327" s="223"/>
      <c r="V327" s="126"/>
    </row>
    <row r="328" spans="1:45">
      <c r="A328" s="69" t="s">
        <v>286</v>
      </c>
      <c r="B328" s="69" t="s">
        <v>393</v>
      </c>
      <c r="C328" s="40"/>
      <c r="D328" s="40"/>
      <c r="E328" s="48" t="s">
        <v>791</v>
      </c>
      <c r="F328" s="48" t="s">
        <v>791</v>
      </c>
      <c r="G328" s="48" t="s">
        <v>791</v>
      </c>
      <c r="H328" s="48" t="s">
        <v>791</v>
      </c>
      <c r="I328" s="48" t="s">
        <v>791</v>
      </c>
      <c r="J328" s="48" t="s">
        <v>791</v>
      </c>
      <c r="K328" s="48" t="s">
        <v>791</v>
      </c>
      <c r="L328" s="48" t="s">
        <v>791</v>
      </c>
      <c r="M328" s="48" t="s">
        <v>791</v>
      </c>
      <c r="N328" s="48" t="s">
        <v>791</v>
      </c>
      <c r="O328" s="48" t="s">
        <v>791</v>
      </c>
      <c r="P328" s="48" t="s">
        <v>791</v>
      </c>
      <c r="Q328" s="48" t="s">
        <v>791</v>
      </c>
      <c r="R328" s="48" t="s">
        <v>791</v>
      </c>
      <c r="S328" s="48" t="s">
        <v>791</v>
      </c>
      <c r="T328" s="48" t="s">
        <v>791</v>
      </c>
      <c r="U328" s="48" t="s">
        <v>791</v>
      </c>
      <c r="V328" s="28">
        <v>20</v>
      </c>
    </row>
    <row r="329" spans="1:45" ht="27.6">
      <c r="A329" s="69" t="s">
        <v>289</v>
      </c>
      <c r="B329" s="69" t="s">
        <v>395</v>
      </c>
      <c r="C329" s="40"/>
      <c r="D329" s="40"/>
      <c r="E329" s="48" t="s">
        <v>792</v>
      </c>
      <c r="F329" s="48" t="s">
        <v>792</v>
      </c>
      <c r="G329" s="48" t="s">
        <v>792</v>
      </c>
      <c r="H329" s="48" t="s">
        <v>792</v>
      </c>
      <c r="I329" s="48" t="s">
        <v>792</v>
      </c>
      <c r="J329" s="48" t="s">
        <v>792</v>
      </c>
      <c r="K329" s="48" t="s">
        <v>792</v>
      </c>
      <c r="L329" s="48" t="s">
        <v>792</v>
      </c>
      <c r="M329" s="48" t="s">
        <v>792</v>
      </c>
      <c r="N329" s="48" t="s">
        <v>792</v>
      </c>
      <c r="O329" s="48" t="s">
        <v>792</v>
      </c>
      <c r="P329" s="48" t="s">
        <v>792</v>
      </c>
      <c r="Q329" s="48" t="s">
        <v>792</v>
      </c>
      <c r="R329" s="48" t="s">
        <v>792</v>
      </c>
      <c r="S329" s="48" t="s">
        <v>792</v>
      </c>
      <c r="T329" s="48" t="s">
        <v>792</v>
      </c>
      <c r="U329" s="48" t="s">
        <v>792</v>
      </c>
      <c r="V329" s="28">
        <v>60</v>
      </c>
    </row>
    <row r="330" spans="1:45" ht="27.6">
      <c r="A330" s="69" t="s">
        <v>397</v>
      </c>
      <c r="B330" s="69" t="s">
        <v>398</v>
      </c>
      <c r="C330" s="40"/>
      <c r="D330" s="40"/>
      <c r="E330" s="48" t="s">
        <v>793</v>
      </c>
      <c r="F330" s="48" t="s">
        <v>793</v>
      </c>
      <c r="G330" s="48" t="s">
        <v>793</v>
      </c>
      <c r="H330" s="48" t="s">
        <v>793</v>
      </c>
      <c r="I330" s="48" t="s">
        <v>793</v>
      </c>
      <c r="J330" s="48" t="s">
        <v>793</v>
      </c>
      <c r="K330" s="48" t="s">
        <v>793</v>
      </c>
      <c r="L330" s="48" t="s">
        <v>793</v>
      </c>
      <c r="M330" s="48" t="s">
        <v>793</v>
      </c>
      <c r="N330" s="48" t="s">
        <v>793</v>
      </c>
      <c r="O330" s="48" t="s">
        <v>793</v>
      </c>
      <c r="P330" s="48" t="s">
        <v>793</v>
      </c>
      <c r="Q330" s="48" t="s">
        <v>793</v>
      </c>
      <c r="R330" s="48" t="s">
        <v>793</v>
      </c>
      <c r="S330" s="48" t="s">
        <v>793</v>
      </c>
      <c r="T330" s="48" t="s">
        <v>793</v>
      </c>
      <c r="U330" s="48" t="s">
        <v>793</v>
      </c>
      <c r="V330" s="28">
        <v>80</v>
      </c>
    </row>
    <row r="331" spans="1:45">
      <c r="A331" s="69" t="s">
        <v>400</v>
      </c>
      <c r="B331" s="69" t="s">
        <v>401</v>
      </c>
      <c r="C331" s="40"/>
      <c r="D331" s="40"/>
      <c r="E331" s="95" t="s">
        <v>794</v>
      </c>
      <c r="F331" s="95" t="s">
        <v>794</v>
      </c>
      <c r="G331" s="95" t="s">
        <v>794</v>
      </c>
      <c r="H331" s="95" t="s">
        <v>794</v>
      </c>
      <c r="I331" s="95" t="s">
        <v>794</v>
      </c>
      <c r="J331" s="95" t="s">
        <v>794</v>
      </c>
      <c r="K331" s="95" t="s">
        <v>794</v>
      </c>
      <c r="L331" s="95" t="s">
        <v>794</v>
      </c>
      <c r="M331" s="95" t="s">
        <v>794</v>
      </c>
      <c r="N331" s="95" t="s">
        <v>794</v>
      </c>
      <c r="O331" s="95" t="s">
        <v>794</v>
      </c>
      <c r="P331" s="95" t="s">
        <v>794</v>
      </c>
      <c r="Q331" s="95" t="s">
        <v>794</v>
      </c>
      <c r="R331" s="95" t="s">
        <v>794</v>
      </c>
      <c r="S331" s="95" t="s">
        <v>794</v>
      </c>
      <c r="T331" s="95" t="s">
        <v>794</v>
      </c>
      <c r="U331" s="95" t="s">
        <v>794</v>
      </c>
      <c r="V331" s="60">
        <v>10</v>
      </c>
    </row>
    <row r="332" spans="1:45">
      <c r="A332" s="69" t="s">
        <v>403</v>
      </c>
      <c r="B332" s="69" t="s">
        <v>404</v>
      </c>
      <c r="C332" s="40"/>
      <c r="D332" s="40"/>
      <c r="E332" s="95" t="s">
        <v>405</v>
      </c>
      <c r="F332" s="95" t="s">
        <v>405</v>
      </c>
      <c r="G332" s="95" t="s">
        <v>405</v>
      </c>
      <c r="H332" s="95" t="s">
        <v>405</v>
      </c>
      <c r="I332" s="95" t="s">
        <v>405</v>
      </c>
      <c r="J332" s="95" t="s">
        <v>405</v>
      </c>
      <c r="K332" s="95" t="s">
        <v>405</v>
      </c>
      <c r="L332" s="95" t="s">
        <v>405</v>
      </c>
      <c r="M332" s="95" t="s">
        <v>405</v>
      </c>
      <c r="N332" s="95" t="s">
        <v>405</v>
      </c>
      <c r="O332" s="95" t="s">
        <v>405</v>
      </c>
      <c r="P332" s="95" t="s">
        <v>405</v>
      </c>
      <c r="Q332" s="95" t="s">
        <v>405</v>
      </c>
      <c r="R332" s="95" t="s">
        <v>405</v>
      </c>
      <c r="S332" s="95" t="s">
        <v>405</v>
      </c>
      <c r="T332" s="95" t="s">
        <v>405</v>
      </c>
      <c r="U332" s="95" t="s">
        <v>405</v>
      </c>
      <c r="V332" s="60">
        <v>10</v>
      </c>
    </row>
    <row r="333" spans="1:45">
      <c r="A333" s="132" t="s">
        <v>292</v>
      </c>
      <c r="B333" s="132" t="s">
        <v>293</v>
      </c>
      <c r="C333" s="107"/>
      <c r="D333" s="107"/>
      <c r="E333" s="230" t="s">
        <v>294</v>
      </c>
      <c r="F333" s="230" t="s">
        <v>294</v>
      </c>
      <c r="G333" s="230" t="s">
        <v>294</v>
      </c>
      <c r="H333" s="230" t="s">
        <v>294</v>
      </c>
      <c r="I333" s="230" t="s">
        <v>294</v>
      </c>
      <c r="J333" s="230" t="s">
        <v>294</v>
      </c>
      <c r="K333" s="230" t="s">
        <v>294</v>
      </c>
      <c r="L333" s="230" t="s">
        <v>294</v>
      </c>
      <c r="M333" s="230" t="s">
        <v>294</v>
      </c>
      <c r="N333" s="230" t="s">
        <v>294</v>
      </c>
      <c r="O333" s="230" t="s">
        <v>294</v>
      </c>
      <c r="P333" s="230" t="s">
        <v>294</v>
      </c>
      <c r="Q333" s="230" t="s">
        <v>294</v>
      </c>
      <c r="R333" s="230" t="s">
        <v>294</v>
      </c>
      <c r="S333" s="230" t="s">
        <v>294</v>
      </c>
      <c r="T333" s="230" t="s">
        <v>294</v>
      </c>
      <c r="U333" s="230" t="s">
        <v>294</v>
      </c>
      <c r="V333" s="28">
        <v>158</v>
      </c>
    </row>
    <row r="334" spans="1:45">
      <c r="A334" s="132" t="s">
        <v>295</v>
      </c>
      <c r="B334" s="132" t="s">
        <v>296</v>
      </c>
      <c r="C334" s="107"/>
      <c r="D334" s="107"/>
      <c r="E334" s="230" t="s">
        <v>795</v>
      </c>
      <c r="F334" s="230" t="s">
        <v>795</v>
      </c>
      <c r="G334" s="230" t="s">
        <v>795</v>
      </c>
      <c r="H334" s="230" t="s">
        <v>795</v>
      </c>
      <c r="I334" s="230" t="s">
        <v>795</v>
      </c>
      <c r="J334" s="230" t="s">
        <v>795</v>
      </c>
      <c r="K334" s="230" t="s">
        <v>795</v>
      </c>
      <c r="L334" s="230" t="s">
        <v>795</v>
      </c>
      <c r="M334" s="230" t="s">
        <v>795</v>
      </c>
      <c r="N334" s="230" t="s">
        <v>795</v>
      </c>
      <c r="O334" s="230" t="s">
        <v>795</v>
      </c>
      <c r="P334" s="230" t="s">
        <v>795</v>
      </c>
      <c r="Q334" s="230" t="s">
        <v>795</v>
      </c>
      <c r="R334" s="230" t="s">
        <v>795</v>
      </c>
      <c r="S334" s="230" t="s">
        <v>795</v>
      </c>
      <c r="T334" s="230" t="s">
        <v>795</v>
      </c>
      <c r="U334" s="230" t="s">
        <v>795</v>
      </c>
      <c r="V334" s="28">
        <v>22</v>
      </c>
    </row>
    <row r="335" spans="1:45" ht="27.6">
      <c r="A335" s="132" t="s">
        <v>299</v>
      </c>
      <c r="B335" s="99" t="s">
        <v>300</v>
      </c>
      <c r="C335" s="107"/>
      <c r="D335" s="107"/>
      <c r="E335" s="48" t="s">
        <v>796</v>
      </c>
      <c r="F335" s="48" t="s">
        <v>796</v>
      </c>
      <c r="G335" s="48" t="s">
        <v>796</v>
      </c>
      <c r="H335" s="48" t="s">
        <v>796</v>
      </c>
      <c r="I335" s="48" t="s">
        <v>796</v>
      </c>
      <c r="J335" s="48" t="s">
        <v>796</v>
      </c>
      <c r="K335" s="48" t="s">
        <v>796</v>
      </c>
      <c r="L335" s="48" t="s">
        <v>796</v>
      </c>
      <c r="M335" s="48" t="s">
        <v>796</v>
      </c>
      <c r="N335" s="48" t="s">
        <v>796</v>
      </c>
      <c r="O335" s="48" t="s">
        <v>796</v>
      </c>
      <c r="P335" s="48" t="s">
        <v>796</v>
      </c>
      <c r="Q335" s="48" t="s">
        <v>796</v>
      </c>
      <c r="R335" s="48" t="s">
        <v>796</v>
      </c>
      <c r="S335" s="48" t="s">
        <v>796</v>
      </c>
      <c r="T335" s="48" t="s">
        <v>796</v>
      </c>
      <c r="U335" s="48" t="s">
        <v>796</v>
      </c>
      <c r="V335" s="28">
        <v>82</v>
      </c>
    </row>
    <row r="336" spans="1:45" s="237" customFormat="1">
      <c r="A336" s="235"/>
      <c r="B336" s="140"/>
      <c r="C336" s="134"/>
      <c r="D336" s="134"/>
      <c r="E336" s="45"/>
      <c r="F336" s="45"/>
      <c r="G336" s="45"/>
      <c r="H336" s="45"/>
      <c r="I336" s="45"/>
      <c r="J336" s="45"/>
      <c r="K336" s="45"/>
      <c r="L336" s="45"/>
      <c r="M336" s="45"/>
      <c r="N336" s="45"/>
      <c r="O336" s="45"/>
      <c r="P336" s="45"/>
      <c r="Q336" s="45"/>
      <c r="R336" s="45"/>
      <c r="S336" s="45"/>
      <c r="T336" s="45"/>
      <c r="U336" s="45"/>
      <c r="V336" s="186"/>
      <c r="W336" s="169"/>
      <c r="X336" s="169"/>
      <c r="Y336" s="169"/>
      <c r="Z336" s="169"/>
      <c r="AA336" s="169"/>
      <c r="AB336" s="169"/>
      <c r="AC336" s="169"/>
      <c r="AD336" s="169"/>
      <c r="AE336" s="169"/>
      <c r="AF336" s="169"/>
      <c r="AG336" s="169"/>
      <c r="AH336" s="169"/>
      <c r="AI336" s="169"/>
      <c r="AJ336" s="169"/>
      <c r="AK336" s="169"/>
      <c r="AL336" s="169"/>
      <c r="AM336" s="169"/>
      <c r="AN336" s="169"/>
      <c r="AO336" s="169"/>
      <c r="AP336" s="169"/>
      <c r="AQ336" s="169"/>
      <c r="AR336" s="169"/>
      <c r="AS336" s="169"/>
    </row>
    <row r="337" spans="1:45" s="237" customFormat="1">
      <c r="A337" s="161" t="s">
        <v>797</v>
      </c>
      <c r="B337" s="161"/>
      <c r="C337" s="161"/>
      <c r="D337" s="161"/>
      <c r="E337" s="32"/>
      <c r="F337" s="32"/>
      <c r="G337" s="32"/>
      <c r="H337" s="32"/>
      <c r="I337" s="32"/>
      <c r="J337" s="32"/>
      <c r="K337" s="32"/>
      <c r="L337" s="32"/>
      <c r="M337" s="32"/>
      <c r="N337" s="32"/>
      <c r="O337" s="32"/>
      <c r="P337" s="32"/>
      <c r="Q337" s="32"/>
      <c r="R337" s="32"/>
      <c r="S337" s="32"/>
      <c r="T337" s="32"/>
      <c r="U337" s="32"/>
      <c r="V337" s="188"/>
      <c r="W337" s="169"/>
      <c r="X337" s="169"/>
      <c r="Y337" s="169"/>
      <c r="Z337" s="169"/>
      <c r="AA337" s="169"/>
      <c r="AB337" s="169"/>
      <c r="AC337" s="169"/>
      <c r="AD337" s="169"/>
      <c r="AE337" s="169"/>
      <c r="AF337" s="169"/>
      <c r="AG337" s="169"/>
      <c r="AH337" s="169"/>
      <c r="AI337" s="169"/>
      <c r="AJ337" s="169"/>
      <c r="AK337" s="169"/>
      <c r="AL337" s="169"/>
      <c r="AM337" s="169"/>
      <c r="AN337" s="169"/>
      <c r="AO337" s="169"/>
      <c r="AP337" s="169"/>
      <c r="AQ337" s="169"/>
      <c r="AR337" s="169"/>
      <c r="AS337" s="169"/>
    </row>
    <row r="338" spans="1:45" s="10" customFormat="1" ht="82.8">
      <c r="A338" s="27" t="s">
        <v>141</v>
      </c>
      <c r="B338" s="27" t="s">
        <v>142</v>
      </c>
      <c r="C338" s="27" t="s">
        <v>143</v>
      </c>
      <c r="D338" s="27" t="s">
        <v>144</v>
      </c>
      <c r="E338" s="190"/>
      <c r="F338" s="190"/>
      <c r="G338" s="190"/>
      <c r="H338" s="190"/>
      <c r="I338" s="190"/>
      <c r="J338" s="190"/>
      <c r="K338" s="190"/>
      <c r="L338" s="190"/>
      <c r="M338" s="190"/>
      <c r="N338" s="190"/>
      <c r="O338" s="190"/>
      <c r="P338" s="190"/>
      <c r="Q338" s="190"/>
      <c r="R338" s="190"/>
      <c r="S338" s="190"/>
      <c r="T338" s="190"/>
      <c r="U338" s="190"/>
      <c r="V338" s="157" t="s">
        <v>145</v>
      </c>
      <c r="W338" s="9"/>
      <c r="X338" s="9"/>
      <c r="Y338" s="9"/>
      <c r="Z338" s="9"/>
      <c r="AA338" s="9"/>
      <c r="AB338" s="9"/>
      <c r="AC338" s="9"/>
      <c r="AD338" s="9"/>
      <c r="AE338" s="9"/>
      <c r="AF338" s="9"/>
      <c r="AG338" s="9"/>
      <c r="AH338" s="9"/>
      <c r="AI338" s="9"/>
      <c r="AJ338" s="9"/>
      <c r="AK338" s="9"/>
      <c r="AL338" s="9"/>
      <c r="AM338" s="9"/>
      <c r="AN338" s="9"/>
      <c r="AO338" s="9"/>
      <c r="AP338" s="9"/>
      <c r="AQ338" s="9"/>
      <c r="AR338" s="9"/>
      <c r="AS338" s="9"/>
    </row>
    <row r="339" spans="1:45">
      <c r="A339" s="235"/>
      <c r="B339" s="140"/>
      <c r="C339" s="134"/>
      <c r="D339" s="134"/>
      <c r="E339" s="45"/>
      <c r="F339" s="45"/>
      <c r="G339" s="45"/>
      <c r="H339" s="45"/>
      <c r="I339" s="45"/>
      <c r="J339" s="45"/>
      <c r="K339" s="45"/>
      <c r="L339" s="45"/>
      <c r="M339" s="45"/>
      <c r="N339" s="45"/>
      <c r="O339" s="45"/>
      <c r="P339" s="45"/>
      <c r="Q339" s="45"/>
      <c r="R339" s="45"/>
      <c r="S339" s="45"/>
      <c r="T339" s="45"/>
      <c r="U339" s="45"/>
      <c r="V339" s="186"/>
    </row>
    <row r="340" spans="1:45" ht="188.25" customHeight="1">
      <c r="A340" s="71" t="s">
        <v>2020</v>
      </c>
      <c r="B340" s="52" t="s">
        <v>798</v>
      </c>
      <c r="C340" s="150"/>
      <c r="D340" s="150"/>
      <c r="E340" s="104"/>
      <c r="F340" s="104"/>
      <c r="G340" s="104"/>
      <c r="H340" s="104"/>
      <c r="I340" s="104"/>
      <c r="J340" s="104"/>
      <c r="K340" s="104"/>
      <c r="L340" s="104"/>
      <c r="M340" s="104"/>
      <c r="N340" s="104"/>
      <c r="O340" s="104"/>
      <c r="P340" s="104"/>
      <c r="Q340" s="104"/>
      <c r="R340" s="104"/>
      <c r="S340" s="104"/>
      <c r="T340" s="104"/>
      <c r="U340" s="104"/>
      <c r="V340" s="23">
        <v>689</v>
      </c>
      <c r="W340" s="171"/>
      <c r="X340" s="171"/>
      <c r="Y340" s="171"/>
      <c r="Z340" s="171"/>
      <c r="AA340" s="171"/>
      <c r="AB340" s="171"/>
      <c r="AC340" s="171"/>
      <c r="AD340" s="171"/>
      <c r="AE340" s="171"/>
      <c r="AF340" s="171"/>
      <c r="AG340" s="171"/>
      <c r="AH340" s="171"/>
      <c r="AI340" s="171"/>
      <c r="AJ340" s="171"/>
      <c r="AK340" s="171"/>
      <c r="AL340" s="171"/>
      <c r="AM340" s="171"/>
      <c r="AN340" s="171"/>
      <c r="AO340" s="171"/>
      <c r="AP340" s="171"/>
      <c r="AQ340" s="171"/>
      <c r="AR340" s="171"/>
      <c r="AS340" s="171"/>
    </row>
    <row r="341" spans="1:45">
      <c r="A341" s="71"/>
      <c r="B341" s="52"/>
      <c r="C341" s="150"/>
      <c r="D341" s="150"/>
      <c r="E341" s="104"/>
      <c r="F341" s="104"/>
      <c r="G341" s="104"/>
      <c r="H341" s="104"/>
      <c r="I341" s="104"/>
      <c r="J341" s="104"/>
      <c r="K341" s="104"/>
      <c r="L341" s="104"/>
      <c r="M341" s="104"/>
      <c r="N341" s="104"/>
      <c r="O341" s="104"/>
      <c r="P341" s="104"/>
      <c r="Q341" s="104"/>
      <c r="R341" s="104"/>
      <c r="S341" s="104"/>
      <c r="T341" s="104"/>
      <c r="U341" s="104"/>
      <c r="V341" s="23"/>
      <c r="W341" s="171"/>
      <c r="X341" s="171"/>
      <c r="Y341" s="171"/>
      <c r="Z341" s="171"/>
      <c r="AA341" s="171"/>
      <c r="AB341" s="171"/>
      <c r="AC341" s="171"/>
      <c r="AD341" s="171"/>
      <c r="AE341" s="171"/>
      <c r="AF341" s="171"/>
      <c r="AG341" s="171"/>
      <c r="AH341" s="171"/>
      <c r="AI341" s="171"/>
      <c r="AJ341" s="171"/>
      <c r="AK341" s="171"/>
      <c r="AL341" s="171"/>
      <c r="AM341" s="171"/>
      <c r="AN341" s="171"/>
      <c r="AO341" s="171"/>
      <c r="AP341" s="171"/>
      <c r="AQ341" s="171"/>
      <c r="AR341" s="171"/>
      <c r="AS341" s="171"/>
    </row>
    <row r="342" spans="1:45" ht="184.5" customHeight="1">
      <c r="A342" s="71" t="s">
        <v>2019</v>
      </c>
      <c r="B342" s="52" t="s">
        <v>799</v>
      </c>
      <c r="C342" s="150"/>
      <c r="D342" s="150"/>
      <c r="E342" s="104"/>
      <c r="F342" s="104"/>
      <c r="G342" s="104"/>
      <c r="H342" s="104"/>
      <c r="I342" s="104"/>
      <c r="J342" s="104"/>
      <c r="K342" s="104"/>
      <c r="L342" s="104"/>
      <c r="M342" s="104"/>
      <c r="N342" s="104"/>
      <c r="O342" s="104"/>
      <c r="P342" s="104"/>
      <c r="Q342" s="104"/>
      <c r="R342" s="104"/>
      <c r="S342" s="104"/>
      <c r="T342" s="104"/>
      <c r="U342" s="104"/>
      <c r="V342" s="23">
        <v>749</v>
      </c>
      <c r="W342" s="171"/>
      <c r="X342" s="171"/>
      <c r="Y342" s="171"/>
      <c r="Z342" s="171"/>
      <c r="AA342" s="171"/>
      <c r="AB342" s="171"/>
      <c r="AC342" s="171"/>
      <c r="AD342" s="171"/>
      <c r="AE342" s="171"/>
      <c r="AF342" s="171"/>
      <c r="AG342" s="171"/>
      <c r="AH342" s="171"/>
      <c r="AI342" s="171"/>
      <c r="AJ342" s="171"/>
      <c r="AK342" s="171"/>
      <c r="AL342" s="171"/>
      <c r="AM342" s="171"/>
      <c r="AN342" s="171"/>
      <c r="AO342" s="171"/>
      <c r="AP342" s="171"/>
      <c r="AQ342" s="171"/>
      <c r="AR342" s="171"/>
      <c r="AS342" s="171"/>
    </row>
    <row r="343" spans="1:45" ht="15.6" customHeight="1">
      <c r="A343" s="71"/>
      <c r="B343" s="52"/>
      <c r="C343" s="150"/>
      <c r="D343" s="150"/>
      <c r="E343" s="104"/>
      <c r="F343" s="104"/>
      <c r="G343" s="104"/>
      <c r="H343" s="104"/>
      <c r="I343" s="104"/>
      <c r="J343" s="104"/>
      <c r="K343" s="104"/>
      <c r="L343" s="104"/>
      <c r="M343" s="104"/>
      <c r="N343" s="104"/>
      <c r="O343" s="104"/>
      <c r="P343" s="104"/>
      <c r="Q343" s="104"/>
      <c r="R343" s="104"/>
      <c r="S343" s="104"/>
      <c r="T343" s="104"/>
      <c r="U343" s="104"/>
      <c r="V343" s="186"/>
    </row>
    <row r="344" spans="1:45" ht="168" customHeight="1">
      <c r="A344" s="71" t="s">
        <v>2018</v>
      </c>
      <c r="B344" s="52" t="s">
        <v>800</v>
      </c>
      <c r="C344" s="150"/>
      <c r="D344" s="150"/>
      <c r="E344" s="104"/>
      <c r="F344" s="104"/>
      <c r="G344" s="104"/>
      <c r="H344" s="104"/>
      <c r="I344" s="104"/>
      <c r="J344" s="104"/>
      <c r="K344" s="104"/>
      <c r="L344" s="104"/>
      <c r="M344" s="104"/>
      <c r="N344" s="104"/>
      <c r="O344" s="104"/>
      <c r="P344" s="104"/>
      <c r="Q344" s="104"/>
      <c r="R344" s="104"/>
      <c r="S344" s="104"/>
      <c r="T344" s="104"/>
      <c r="U344" s="104"/>
      <c r="V344" s="23">
        <v>639</v>
      </c>
    </row>
    <row r="345" spans="1:45">
      <c r="A345" s="71"/>
      <c r="B345" s="52"/>
      <c r="C345" s="150"/>
      <c r="D345" s="150"/>
      <c r="E345" s="104"/>
      <c r="F345" s="104"/>
      <c r="G345" s="104"/>
      <c r="H345" s="104"/>
      <c r="I345" s="104"/>
      <c r="J345" s="104"/>
      <c r="K345" s="104"/>
      <c r="L345" s="104"/>
      <c r="M345" s="104"/>
      <c r="N345" s="104"/>
      <c r="O345" s="104"/>
      <c r="P345" s="104"/>
      <c r="Q345" s="104"/>
      <c r="R345" s="104"/>
      <c r="S345" s="104"/>
      <c r="T345" s="104"/>
      <c r="U345" s="104"/>
      <c r="V345" s="23"/>
    </row>
    <row r="346" spans="1:45" ht="173.25" customHeight="1">
      <c r="A346" s="71" t="s">
        <v>1996</v>
      </c>
      <c r="B346" s="52" t="s">
        <v>801</v>
      </c>
      <c r="C346" s="150"/>
      <c r="D346" s="150"/>
      <c r="E346" s="104"/>
      <c r="F346" s="104"/>
      <c r="G346" s="104"/>
      <c r="H346" s="104"/>
      <c r="I346" s="104"/>
      <c r="J346" s="104"/>
      <c r="K346" s="104"/>
      <c r="L346" s="104"/>
      <c r="M346" s="104"/>
      <c r="N346" s="104"/>
      <c r="O346" s="104"/>
      <c r="P346" s="104"/>
      <c r="Q346" s="104"/>
      <c r="R346" s="104"/>
      <c r="S346" s="104"/>
      <c r="T346" s="104"/>
      <c r="U346" s="104"/>
      <c r="V346" s="23">
        <v>699</v>
      </c>
      <c r="W346" s="171"/>
      <c r="X346" s="171"/>
      <c r="Y346" s="171"/>
      <c r="Z346" s="171"/>
      <c r="AA346" s="171"/>
      <c r="AB346" s="171"/>
      <c r="AC346" s="171"/>
      <c r="AD346" s="171"/>
      <c r="AE346" s="171"/>
      <c r="AF346" s="171"/>
      <c r="AG346" s="171"/>
      <c r="AH346" s="171"/>
      <c r="AI346" s="171"/>
      <c r="AJ346" s="171"/>
      <c r="AK346" s="171"/>
      <c r="AL346" s="171"/>
      <c r="AM346" s="171"/>
      <c r="AN346" s="171"/>
      <c r="AO346" s="171"/>
      <c r="AP346" s="171"/>
      <c r="AQ346" s="171"/>
      <c r="AR346" s="171"/>
      <c r="AS346" s="171"/>
    </row>
    <row r="347" spans="1:45">
      <c r="A347" s="69"/>
      <c r="B347" s="52"/>
      <c r="C347" s="150"/>
      <c r="D347" s="150"/>
      <c r="E347" s="104"/>
      <c r="F347" s="104"/>
      <c r="G347" s="104"/>
      <c r="H347" s="104"/>
      <c r="I347" s="104"/>
      <c r="J347" s="104"/>
      <c r="K347" s="104"/>
      <c r="L347" s="104"/>
      <c r="M347" s="104"/>
      <c r="N347" s="104"/>
      <c r="O347" s="104"/>
      <c r="P347" s="104"/>
      <c r="Q347" s="104"/>
      <c r="R347" s="104"/>
      <c r="S347" s="104"/>
      <c r="T347" s="104"/>
      <c r="U347" s="104"/>
      <c r="V347" s="186"/>
    </row>
    <row r="348" spans="1:45" s="10" customFormat="1" ht="27.6">
      <c r="A348" s="141" t="s">
        <v>802</v>
      </c>
      <c r="B348" s="27" t="s">
        <v>305</v>
      </c>
      <c r="C348" s="27" t="s">
        <v>143</v>
      </c>
      <c r="D348" s="27" t="s">
        <v>144</v>
      </c>
      <c r="E348" s="27" t="s">
        <v>803</v>
      </c>
      <c r="F348" s="27" t="s">
        <v>804</v>
      </c>
      <c r="G348" s="27" t="s">
        <v>805</v>
      </c>
      <c r="H348" s="27" t="s">
        <v>806</v>
      </c>
      <c r="I348" s="27"/>
      <c r="J348" s="27"/>
      <c r="K348" s="27"/>
      <c r="L348" s="27"/>
      <c r="M348" s="27"/>
      <c r="N348" s="27"/>
      <c r="O348" s="27"/>
      <c r="P348" s="27"/>
      <c r="Q348" s="27"/>
      <c r="R348" s="27"/>
      <c r="S348" s="27"/>
      <c r="T348" s="27"/>
      <c r="U348" s="27"/>
      <c r="V348" s="13"/>
      <c r="W348" s="9"/>
      <c r="X348" s="9"/>
      <c r="Y348" s="9"/>
      <c r="Z348" s="9"/>
      <c r="AA348" s="9"/>
      <c r="AB348" s="9"/>
      <c r="AC348" s="9"/>
      <c r="AD348" s="9"/>
      <c r="AE348" s="9"/>
      <c r="AF348" s="9"/>
      <c r="AG348" s="9"/>
      <c r="AH348" s="9"/>
      <c r="AI348" s="9"/>
      <c r="AJ348" s="9"/>
      <c r="AK348" s="9"/>
      <c r="AL348" s="9"/>
      <c r="AM348" s="9"/>
      <c r="AN348" s="9"/>
      <c r="AO348" s="9"/>
      <c r="AP348" s="9"/>
      <c r="AQ348" s="9"/>
      <c r="AR348" s="9"/>
      <c r="AS348" s="9"/>
    </row>
    <row r="349" spans="1:45">
      <c r="A349" s="98" t="s">
        <v>162</v>
      </c>
      <c r="B349" s="103"/>
      <c r="C349" s="103"/>
      <c r="D349" s="103"/>
      <c r="E349" s="226"/>
      <c r="F349" s="226"/>
      <c r="G349" s="226"/>
      <c r="H349" s="226"/>
      <c r="I349" s="226"/>
      <c r="J349" s="226"/>
      <c r="K349" s="226"/>
      <c r="L349" s="226"/>
      <c r="M349" s="226"/>
      <c r="N349" s="226"/>
      <c r="O349" s="226"/>
      <c r="P349" s="226"/>
      <c r="Q349" s="226"/>
      <c r="R349" s="226"/>
      <c r="S349" s="226"/>
      <c r="T349" s="226"/>
      <c r="U349" s="226"/>
      <c r="V349" s="112"/>
    </row>
    <row r="350" spans="1:45" s="177" customFormat="1" ht="27.6">
      <c r="A350" s="69" t="s">
        <v>807</v>
      </c>
      <c r="B350" s="69" t="s">
        <v>808</v>
      </c>
      <c r="C350" s="40" t="s">
        <v>312</v>
      </c>
      <c r="D350" s="40" t="s">
        <v>312</v>
      </c>
      <c r="E350" s="48" t="s">
        <v>809</v>
      </c>
      <c r="F350" s="230"/>
      <c r="G350" s="48" t="s">
        <v>810</v>
      </c>
      <c r="H350" s="230"/>
      <c r="I350" s="230"/>
      <c r="J350" s="48"/>
      <c r="K350" s="48"/>
      <c r="L350" s="48"/>
      <c r="M350" s="48"/>
      <c r="N350" s="48"/>
      <c r="O350" s="48"/>
      <c r="P350" s="48"/>
      <c r="Q350" s="48"/>
      <c r="R350" s="48"/>
      <c r="S350" s="30"/>
      <c r="T350" s="30"/>
      <c r="U350" s="30"/>
      <c r="V350" s="23">
        <v>122</v>
      </c>
    </row>
    <row r="351" spans="1:45" s="177" customFormat="1" ht="27.6">
      <c r="A351" s="69" t="s">
        <v>811</v>
      </c>
      <c r="B351" s="69" t="s">
        <v>812</v>
      </c>
      <c r="C351" s="40" t="s">
        <v>312</v>
      </c>
      <c r="D351" s="40" t="s">
        <v>312</v>
      </c>
      <c r="E351" s="48" t="s">
        <v>813</v>
      </c>
      <c r="F351" s="230"/>
      <c r="G351" s="48" t="s">
        <v>814</v>
      </c>
      <c r="H351" s="230"/>
      <c r="I351" s="230"/>
      <c r="J351" s="48"/>
      <c r="K351" s="48"/>
      <c r="L351" s="48"/>
      <c r="M351" s="48"/>
      <c r="N351" s="48"/>
      <c r="O351" s="48"/>
      <c r="P351" s="48"/>
      <c r="Q351" s="48"/>
      <c r="R351" s="48"/>
      <c r="S351" s="30"/>
      <c r="T351" s="30"/>
      <c r="U351" s="30"/>
      <c r="V351" s="23">
        <v>249</v>
      </c>
    </row>
    <row r="352" spans="1:45" s="177" customFormat="1">
      <c r="A352" s="69" t="s">
        <v>815</v>
      </c>
      <c r="B352" s="69" t="s">
        <v>816</v>
      </c>
      <c r="C352" s="40" t="s">
        <v>312</v>
      </c>
      <c r="D352" s="40" t="s">
        <v>312</v>
      </c>
      <c r="E352" s="48"/>
      <c r="F352" s="48"/>
      <c r="G352" s="48" t="s">
        <v>817</v>
      </c>
      <c r="H352" s="230"/>
      <c r="I352" s="230"/>
      <c r="J352" s="48"/>
      <c r="K352" s="48"/>
      <c r="L352" s="48"/>
      <c r="M352" s="48"/>
      <c r="N352" s="48"/>
      <c r="O352" s="48"/>
      <c r="P352" s="48"/>
      <c r="Q352" s="48"/>
      <c r="R352" s="48"/>
      <c r="S352" s="30"/>
      <c r="T352" s="30"/>
      <c r="U352" s="30"/>
      <c r="V352" s="23">
        <v>362</v>
      </c>
    </row>
    <row r="353" spans="1:45" s="177" customFormat="1" ht="28.8">
      <c r="A353" s="339" t="s">
        <v>1997</v>
      </c>
      <c r="B353" s="343" t="s">
        <v>1982</v>
      </c>
      <c r="C353" s="40"/>
      <c r="D353" s="40" t="s">
        <v>1633</v>
      </c>
      <c r="E353" s="48"/>
      <c r="F353" s="339" t="s">
        <v>1980</v>
      </c>
      <c r="G353" s="48"/>
      <c r="H353" s="350" t="s">
        <v>1902</v>
      </c>
      <c r="I353" s="48"/>
      <c r="J353" s="48"/>
      <c r="K353" s="48"/>
      <c r="L353" s="48"/>
      <c r="M353" s="48"/>
      <c r="N353" s="48"/>
      <c r="O353" s="48"/>
      <c r="P353" s="48"/>
      <c r="Q353" s="48"/>
      <c r="R353" s="48"/>
      <c r="S353" s="30"/>
      <c r="T353" s="30"/>
      <c r="U353" s="30"/>
      <c r="V353" s="23">
        <v>55</v>
      </c>
    </row>
    <row r="354" spans="1:45" s="177" customFormat="1" ht="28.8">
      <c r="A354" s="339" t="s">
        <v>1634</v>
      </c>
      <c r="B354" s="343" t="s">
        <v>1983</v>
      </c>
      <c r="C354" s="40" t="s">
        <v>312</v>
      </c>
      <c r="D354" s="40" t="s">
        <v>1633</v>
      </c>
      <c r="E354" s="48"/>
      <c r="F354" s="339" t="s">
        <v>1981</v>
      </c>
      <c r="G354" s="48"/>
      <c r="H354" s="350" t="s">
        <v>820</v>
      </c>
      <c r="I354" s="48"/>
      <c r="J354" s="48"/>
      <c r="K354" s="48"/>
      <c r="L354" s="48"/>
      <c r="M354" s="48"/>
      <c r="N354" s="48"/>
      <c r="O354" s="48"/>
      <c r="P354" s="48"/>
      <c r="Q354" s="48"/>
      <c r="R354" s="48"/>
      <c r="S354" s="30"/>
      <c r="T354" s="30"/>
      <c r="U354" s="30"/>
      <c r="V354" s="23">
        <v>122</v>
      </c>
    </row>
    <row r="355" spans="1:45" s="177" customFormat="1" ht="14.4">
      <c r="A355" s="339" t="s">
        <v>1626</v>
      </c>
      <c r="B355" s="339" t="s">
        <v>1627</v>
      </c>
      <c r="C355" s="40"/>
      <c r="D355" s="40" t="s">
        <v>1625</v>
      </c>
      <c r="E355" s="48"/>
      <c r="F355" s="306" t="s">
        <v>818</v>
      </c>
      <c r="G355" s="48"/>
      <c r="H355" s="48"/>
      <c r="I355" s="48"/>
      <c r="J355" s="48"/>
      <c r="K355" s="48"/>
      <c r="L355" s="48"/>
      <c r="M355" s="48"/>
      <c r="N355" s="48"/>
      <c r="O355" s="48"/>
      <c r="P355" s="48"/>
      <c r="Q355" s="48"/>
      <c r="R355" s="48"/>
      <c r="S355" s="30"/>
      <c r="T355" s="30"/>
      <c r="U355" s="30"/>
      <c r="V355" s="23">
        <v>110</v>
      </c>
    </row>
    <row r="356" spans="1:45" s="177" customFormat="1" ht="14.4">
      <c r="A356" s="339" t="s">
        <v>1628</v>
      </c>
      <c r="B356" s="339" t="s">
        <v>1629</v>
      </c>
      <c r="C356" s="40"/>
      <c r="D356" s="40" t="s">
        <v>1625</v>
      </c>
      <c r="E356" s="48"/>
      <c r="F356" s="306" t="s">
        <v>819</v>
      </c>
      <c r="G356" s="48"/>
      <c r="H356" s="350" t="s">
        <v>821</v>
      </c>
      <c r="I356" s="48"/>
      <c r="J356" s="48"/>
      <c r="K356" s="48"/>
      <c r="L356" s="48"/>
      <c r="M356" s="48"/>
      <c r="N356" s="48"/>
      <c r="O356" s="48"/>
      <c r="P356" s="48"/>
      <c r="Q356" s="48"/>
      <c r="R356" s="48"/>
      <c r="S356" s="30"/>
      <c r="T356" s="30"/>
      <c r="U356" s="30"/>
      <c r="V356" s="23">
        <v>160</v>
      </c>
    </row>
    <row r="357" spans="1:45" s="177" customFormat="1" ht="14.4">
      <c r="A357" s="339" t="s">
        <v>1631</v>
      </c>
      <c r="B357" s="339" t="s">
        <v>1632</v>
      </c>
      <c r="C357" s="40" t="s">
        <v>312</v>
      </c>
      <c r="D357" s="40" t="s">
        <v>1630</v>
      </c>
      <c r="E357" s="48"/>
      <c r="F357" s="48"/>
      <c r="G357" s="48"/>
      <c r="H357" s="350" t="s">
        <v>822</v>
      </c>
      <c r="I357" s="48"/>
      <c r="J357" s="48"/>
      <c r="K357" s="48"/>
      <c r="L357" s="48"/>
      <c r="M357" s="48"/>
      <c r="N357" s="48"/>
      <c r="O357" s="48"/>
      <c r="P357" s="48"/>
      <c r="Q357" s="48"/>
      <c r="R357" s="48"/>
      <c r="S357" s="30"/>
      <c r="T357" s="30"/>
      <c r="U357" s="30"/>
      <c r="V357" s="23">
        <v>249</v>
      </c>
    </row>
    <row r="358" spans="1:45" s="177" customFormat="1">
      <c r="B358" s="140"/>
      <c r="C358" s="134"/>
      <c r="D358" s="134"/>
      <c r="E358" s="45"/>
      <c r="F358" s="45"/>
      <c r="G358" s="45"/>
      <c r="H358" s="45"/>
      <c r="I358" s="45"/>
      <c r="J358" s="45"/>
      <c r="K358" s="45"/>
      <c r="L358" s="45"/>
      <c r="M358" s="45"/>
      <c r="N358" s="45"/>
      <c r="O358" s="45"/>
      <c r="P358" s="45"/>
      <c r="Q358" s="45"/>
      <c r="R358" s="45"/>
      <c r="S358" s="45"/>
      <c r="T358" s="45"/>
      <c r="U358" s="45"/>
      <c r="V358" s="28"/>
      <c r="W358" s="172"/>
      <c r="X358" s="172"/>
      <c r="Y358" s="172"/>
      <c r="Z358" s="172"/>
      <c r="AA358" s="172"/>
      <c r="AB358" s="172"/>
      <c r="AC358" s="172"/>
      <c r="AD358" s="172"/>
      <c r="AE358" s="172"/>
      <c r="AF358" s="172"/>
      <c r="AG358" s="172"/>
      <c r="AH358" s="172"/>
      <c r="AI358" s="172"/>
      <c r="AJ358" s="172"/>
      <c r="AK358" s="172"/>
      <c r="AL358" s="172"/>
      <c r="AM358" s="172"/>
      <c r="AN358" s="172"/>
      <c r="AO358" s="172"/>
      <c r="AP358" s="172"/>
      <c r="AQ358" s="172"/>
      <c r="AR358" s="172"/>
      <c r="AS358" s="172"/>
    </row>
    <row r="359" spans="1:45" s="177" customFormat="1">
      <c r="A359" s="98" t="s">
        <v>1998</v>
      </c>
      <c r="B359" s="103"/>
      <c r="C359" s="103"/>
      <c r="D359" s="103"/>
      <c r="E359" s="226" t="s">
        <v>803</v>
      </c>
      <c r="F359" s="226" t="s">
        <v>804</v>
      </c>
      <c r="G359" s="226" t="s">
        <v>805</v>
      </c>
      <c r="H359" s="226" t="s">
        <v>806</v>
      </c>
      <c r="I359" s="226"/>
      <c r="J359" s="226"/>
      <c r="K359" s="226"/>
      <c r="L359" s="226"/>
      <c r="M359" s="226"/>
      <c r="N359" s="226"/>
      <c r="O359" s="226"/>
      <c r="P359" s="226"/>
      <c r="Q359" s="226"/>
      <c r="R359" s="226"/>
      <c r="S359" s="226"/>
      <c r="T359" s="226"/>
      <c r="U359" s="226"/>
      <c r="V359" s="112"/>
      <c r="W359" s="172"/>
      <c r="X359" s="172"/>
      <c r="Y359" s="172"/>
      <c r="Z359" s="172"/>
      <c r="AA359" s="172"/>
      <c r="AB359" s="172"/>
      <c r="AC359" s="172"/>
      <c r="AD359" s="172"/>
      <c r="AE359" s="172"/>
      <c r="AF359" s="172"/>
      <c r="AG359" s="172"/>
      <c r="AH359" s="172"/>
      <c r="AI359" s="172"/>
      <c r="AJ359" s="172"/>
      <c r="AK359" s="172"/>
      <c r="AL359" s="172"/>
      <c r="AM359" s="172"/>
      <c r="AN359" s="172"/>
      <c r="AO359" s="172"/>
      <c r="AP359" s="172"/>
      <c r="AQ359" s="172"/>
      <c r="AR359" s="172"/>
      <c r="AS359" s="172"/>
    </row>
    <row r="360" spans="1:45" s="176" customFormat="1">
      <c r="A360" s="69" t="s">
        <v>823</v>
      </c>
      <c r="B360" s="69" t="s">
        <v>824</v>
      </c>
      <c r="C360" s="40"/>
      <c r="D360" s="40"/>
      <c r="E360" s="48" t="s">
        <v>825</v>
      </c>
      <c r="F360" s="230"/>
      <c r="G360" s="48"/>
      <c r="H360" s="48"/>
      <c r="I360" s="48"/>
      <c r="J360" s="48"/>
      <c r="K360" s="48"/>
      <c r="L360" s="48"/>
      <c r="M360" s="48"/>
      <c r="N360" s="48"/>
      <c r="O360" s="48"/>
      <c r="P360" s="48"/>
      <c r="Q360" s="48"/>
      <c r="R360" s="48"/>
      <c r="S360" s="30"/>
      <c r="T360" s="30"/>
      <c r="U360" s="30"/>
      <c r="V360" s="23">
        <v>0</v>
      </c>
      <c r="W360" s="172"/>
      <c r="X360" s="172"/>
      <c r="Y360" s="172"/>
      <c r="Z360" s="172"/>
      <c r="AA360" s="172"/>
      <c r="AB360" s="172"/>
      <c r="AC360" s="172"/>
      <c r="AD360" s="172"/>
      <c r="AE360" s="172"/>
      <c r="AF360" s="172"/>
      <c r="AG360" s="172"/>
      <c r="AH360" s="172"/>
      <c r="AI360" s="172"/>
      <c r="AJ360" s="172"/>
      <c r="AK360" s="172"/>
      <c r="AL360" s="172"/>
      <c r="AM360" s="172"/>
      <c r="AN360" s="172"/>
      <c r="AO360" s="172"/>
      <c r="AP360" s="172"/>
      <c r="AQ360" s="172"/>
      <c r="AR360" s="172"/>
      <c r="AS360" s="172"/>
    </row>
    <row r="361" spans="1:45" s="176" customFormat="1">
      <c r="A361" s="69" t="s">
        <v>826</v>
      </c>
      <c r="B361" s="69" t="s">
        <v>827</v>
      </c>
      <c r="C361" s="40"/>
      <c r="D361" s="40"/>
      <c r="E361" s="48" t="s">
        <v>828</v>
      </c>
      <c r="F361" s="230"/>
      <c r="G361" s="48"/>
      <c r="H361" s="48"/>
      <c r="I361" s="48"/>
      <c r="J361" s="48"/>
      <c r="K361" s="48"/>
      <c r="L361" s="48"/>
      <c r="M361" s="48"/>
      <c r="N361" s="48"/>
      <c r="O361" s="48"/>
      <c r="P361" s="48"/>
      <c r="Q361" s="48"/>
      <c r="R361" s="48"/>
      <c r="S361" s="30"/>
      <c r="T361" s="30"/>
      <c r="U361" s="30"/>
      <c r="V361" s="23">
        <v>46</v>
      </c>
      <c r="W361" s="172"/>
      <c r="X361" s="172"/>
      <c r="Y361" s="172"/>
      <c r="Z361" s="172"/>
      <c r="AA361" s="172"/>
      <c r="AB361" s="172"/>
      <c r="AC361" s="172"/>
      <c r="AD361" s="172"/>
      <c r="AE361" s="172"/>
      <c r="AF361" s="172"/>
      <c r="AG361" s="172"/>
      <c r="AH361" s="172"/>
      <c r="AI361" s="172"/>
      <c r="AJ361" s="172"/>
      <c r="AK361" s="172"/>
      <c r="AL361" s="172"/>
      <c r="AM361" s="172"/>
      <c r="AN361" s="172"/>
      <c r="AO361" s="172"/>
      <c r="AP361" s="172"/>
      <c r="AQ361" s="172"/>
      <c r="AR361" s="172"/>
      <c r="AS361" s="172"/>
    </row>
    <row r="362" spans="1:45" s="176" customFormat="1">
      <c r="A362" s="69" t="s">
        <v>829</v>
      </c>
      <c r="B362" s="69" t="s">
        <v>830</v>
      </c>
      <c r="C362" s="40"/>
      <c r="D362" s="40"/>
      <c r="E362" s="48" t="s">
        <v>831</v>
      </c>
      <c r="F362" s="230"/>
      <c r="G362" s="48"/>
      <c r="H362" s="48"/>
      <c r="I362" s="48"/>
      <c r="J362" s="48"/>
      <c r="K362" s="48"/>
      <c r="L362" s="48"/>
      <c r="M362" s="48"/>
      <c r="N362" s="48"/>
      <c r="O362" s="48"/>
      <c r="P362" s="48"/>
      <c r="Q362" s="48"/>
      <c r="R362" s="48"/>
      <c r="S362" s="30"/>
      <c r="T362" s="30"/>
      <c r="U362" s="30"/>
      <c r="V362" s="23">
        <v>76</v>
      </c>
      <c r="W362" s="172"/>
      <c r="X362" s="172"/>
      <c r="Y362" s="172"/>
      <c r="Z362" s="172"/>
      <c r="AA362" s="172"/>
      <c r="AB362" s="172"/>
      <c r="AC362" s="172"/>
      <c r="AD362" s="172"/>
      <c r="AE362" s="172"/>
      <c r="AF362" s="172"/>
      <c r="AG362" s="172"/>
      <c r="AH362" s="172"/>
      <c r="AI362" s="172"/>
      <c r="AJ362" s="172"/>
      <c r="AK362" s="172"/>
      <c r="AL362" s="172"/>
      <c r="AM362" s="172"/>
      <c r="AN362" s="172"/>
      <c r="AO362" s="172"/>
      <c r="AP362" s="172"/>
      <c r="AQ362" s="172"/>
      <c r="AR362" s="172"/>
      <c r="AS362" s="172"/>
    </row>
    <row r="363" spans="1:45" s="176" customFormat="1" ht="27.6">
      <c r="A363" s="69" t="s">
        <v>832</v>
      </c>
      <c r="B363" s="69" t="s">
        <v>833</v>
      </c>
      <c r="C363" s="40"/>
      <c r="D363" s="40"/>
      <c r="E363" s="48" t="s">
        <v>834</v>
      </c>
      <c r="F363" s="230"/>
      <c r="G363" s="48"/>
      <c r="H363" s="48"/>
      <c r="I363" s="48"/>
      <c r="J363" s="48"/>
      <c r="K363" s="48"/>
      <c r="L363" s="48"/>
      <c r="M363" s="48"/>
      <c r="N363" s="48"/>
      <c r="O363" s="48"/>
      <c r="P363" s="48"/>
      <c r="Q363" s="48"/>
      <c r="R363" s="48"/>
      <c r="S363" s="30"/>
      <c r="T363" s="30"/>
      <c r="U363" s="30"/>
      <c r="V363" s="23">
        <v>46</v>
      </c>
      <c r="W363" s="172"/>
      <c r="X363" s="172"/>
      <c r="Y363" s="172"/>
      <c r="Z363" s="172"/>
      <c r="AA363" s="172"/>
      <c r="AB363" s="172"/>
      <c r="AC363" s="172"/>
      <c r="AD363" s="172"/>
      <c r="AE363" s="172"/>
      <c r="AF363" s="172"/>
      <c r="AG363" s="172"/>
      <c r="AH363" s="172"/>
      <c r="AI363" s="172"/>
      <c r="AJ363" s="172"/>
      <c r="AK363" s="172"/>
      <c r="AL363" s="172"/>
      <c r="AM363" s="172"/>
      <c r="AN363" s="172"/>
      <c r="AO363" s="172"/>
      <c r="AP363" s="172"/>
      <c r="AQ363" s="172"/>
      <c r="AR363" s="172"/>
      <c r="AS363" s="172"/>
    </row>
    <row r="364" spans="1:45" s="176" customFormat="1" ht="27.6">
      <c r="A364" s="69" t="s">
        <v>835</v>
      </c>
      <c r="B364" s="69" t="s">
        <v>836</v>
      </c>
      <c r="C364" s="40"/>
      <c r="D364" s="40"/>
      <c r="E364" s="48" t="s">
        <v>837</v>
      </c>
      <c r="F364" s="230"/>
      <c r="G364" s="48"/>
      <c r="H364" s="48"/>
      <c r="I364" s="48"/>
      <c r="J364" s="48"/>
      <c r="K364" s="48"/>
      <c r="L364" s="48"/>
      <c r="M364" s="48"/>
      <c r="N364" s="48"/>
      <c r="O364" s="48"/>
      <c r="P364" s="48"/>
      <c r="Q364" s="48"/>
      <c r="R364" s="48"/>
      <c r="S364" s="30"/>
      <c r="T364" s="30"/>
      <c r="U364" s="30"/>
      <c r="V364" s="23">
        <v>76</v>
      </c>
      <c r="W364" s="172"/>
      <c r="X364" s="172"/>
      <c r="Y364" s="172"/>
      <c r="Z364" s="172"/>
      <c r="AA364" s="172"/>
      <c r="AB364" s="172"/>
      <c r="AC364" s="172"/>
      <c r="AD364" s="172"/>
      <c r="AE364" s="172"/>
      <c r="AF364" s="172"/>
      <c r="AG364" s="172"/>
      <c r="AH364" s="172"/>
      <c r="AI364" s="172"/>
      <c r="AJ364" s="172"/>
      <c r="AK364" s="172"/>
      <c r="AL364" s="172"/>
      <c r="AM364" s="172"/>
      <c r="AN364" s="172"/>
      <c r="AO364" s="172"/>
      <c r="AP364" s="172"/>
      <c r="AQ364" s="172"/>
      <c r="AR364" s="172"/>
      <c r="AS364" s="172"/>
    </row>
    <row r="365" spans="1:45" s="177" customFormat="1" ht="31.5" customHeight="1">
      <c r="A365" s="69" t="s">
        <v>1972</v>
      </c>
      <c r="B365" s="339" t="s">
        <v>842</v>
      </c>
      <c r="C365" s="40"/>
      <c r="D365" s="40"/>
      <c r="E365" s="48"/>
      <c r="F365" s="306" t="s">
        <v>843</v>
      </c>
      <c r="G365" s="48"/>
      <c r="H365" s="48"/>
      <c r="I365" s="48"/>
      <c r="J365" s="48"/>
      <c r="K365" s="48"/>
      <c r="L365" s="48"/>
      <c r="M365" s="48"/>
      <c r="N365" s="48"/>
      <c r="O365" s="48"/>
      <c r="P365" s="48"/>
      <c r="Q365" s="48"/>
      <c r="R365" s="48"/>
      <c r="S365" s="30"/>
      <c r="T365" s="30"/>
      <c r="U365" s="30"/>
      <c r="V365" s="23">
        <v>0</v>
      </c>
    </row>
    <row r="366" spans="1:45" s="177" customFormat="1" ht="31.5" customHeight="1">
      <c r="A366" s="69" t="s">
        <v>1939</v>
      </c>
      <c r="B366" s="339" t="s">
        <v>838</v>
      </c>
      <c r="C366" s="40"/>
      <c r="D366" s="40"/>
      <c r="E366" s="48"/>
      <c r="F366" s="306" t="s">
        <v>839</v>
      </c>
      <c r="G366" s="48"/>
      <c r="H366" s="48"/>
      <c r="I366" s="48"/>
      <c r="J366" s="48"/>
      <c r="K366" s="48"/>
      <c r="L366" s="48"/>
      <c r="M366" s="48"/>
      <c r="N366" s="48"/>
      <c r="O366" s="48"/>
      <c r="P366" s="48"/>
      <c r="Q366" s="48"/>
      <c r="R366" s="48"/>
      <c r="S366" s="30"/>
      <c r="T366" s="30"/>
      <c r="U366" s="30"/>
      <c r="V366" s="23">
        <v>76</v>
      </c>
    </row>
    <row r="367" spans="1:45" s="177" customFormat="1" ht="31.5" customHeight="1">
      <c r="A367" s="69" t="s">
        <v>1973</v>
      </c>
      <c r="B367" s="339" t="s">
        <v>840</v>
      </c>
      <c r="C367" s="40"/>
      <c r="D367" s="40"/>
      <c r="E367" s="48"/>
      <c r="F367" s="306" t="s">
        <v>841</v>
      </c>
      <c r="G367" s="48"/>
      <c r="H367" s="48"/>
      <c r="I367" s="48"/>
      <c r="J367" s="48"/>
      <c r="K367" s="48"/>
      <c r="L367" s="48"/>
      <c r="M367" s="48"/>
      <c r="N367" s="48"/>
      <c r="O367" s="48"/>
      <c r="P367" s="48"/>
      <c r="Q367" s="48"/>
      <c r="R367" s="48"/>
      <c r="S367" s="30"/>
      <c r="T367" s="30"/>
      <c r="U367" s="30"/>
      <c r="V367" s="23">
        <v>76</v>
      </c>
    </row>
    <row r="368" spans="1:45" s="177" customFormat="1" ht="31.5" customHeight="1">
      <c r="A368" s="69" t="s">
        <v>1976</v>
      </c>
      <c r="B368" s="339" t="s">
        <v>844</v>
      </c>
      <c r="C368" s="40"/>
      <c r="D368" s="40"/>
      <c r="E368" s="48"/>
      <c r="F368" s="306" t="s">
        <v>845</v>
      </c>
      <c r="G368" s="48"/>
      <c r="H368" s="48"/>
      <c r="I368" s="48"/>
      <c r="J368" s="48"/>
      <c r="K368" s="48"/>
      <c r="L368" s="48"/>
      <c r="M368" s="48"/>
      <c r="N368" s="48"/>
      <c r="O368" s="48"/>
      <c r="P368" s="48"/>
      <c r="Q368" s="48"/>
      <c r="R368" s="48"/>
      <c r="S368" s="30"/>
      <c r="T368" s="30"/>
      <c r="U368" s="30"/>
      <c r="V368" s="23">
        <v>22</v>
      </c>
    </row>
    <row r="369" spans="1:45" s="177" customFormat="1" ht="31.5" customHeight="1">
      <c r="A369" s="69" t="s">
        <v>1974</v>
      </c>
      <c r="B369" s="339" t="s">
        <v>846</v>
      </c>
      <c r="C369" s="40"/>
      <c r="D369" s="40"/>
      <c r="E369" s="48"/>
      <c r="F369" s="306" t="s">
        <v>847</v>
      </c>
      <c r="G369" s="48"/>
      <c r="H369" s="48"/>
      <c r="I369" s="48"/>
      <c r="J369" s="48"/>
      <c r="K369" s="48"/>
      <c r="L369" s="48"/>
      <c r="M369" s="48"/>
      <c r="N369" s="48"/>
      <c r="O369" s="48"/>
      <c r="P369" s="48"/>
      <c r="Q369" s="48"/>
      <c r="R369" s="48"/>
      <c r="S369" s="30"/>
      <c r="T369" s="30"/>
      <c r="U369" s="30"/>
      <c r="V369" s="23">
        <v>72</v>
      </c>
    </row>
    <row r="370" spans="1:45" s="177" customFormat="1">
      <c r="A370" s="235"/>
      <c r="B370" s="140"/>
      <c r="C370" s="134"/>
      <c r="D370" s="134"/>
      <c r="E370" s="45"/>
      <c r="F370" s="45"/>
      <c r="G370" s="45"/>
      <c r="H370" s="45"/>
      <c r="I370" s="45"/>
      <c r="J370" s="45"/>
      <c r="K370" s="45"/>
      <c r="L370" s="45"/>
      <c r="M370" s="45"/>
      <c r="N370" s="45"/>
      <c r="O370" s="45"/>
      <c r="P370" s="45"/>
      <c r="Q370" s="45"/>
      <c r="R370" s="45"/>
      <c r="S370" s="45"/>
      <c r="T370" s="45"/>
      <c r="U370" s="45"/>
      <c r="V370" s="28"/>
      <c r="W370" s="172"/>
      <c r="X370" s="172"/>
      <c r="Y370" s="172"/>
      <c r="Z370" s="172"/>
      <c r="AA370" s="172"/>
      <c r="AB370" s="172"/>
      <c r="AC370" s="172"/>
      <c r="AD370" s="172"/>
      <c r="AE370" s="172"/>
      <c r="AF370" s="172"/>
      <c r="AG370" s="172"/>
      <c r="AH370" s="172"/>
      <c r="AI370" s="172"/>
      <c r="AJ370" s="172"/>
      <c r="AK370" s="172"/>
      <c r="AL370" s="172"/>
      <c r="AM370" s="172"/>
      <c r="AN370" s="172"/>
      <c r="AO370" s="172"/>
      <c r="AP370" s="172"/>
      <c r="AQ370" s="172"/>
      <c r="AR370" s="172"/>
      <c r="AS370" s="172"/>
    </row>
    <row r="371" spans="1:45" s="177" customFormat="1">
      <c r="A371" s="98" t="s">
        <v>1999</v>
      </c>
      <c r="B371" s="103"/>
      <c r="C371" s="103"/>
      <c r="D371" s="103"/>
      <c r="E371" s="226" t="s">
        <v>803</v>
      </c>
      <c r="F371" s="226" t="s">
        <v>804</v>
      </c>
      <c r="G371" s="226" t="s">
        <v>805</v>
      </c>
      <c r="H371" s="226" t="s">
        <v>806</v>
      </c>
      <c r="I371" s="226"/>
      <c r="J371" s="226"/>
      <c r="K371" s="226"/>
      <c r="L371" s="226"/>
      <c r="M371" s="226"/>
      <c r="N371" s="226"/>
      <c r="O371" s="226"/>
      <c r="P371" s="226"/>
      <c r="Q371" s="226"/>
      <c r="R371" s="226"/>
      <c r="S371" s="226"/>
      <c r="T371" s="226"/>
      <c r="U371" s="226"/>
      <c r="V371" s="112"/>
      <c r="W371" s="172"/>
      <c r="X371" s="172"/>
      <c r="Y371" s="172"/>
      <c r="Z371" s="172"/>
      <c r="AA371" s="172"/>
      <c r="AB371" s="172"/>
      <c r="AC371" s="172"/>
      <c r="AD371" s="172"/>
      <c r="AE371" s="172"/>
      <c r="AF371" s="172"/>
      <c r="AG371" s="172"/>
      <c r="AH371" s="172"/>
      <c r="AI371" s="172"/>
      <c r="AJ371" s="172"/>
      <c r="AK371" s="172"/>
      <c r="AL371" s="172"/>
      <c r="AM371" s="172"/>
      <c r="AN371" s="172"/>
      <c r="AO371" s="172"/>
      <c r="AP371" s="172"/>
      <c r="AQ371" s="172"/>
      <c r="AR371" s="172"/>
      <c r="AS371" s="172"/>
    </row>
    <row r="372" spans="1:45" s="176" customFormat="1">
      <c r="A372" s="69" t="s">
        <v>848</v>
      </c>
      <c r="B372" s="69" t="s">
        <v>849</v>
      </c>
      <c r="C372" s="150"/>
      <c r="D372" s="150"/>
      <c r="E372" s="48"/>
      <c r="F372" s="48"/>
      <c r="G372" s="69" t="s">
        <v>850</v>
      </c>
      <c r="H372" s="230"/>
      <c r="I372" s="230"/>
      <c r="J372" s="69"/>
      <c r="K372" s="69"/>
      <c r="L372" s="69"/>
      <c r="M372" s="104"/>
      <c r="N372" s="104"/>
      <c r="O372" s="104"/>
      <c r="P372" s="104"/>
      <c r="Q372" s="104"/>
      <c r="R372" s="104"/>
      <c r="S372" s="104"/>
      <c r="T372" s="104"/>
      <c r="U372" s="104"/>
      <c r="V372" s="294">
        <v>0</v>
      </c>
      <c r="W372" s="172"/>
      <c r="X372" s="172"/>
      <c r="Y372" s="172"/>
      <c r="Z372" s="172"/>
      <c r="AA372" s="172"/>
      <c r="AB372" s="172"/>
      <c r="AC372" s="172"/>
      <c r="AD372" s="172"/>
      <c r="AE372" s="172"/>
      <c r="AF372" s="172"/>
      <c r="AG372" s="172"/>
      <c r="AH372" s="172"/>
      <c r="AI372" s="172"/>
      <c r="AJ372" s="172"/>
      <c r="AK372" s="172"/>
      <c r="AL372" s="172"/>
      <c r="AM372" s="172"/>
      <c r="AN372" s="172"/>
      <c r="AO372" s="172"/>
      <c r="AP372" s="172"/>
      <c r="AQ372" s="172"/>
      <c r="AR372" s="172"/>
      <c r="AS372" s="172"/>
    </row>
    <row r="373" spans="1:45" s="176" customFormat="1">
      <c r="A373" s="69" t="s">
        <v>851</v>
      </c>
      <c r="B373" s="69" t="s">
        <v>852</v>
      </c>
      <c r="C373" s="150"/>
      <c r="D373" s="150"/>
      <c r="E373" s="48"/>
      <c r="F373" s="48"/>
      <c r="G373" s="69" t="s">
        <v>853</v>
      </c>
      <c r="H373" s="230"/>
      <c r="I373" s="230"/>
      <c r="J373" s="69"/>
      <c r="K373" s="69"/>
      <c r="L373" s="69"/>
      <c r="M373" s="104"/>
      <c r="N373" s="104"/>
      <c r="O373" s="104"/>
      <c r="P373" s="104"/>
      <c r="Q373" s="104"/>
      <c r="R373" s="104"/>
      <c r="S373" s="104"/>
      <c r="T373" s="104"/>
      <c r="U373" s="104"/>
      <c r="V373" s="23">
        <v>20</v>
      </c>
      <c r="W373" s="172"/>
      <c r="X373" s="172"/>
      <c r="Y373" s="172"/>
      <c r="Z373" s="172"/>
      <c r="AA373" s="172"/>
      <c r="AB373" s="172"/>
      <c r="AC373" s="172"/>
      <c r="AD373" s="172"/>
      <c r="AE373" s="172"/>
      <c r="AF373" s="172"/>
      <c r="AG373" s="172"/>
      <c r="AH373" s="172"/>
      <c r="AI373" s="172"/>
      <c r="AJ373" s="172"/>
      <c r="AK373" s="172"/>
      <c r="AL373" s="172"/>
      <c r="AM373" s="172"/>
      <c r="AN373" s="172"/>
      <c r="AO373" s="172"/>
      <c r="AP373" s="172"/>
      <c r="AQ373" s="172"/>
      <c r="AR373" s="172"/>
      <c r="AS373" s="172"/>
    </row>
    <row r="374" spans="1:45" s="176" customFormat="1">
      <c r="A374" s="69" t="s">
        <v>854</v>
      </c>
      <c r="B374" s="69" t="s">
        <v>855</v>
      </c>
      <c r="C374" s="150"/>
      <c r="D374" s="150"/>
      <c r="E374" s="48"/>
      <c r="F374" s="48"/>
      <c r="G374" s="69" t="s">
        <v>856</v>
      </c>
      <c r="H374" s="230"/>
      <c r="I374" s="230"/>
      <c r="J374" s="69"/>
      <c r="K374" s="69"/>
      <c r="L374" s="69"/>
      <c r="M374" s="104"/>
      <c r="N374" s="104"/>
      <c r="O374" s="104"/>
      <c r="P374" s="104"/>
      <c r="Q374" s="104"/>
      <c r="R374" s="104"/>
      <c r="S374" s="104"/>
      <c r="T374" s="104"/>
      <c r="U374" s="104"/>
      <c r="V374" s="23">
        <v>20</v>
      </c>
      <c r="W374" s="172"/>
      <c r="X374" s="172"/>
      <c r="Y374" s="172"/>
      <c r="Z374" s="172"/>
      <c r="AA374" s="172"/>
      <c r="AB374" s="172"/>
      <c r="AC374" s="172"/>
      <c r="AD374" s="172"/>
      <c r="AE374" s="172"/>
      <c r="AF374" s="172"/>
      <c r="AG374" s="172"/>
      <c r="AH374" s="172"/>
      <c r="AI374" s="172"/>
      <c r="AJ374" s="172"/>
      <c r="AK374" s="172"/>
      <c r="AL374" s="172"/>
      <c r="AM374" s="172"/>
      <c r="AN374" s="172"/>
      <c r="AO374" s="172"/>
      <c r="AP374" s="172"/>
      <c r="AQ374" s="172"/>
      <c r="AR374" s="172"/>
      <c r="AS374" s="172"/>
    </row>
    <row r="375" spans="1:45" s="176" customFormat="1" ht="27.6">
      <c r="A375" s="69" t="s">
        <v>857</v>
      </c>
      <c r="B375" s="69" t="s">
        <v>858</v>
      </c>
      <c r="C375" s="150"/>
      <c r="D375" s="150"/>
      <c r="E375" s="48"/>
      <c r="F375" s="48"/>
      <c r="G375" s="138" t="s">
        <v>859</v>
      </c>
      <c r="H375" s="230"/>
      <c r="I375" s="230"/>
      <c r="J375" s="138"/>
      <c r="K375" s="138"/>
      <c r="L375" s="138"/>
      <c r="M375" s="104"/>
      <c r="N375" s="104"/>
      <c r="O375" s="104"/>
      <c r="P375" s="104"/>
      <c r="Q375" s="104"/>
      <c r="R375" s="104"/>
      <c r="S375" s="104"/>
      <c r="T375" s="104"/>
      <c r="U375" s="104"/>
      <c r="V375" s="23">
        <v>76</v>
      </c>
      <c r="W375" s="172"/>
      <c r="X375" s="172"/>
      <c r="Y375" s="172"/>
      <c r="Z375" s="172"/>
      <c r="AA375" s="172"/>
      <c r="AB375" s="172"/>
      <c r="AC375" s="172"/>
      <c r="AD375" s="172"/>
      <c r="AE375" s="172"/>
      <c r="AF375" s="172"/>
      <c r="AG375" s="172"/>
      <c r="AH375" s="172"/>
      <c r="AI375" s="172"/>
      <c r="AJ375" s="172"/>
      <c r="AK375" s="172"/>
      <c r="AL375" s="172"/>
      <c r="AM375" s="172"/>
      <c r="AN375" s="172"/>
      <c r="AO375" s="172"/>
      <c r="AP375" s="172"/>
      <c r="AQ375" s="172"/>
      <c r="AR375" s="172"/>
      <c r="AS375" s="172"/>
    </row>
    <row r="376" spans="1:45" s="176" customFormat="1" ht="27.6">
      <c r="A376" s="69" t="s">
        <v>835</v>
      </c>
      <c r="B376" s="69" t="s">
        <v>860</v>
      </c>
      <c r="C376" s="150"/>
      <c r="D376" s="150"/>
      <c r="E376" s="48"/>
      <c r="F376" s="48"/>
      <c r="G376" s="138" t="s">
        <v>861</v>
      </c>
      <c r="H376" s="230"/>
      <c r="I376" s="230"/>
      <c r="J376" s="138"/>
      <c r="K376" s="138"/>
      <c r="L376" s="138"/>
      <c r="M376" s="104"/>
      <c r="N376" s="104"/>
      <c r="O376" s="104"/>
      <c r="P376" s="104"/>
      <c r="Q376" s="104"/>
      <c r="R376" s="104"/>
      <c r="S376" s="104"/>
      <c r="T376" s="104"/>
      <c r="U376" s="104"/>
      <c r="V376" s="23">
        <v>96</v>
      </c>
      <c r="W376" s="172"/>
      <c r="X376" s="172"/>
      <c r="Y376" s="172"/>
      <c r="Z376" s="172"/>
      <c r="AA376" s="172"/>
      <c r="AB376" s="172"/>
      <c r="AC376" s="172"/>
      <c r="AD376" s="172"/>
      <c r="AE376" s="172"/>
      <c r="AF376" s="172"/>
      <c r="AG376" s="172"/>
      <c r="AH376" s="172"/>
      <c r="AI376" s="172"/>
      <c r="AJ376" s="172"/>
      <c r="AK376" s="172"/>
      <c r="AL376" s="172"/>
      <c r="AM376" s="172"/>
      <c r="AN376" s="172"/>
      <c r="AO376" s="172"/>
      <c r="AP376" s="172"/>
      <c r="AQ376" s="172"/>
      <c r="AR376" s="172"/>
      <c r="AS376" s="172"/>
    </row>
    <row r="377" spans="1:45" s="176" customFormat="1">
      <c r="A377" s="69" t="s">
        <v>862</v>
      </c>
      <c r="B377" s="69" t="s">
        <v>863</v>
      </c>
      <c r="C377" s="150"/>
      <c r="D377" s="150"/>
      <c r="E377" s="48"/>
      <c r="F377" s="48"/>
      <c r="G377" s="138" t="s">
        <v>864</v>
      </c>
      <c r="H377" s="230"/>
      <c r="I377" s="230"/>
      <c r="J377" s="138"/>
      <c r="K377" s="138"/>
      <c r="L377" s="138"/>
      <c r="M377" s="104"/>
      <c r="N377" s="104"/>
      <c r="O377" s="104"/>
      <c r="P377" s="104"/>
      <c r="Q377" s="104"/>
      <c r="R377" s="104"/>
      <c r="S377" s="104"/>
      <c r="T377" s="104"/>
      <c r="U377" s="104"/>
      <c r="V377" s="23">
        <v>30</v>
      </c>
      <c r="W377" s="172"/>
      <c r="X377" s="172"/>
      <c r="Y377" s="172"/>
      <c r="Z377" s="172"/>
      <c r="AA377" s="172"/>
      <c r="AB377" s="172"/>
      <c r="AC377" s="172"/>
      <c r="AD377" s="172"/>
      <c r="AE377" s="172"/>
      <c r="AF377" s="172"/>
      <c r="AG377" s="172"/>
      <c r="AH377" s="172"/>
      <c r="AI377" s="172"/>
      <c r="AJ377" s="172"/>
      <c r="AK377" s="172"/>
      <c r="AL377" s="172"/>
      <c r="AM377" s="172"/>
      <c r="AN377" s="172"/>
      <c r="AO377" s="172"/>
      <c r="AP377" s="172"/>
      <c r="AQ377" s="172"/>
      <c r="AR377" s="172"/>
      <c r="AS377" s="172"/>
    </row>
    <row r="378" spans="1:45" s="176" customFormat="1">
      <c r="A378" s="69"/>
      <c r="B378" s="69"/>
      <c r="C378" s="150"/>
      <c r="D378" s="150"/>
      <c r="E378" s="48"/>
      <c r="F378" s="48"/>
      <c r="G378" s="104"/>
      <c r="H378" s="104"/>
      <c r="I378" s="104"/>
      <c r="J378" s="104"/>
      <c r="K378" s="104"/>
      <c r="L378" s="104"/>
      <c r="M378" s="104"/>
      <c r="N378" s="104"/>
      <c r="O378" s="104"/>
      <c r="P378" s="104"/>
      <c r="Q378" s="104"/>
      <c r="R378" s="104"/>
      <c r="S378" s="104"/>
      <c r="T378" s="104"/>
      <c r="U378" s="104"/>
      <c r="V378" s="23"/>
      <c r="W378" s="172"/>
      <c r="X378" s="172"/>
      <c r="Y378" s="172"/>
      <c r="Z378" s="172"/>
      <c r="AA378" s="172"/>
      <c r="AB378" s="172"/>
      <c r="AC378" s="172"/>
      <c r="AD378" s="172"/>
      <c r="AE378" s="172"/>
      <c r="AF378" s="172"/>
      <c r="AG378" s="172"/>
      <c r="AH378" s="172"/>
      <c r="AI378" s="172"/>
      <c r="AJ378" s="172"/>
      <c r="AK378" s="172"/>
      <c r="AL378" s="172"/>
      <c r="AM378" s="172"/>
      <c r="AN378" s="172"/>
      <c r="AO378" s="172"/>
      <c r="AP378" s="172"/>
      <c r="AQ378" s="172"/>
      <c r="AR378" s="172"/>
      <c r="AS378" s="172"/>
    </row>
    <row r="379" spans="1:45" s="177" customFormat="1" ht="32.25" customHeight="1">
      <c r="A379" s="142" t="s">
        <v>1707</v>
      </c>
      <c r="B379" s="339" t="s">
        <v>865</v>
      </c>
      <c r="C379" s="150"/>
      <c r="D379" s="150"/>
      <c r="E379" s="48"/>
      <c r="F379" s="48"/>
      <c r="G379" s="104"/>
      <c r="H379" s="306" t="s">
        <v>866</v>
      </c>
      <c r="I379" s="104"/>
      <c r="J379" s="104"/>
      <c r="K379" s="104"/>
      <c r="L379" s="104"/>
      <c r="M379" s="104"/>
      <c r="N379" s="104"/>
      <c r="O379" s="104"/>
      <c r="P379" s="104"/>
      <c r="Q379" s="104"/>
      <c r="R379" s="104"/>
      <c r="S379" s="104"/>
      <c r="T379" s="104"/>
      <c r="U379" s="104"/>
      <c r="V379" s="23">
        <v>12</v>
      </c>
    </row>
    <row r="380" spans="1:45" s="177" customFormat="1" ht="32.25" customHeight="1">
      <c r="A380" s="142" t="s">
        <v>1975</v>
      </c>
      <c r="B380" s="339" t="s">
        <v>867</v>
      </c>
      <c r="C380" s="150"/>
      <c r="D380" s="150"/>
      <c r="E380" s="48"/>
      <c r="F380" s="48"/>
      <c r="G380" s="104"/>
      <c r="H380" s="306" t="s">
        <v>868</v>
      </c>
      <c r="I380" s="104"/>
      <c r="J380" s="104"/>
      <c r="K380" s="104"/>
      <c r="L380" s="104"/>
      <c r="M380" s="104"/>
      <c r="N380" s="104"/>
      <c r="O380" s="104"/>
      <c r="P380" s="104"/>
      <c r="Q380" s="104"/>
      <c r="R380" s="104"/>
      <c r="S380" s="104"/>
      <c r="T380" s="104"/>
      <c r="U380" s="104"/>
      <c r="V380" s="23">
        <v>12</v>
      </c>
    </row>
    <row r="381" spans="1:45" s="177" customFormat="1" ht="32.25" customHeight="1">
      <c r="A381" s="142" t="s">
        <v>1979</v>
      </c>
      <c r="B381" s="339" t="s">
        <v>869</v>
      </c>
      <c r="C381" s="150"/>
      <c r="D381" s="150"/>
      <c r="E381" s="48"/>
      <c r="F381" s="48"/>
      <c r="G381" s="104"/>
      <c r="H381" s="306" t="s">
        <v>870</v>
      </c>
      <c r="I381" s="104"/>
      <c r="J381" s="104"/>
      <c r="K381" s="104"/>
      <c r="L381" s="104"/>
      <c r="M381" s="104"/>
      <c r="N381" s="104"/>
      <c r="O381" s="104"/>
      <c r="P381" s="104"/>
      <c r="Q381" s="104"/>
      <c r="R381" s="104"/>
      <c r="S381" s="104"/>
      <c r="T381" s="104"/>
      <c r="U381" s="104"/>
      <c r="V381" s="23">
        <v>32</v>
      </c>
    </row>
    <row r="382" spans="1:45" s="177" customFormat="1" ht="32.25" customHeight="1">
      <c r="A382" s="142" t="s">
        <v>1978</v>
      </c>
      <c r="B382" s="339" t="s">
        <v>871</v>
      </c>
      <c r="C382" s="150"/>
      <c r="D382" s="150"/>
      <c r="E382" s="48"/>
      <c r="F382" s="48"/>
      <c r="G382" s="104"/>
      <c r="H382" s="306" t="s">
        <v>1901</v>
      </c>
      <c r="I382" s="104"/>
      <c r="J382" s="104"/>
      <c r="K382" s="104"/>
      <c r="L382" s="104"/>
      <c r="M382" s="104"/>
      <c r="N382" s="104"/>
      <c r="O382" s="104"/>
      <c r="P382" s="104"/>
      <c r="Q382" s="104"/>
      <c r="R382" s="104"/>
      <c r="S382" s="104"/>
      <c r="T382" s="104"/>
      <c r="U382" s="104"/>
      <c r="V382" s="23">
        <v>46</v>
      </c>
    </row>
    <row r="383" spans="1:45" s="177" customFormat="1" ht="32.25" customHeight="1">
      <c r="A383" s="142" t="s">
        <v>1940</v>
      </c>
      <c r="B383" s="339" t="s">
        <v>872</v>
      </c>
      <c r="C383" s="150"/>
      <c r="D383" s="150"/>
      <c r="E383" s="48"/>
      <c r="F383" s="48"/>
      <c r="G383" s="104"/>
      <c r="H383" s="306" t="s">
        <v>873</v>
      </c>
      <c r="I383" s="104"/>
      <c r="J383" s="104"/>
      <c r="K383" s="104"/>
      <c r="L383" s="104"/>
      <c r="M383" s="104"/>
      <c r="N383" s="104"/>
      <c r="O383" s="104"/>
      <c r="P383" s="104"/>
      <c r="Q383" s="104"/>
      <c r="R383" s="104"/>
      <c r="S383" s="104"/>
      <c r="T383" s="104"/>
      <c r="U383" s="104"/>
      <c r="V383" s="23">
        <v>0</v>
      </c>
    </row>
    <row r="384" spans="1:45" s="177" customFormat="1" ht="32.25" customHeight="1">
      <c r="A384" s="142" t="s">
        <v>1977</v>
      </c>
      <c r="B384" s="339" t="s">
        <v>874</v>
      </c>
      <c r="C384" s="150"/>
      <c r="D384" s="150"/>
      <c r="E384" s="48"/>
      <c r="F384" s="48"/>
      <c r="G384" s="104"/>
      <c r="H384" s="306" t="s">
        <v>875</v>
      </c>
      <c r="I384" s="104"/>
      <c r="J384" s="104"/>
      <c r="K384" s="104"/>
      <c r="L384" s="104"/>
      <c r="M384" s="104"/>
      <c r="N384" s="104"/>
      <c r="O384" s="104"/>
      <c r="P384" s="104"/>
      <c r="Q384" s="104"/>
      <c r="R384" s="104"/>
      <c r="S384" s="104"/>
      <c r="T384" s="104"/>
      <c r="U384" s="104"/>
      <c r="V384" s="23">
        <v>72</v>
      </c>
    </row>
    <row r="385" spans="1:45" s="177" customFormat="1" ht="32.25" customHeight="1">
      <c r="A385" s="142" t="s">
        <v>1941</v>
      </c>
      <c r="B385" s="339" t="s">
        <v>876</v>
      </c>
      <c r="C385" s="150"/>
      <c r="D385" s="150"/>
      <c r="E385" s="48"/>
      <c r="F385" s="48"/>
      <c r="G385" s="104"/>
      <c r="H385" s="306" t="s">
        <v>877</v>
      </c>
      <c r="I385" s="104"/>
      <c r="J385" s="104"/>
      <c r="K385" s="104"/>
      <c r="L385" s="104"/>
      <c r="M385" s="104"/>
      <c r="N385" s="104"/>
      <c r="O385" s="104"/>
      <c r="P385" s="104"/>
      <c r="Q385" s="104"/>
      <c r="R385" s="104"/>
      <c r="S385" s="104"/>
      <c r="T385" s="104"/>
      <c r="U385" s="104"/>
      <c r="V385" s="23">
        <v>82</v>
      </c>
    </row>
    <row r="386" spans="1:45" s="176" customFormat="1">
      <c r="A386" s="69"/>
      <c r="B386" s="69"/>
      <c r="C386" s="150"/>
      <c r="D386" s="150"/>
      <c r="E386" s="48"/>
      <c r="F386" s="48"/>
      <c r="G386" s="104"/>
      <c r="H386" s="104"/>
      <c r="I386" s="104"/>
      <c r="J386" s="104"/>
      <c r="K386" s="104"/>
      <c r="L386" s="104"/>
      <c r="M386" s="104"/>
      <c r="N386" s="104"/>
      <c r="O386" s="104"/>
      <c r="P386" s="104"/>
      <c r="Q386" s="104"/>
      <c r="R386" s="104"/>
      <c r="S386" s="104"/>
      <c r="T386" s="104"/>
      <c r="U386" s="104"/>
      <c r="V386" s="23"/>
      <c r="W386" s="172"/>
      <c r="X386" s="172"/>
      <c r="Y386" s="172"/>
      <c r="Z386" s="172"/>
      <c r="AA386" s="172"/>
      <c r="AB386" s="172"/>
      <c r="AC386" s="172"/>
      <c r="AD386" s="172"/>
      <c r="AE386" s="172"/>
      <c r="AF386" s="172"/>
      <c r="AG386" s="172"/>
      <c r="AH386" s="172"/>
      <c r="AI386" s="172"/>
      <c r="AJ386" s="172"/>
      <c r="AK386" s="172"/>
      <c r="AL386" s="172"/>
      <c r="AM386" s="172"/>
      <c r="AN386" s="172"/>
      <c r="AO386" s="172"/>
      <c r="AP386" s="172"/>
      <c r="AQ386" s="172"/>
      <c r="AR386" s="172"/>
      <c r="AS386" s="172"/>
    </row>
    <row r="387" spans="1:45" s="177" customFormat="1">
      <c r="A387" s="98" t="s">
        <v>2000</v>
      </c>
      <c r="B387" s="103"/>
      <c r="C387" s="103"/>
      <c r="D387" s="103"/>
      <c r="E387" s="226"/>
      <c r="F387" s="226"/>
      <c r="G387" s="226"/>
      <c r="H387" s="226"/>
      <c r="I387" s="226"/>
      <c r="J387" s="226"/>
      <c r="K387" s="226"/>
      <c r="L387" s="226"/>
      <c r="M387" s="226"/>
      <c r="N387" s="226"/>
      <c r="O387" s="226"/>
      <c r="P387" s="226"/>
      <c r="Q387" s="226"/>
      <c r="R387" s="226"/>
      <c r="S387" s="226"/>
      <c r="T387" s="226"/>
      <c r="U387" s="226"/>
      <c r="V387" s="112"/>
      <c r="W387" s="172"/>
      <c r="X387" s="172"/>
      <c r="Y387" s="172"/>
      <c r="Z387" s="172"/>
      <c r="AA387" s="172"/>
      <c r="AB387" s="172"/>
      <c r="AC387" s="172"/>
      <c r="AD387" s="172"/>
      <c r="AE387" s="172"/>
      <c r="AF387" s="172"/>
      <c r="AG387" s="172"/>
      <c r="AH387" s="172"/>
      <c r="AI387" s="172"/>
      <c r="AJ387" s="172"/>
      <c r="AK387" s="172"/>
      <c r="AL387" s="172"/>
      <c r="AM387" s="172"/>
      <c r="AN387" s="172"/>
      <c r="AO387" s="172"/>
      <c r="AP387" s="172"/>
      <c r="AQ387" s="172"/>
      <c r="AR387" s="172"/>
      <c r="AS387" s="172"/>
    </row>
    <row r="388" spans="1:45" s="177" customFormat="1">
      <c r="A388" s="69" t="s">
        <v>878</v>
      </c>
      <c r="B388" s="67" t="s">
        <v>879</v>
      </c>
      <c r="C388" s="178"/>
      <c r="D388" s="178"/>
      <c r="E388" s="48" t="s">
        <v>880</v>
      </c>
      <c r="F388" s="306" t="s">
        <v>881</v>
      </c>
      <c r="G388" s="95"/>
      <c r="H388" s="95"/>
      <c r="I388" s="95"/>
      <c r="J388" s="95"/>
      <c r="K388" s="95"/>
      <c r="L388" s="95"/>
      <c r="M388" s="95"/>
      <c r="N388" s="95"/>
      <c r="O388" s="95"/>
      <c r="P388" s="95"/>
      <c r="Q388" s="95"/>
      <c r="R388" s="95"/>
      <c r="S388" s="139"/>
      <c r="T388" s="139"/>
      <c r="U388" s="139"/>
      <c r="V388" s="23">
        <v>50</v>
      </c>
    </row>
    <row r="389" spans="1:45" s="177" customFormat="1">
      <c r="A389" s="69"/>
      <c r="B389" s="67"/>
      <c r="C389" s="178"/>
      <c r="D389" s="178"/>
      <c r="E389" s="48"/>
      <c r="F389" s="48"/>
      <c r="G389" s="95"/>
      <c r="H389" s="95"/>
      <c r="I389" s="95"/>
      <c r="J389" s="95"/>
      <c r="K389" s="95"/>
      <c r="L389" s="95"/>
      <c r="M389" s="95"/>
      <c r="N389" s="95"/>
      <c r="O389" s="95"/>
      <c r="P389" s="95"/>
      <c r="Q389" s="95"/>
      <c r="R389" s="95"/>
      <c r="S389" s="139"/>
      <c r="T389" s="139"/>
      <c r="U389" s="139"/>
      <c r="V389" s="23"/>
    </row>
    <row r="390" spans="1:45" s="177" customFormat="1">
      <c r="A390" s="98" t="s">
        <v>253</v>
      </c>
      <c r="B390" s="103"/>
      <c r="C390" s="103"/>
      <c r="D390" s="103"/>
      <c r="E390" s="226"/>
      <c r="F390" s="226"/>
      <c r="G390" s="226"/>
      <c r="H390" s="226"/>
      <c r="I390" s="226"/>
      <c r="J390" s="226"/>
      <c r="K390" s="226"/>
      <c r="L390" s="226"/>
      <c r="M390" s="226"/>
      <c r="N390" s="226"/>
      <c r="O390" s="226"/>
      <c r="P390" s="226"/>
      <c r="Q390" s="226"/>
      <c r="R390" s="226"/>
      <c r="S390" s="226"/>
      <c r="T390" s="226"/>
      <c r="U390" s="226"/>
      <c r="V390" s="112"/>
      <c r="W390" s="172"/>
      <c r="X390" s="172"/>
      <c r="Y390" s="172"/>
      <c r="Z390" s="172"/>
      <c r="AA390" s="172"/>
      <c r="AB390" s="172"/>
      <c r="AC390" s="172"/>
      <c r="AD390" s="172"/>
      <c r="AE390" s="172"/>
      <c r="AF390" s="172"/>
      <c r="AG390" s="172"/>
      <c r="AH390" s="172"/>
      <c r="AI390" s="172"/>
      <c r="AJ390" s="172"/>
      <c r="AK390" s="172"/>
      <c r="AL390" s="172"/>
      <c r="AM390" s="172"/>
      <c r="AN390" s="172"/>
      <c r="AO390" s="172"/>
      <c r="AP390" s="172"/>
      <c r="AQ390" s="172"/>
      <c r="AR390" s="172"/>
      <c r="AS390" s="172"/>
    </row>
    <row r="391" spans="1:45" s="163" customFormat="1" ht="27.6">
      <c r="A391" s="69" t="s">
        <v>882</v>
      </c>
      <c r="B391" s="69" t="s">
        <v>883</v>
      </c>
      <c r="C391" s="150"/>
      <c r="D391" s="150"/>
      <c r="E391" s="48" t="s">
        <v>884</v>
      </c>
      <c r="F391" s="306" t="s">
        <v>1635</v>
      </c>
      <c r="G391" s="138" t="s">
        <v>885</v>
      </c>
      <c r="H391" s="306" t="s">
        <v>1636</v>
      </c>
      <c r="I391" s="230"/>
      <c r="J391" s="138"/>
      <c r="K391" s="138"/>
      <c r="L391" s="138"/>
      <c r="M391" s="104"/>
      <c r="N391" s="104"/>
      <c r="O391" s="104"/>
      <c r="P391" s="104"/>
      <c r="Q391" s="104"/>
      <c r="R391" s="104"/>
      <c r="S391" s="104"/>
      <c r="T391" s="104"/>
      <c r="U391" s="104"/>
      <c r="V391" s="23">
        <v>0</v>
      </c>
    </row>
    <row r="392" spans="1:45" s="163" customFormat="1">
      <c r="A392" s="69"/>
      <c r="B392" s="69"/>
      <c r="C392" s="150"/>
      <c r="D392" s="150"/>
      <c r="E392" s="48"/>
      <c r="F392" s="48"/>
      <c r="G392" s="104"/>
      <c r="H392" s="104"/>
      <c r="I392" s="104"/>
      <c r="J392" s="104"/>
      <c r="K392" s="104"/>
      <c r="L392" s="104"/>
      <c r="M392" s="104"/>
      <c r="N392" s="104"/>
      <c r="O392" s="104"/>
      <c r="P392" s="104"/>
      <c r="Q392" s="104"/>
      <c r="R392" s="104"/>
      <c r="S392" s="104"/>
      <c r="T392" s="104"/>
      <c r="U392" s="104"/>
      <c r="V392" s="23"/>
    </row>
    <row r="393" spans="1:45" s="163" customFormat="1">
      <c r="A393" s="98" t="s">
        <v>228</v>
      </c>
      <c r="B393" s="103"/>
      <c r="C393" s="103"/>
      <c r="D393" s="103"/>
      <c r="E393" s="226"/>
      <c r="F393" s="226"/>
      <c r="G393" s="226"/>
      <c r="H393" s="226"/>
      <c r="I393" s="226"/>
      <c r="J393" s="226"/>
      <c r="K393" s="226"/>
      <c r="L393" s="226"/>
      <c r="M393" s="226"/>
      <c r="N393" s="226"/>
      <c r="O393" s="226"/>
      <c r="P393" s="226"/>
      <c r="Q393" s="226"/>
      <c r="R393" s="226"/>
      <c r="S393" s="226"/>
      <c r="T393" s="226"/>
      <c r="U393" s="226"/>
      <c r="V393" s="112"/>
      <c r="W393" s="166"/>
      <c r="X393" s="166"/>
      <c r="Y393" s="166"/>
      <c r="Z393" s="166"/>
      <c r="AA393" s="166"/>
      <c r="AB393" s="166"/>
      <c r="AC393" s="166"/>
      <c r="AD393" s="166"/>
      <c r="AE393" s="166"/>
      <c r="AF393" s="166"/>
      <c r="AG393" s="166"/>
      <c r="AH393" s="166"/>
      <c r="AI393" s="166"/>
      <c r="AJ393" s="166"/>
      <c r="AK393" s="166"/>
      <c r="AL393" s="166"/>
      <c r="AM393" s="166"/>
      <c r="AN393" s="166"/>
      <c r="AO393" s="166"/>
      <c r="AP393" s="166"/>
      <c r="AQ393" s="166"/>
      <c r="AR393" s="166"/>
      <c r="AS393" s="166"/>
    </row>
    <row r="394" spans="1:45" s="163" customFormat="1">
      <c r="A394" s="69" t="s">
        <v>886</v>
      </c>
      <c r="B394" s="69" t="s">
        <v>886</v>
      </c>
      <c r="C394" s="107"/>
      <c r="D394" s="107"/>
      <c r="E394" s="48" t="s">
        <v>887</v>
      </c>
      <c r="F394" s="306" t="s">
        <v>888</v>
      </c>
      <c r="G394" s="306" t="s">
        <v>889</v>
      </c>
      <c r="H394" s="306" t="s">
        <v>890</v>
      </c>
      <c r="I394" s="230"/>
      <c r="J394" s="306"/>
      <c r="K394" s="306"/>
      <c r="L394" s="306"/>
      <c r="M394" s="230"/>
      <c r="N394" s="230"/>
      <c r="O394" s="230"/>
      <c r="P394" s="230"/>
      <c r="Q394" s="230"/>
      <c r="R394" s="230"/>
      <c r="S394" s="72"/>
      <c r="T394" s="72"/>
      <c r="U394" s="72"/>
      <c r="V394" s="28">
        <v>6</v>
      </c>
      <c r="W394" s="166"/>
      <c r="X394" s="166"/>
      <c r="Y394" s="166"/>
      <c r="Z394" s="166"/>
      <c r="AA394" s="166"/>
      <c r="AB394" s="166"/>
      <c r="AC394" s="166"/>
      <c r="AD394" s="166"/>
      <c r="AE394" s="166"/>
      <c r="AF394" s="166"/>
      <c r="AG394" s="166"/>
      <c r="AH394" s="166"/>
      <c r="AI394" s="166"/>
      <c r="AJ394" s="166"/>
      <c r="AK394" s="166"/>
      <c r="AL394" s="166"/>
      <c r="AM394" s="166"/>
      <c r="AN394" s="166"/>
      <c r="AO394" s="166"/>
      <c r="AP394" s="166"/>
      <c r="AQ394" s="166"/>
      <c r="AR394" s="166"/>
      <c r="AS394" s="166"/>
    </row>
    <row r="395" spans="1:45" s="163" customFormat="1">
      <c r="A395" s="69" t="s">
        <v>891</v>
      </c>
      <c r="B395" s="69" t="s">
        <v>676</v>
      </c>
      <c r="C395" s="150"/>
      <c r="D395" s="150"/>
      <c r="E395" s="48" t="s">
        <v>892</v>
      </c>
      <c r="F395" s="306" t="s">
        <v>893</v>
      </c>
      <c r="G395" s="138" t="s">
        <v>894</v>
      </c>
      <c r="H395" s="306" t="s">
        <v>895</v>
      </c>
      <c r="I395" s="230"/>
      <c r="J395" s="138"/>
      <c r="K395" s="138"/>
      <c r="L395" s="138"/>
      <c r="M395" s="104"/>
      <c r="N395" s="104"/>
      <c r="O395" s="104"/>
      <c r="P395" s="104"/>
      <c r="Q395" s="104"/>
      <c r="R395" s="104"/>
      <c r="S395" s="104"/>
      <c r="T395" s="104"/>
      <c r="U395" s="104"/>
      <c r="V395" s="23">
        <v>82</v>
      </c>
    </row>
    <row r="396" spans="1:45" s="166" customFormat="1">
      <c r="A396" s="235"/>
      <c r="B396" s="132"/>
      <c r="C396" s="134"/>
      <c r="D396" s="134"/>
      <c r="E396" s="230"/>
      <c r="F396" s="48"/>
      <c r="G396" s="104"/>
      <c r="H396" s="104"/>
      <c r="I396" s="45"/>
      <c r="J396" s="45"/>
      <c r="K396" s="45"/>
      <c r="L396" s="45"/>
      <c r="M396" s="45"/>
      <c r="N396" s="45"/>
      <c r="O396" s="45"/>
      <c r="P396" s="45"/>
      <c r="Q396" s="45"/>
      <c r="R396" s="45"/>
      <c r="S396" s="45"/>
      <c r="T396" s="45"/>
      <c r="U396" s="45"/>
      <c r="V396" s="28"/>
    </row>
    <row r="397" spans="1:45" s="163" customFormat="1">
      <c r="A397" s="98" t="s">
        <v>687</v>
      </c>
      <c r="B397" s="103"/>
      <c r="C397" s="103"/>
      <c r="D397" s="103"/>
      <c r="E397" s="226"/>
      <c r="F397" s="226"/>
      <c r="G397" s="226"/>
      <c r="H397" s="226"/>
      <c r="I397" s="226"/>
      <c r="J397" s="226"/>
      <c r="K397" s="226"/>
      <c r="L397" s="226"/>
      <c r="M397" s="226"/>
      <c r="N397" s="226"/>
      <c r="O397" s="226"/>
      <c r="P397" s="226"/>
      <c r="Q397" s="226"/>
      <c r="R397" s="226"/>
      <c r="S397" s="226"/>
      <c r="T397" s="226"/>
      <c r="U397" s="226"/>
      <c r="V397" s="112"/>
      <c r="W397" s="166"/>
      <c r="X397" s="166"/>
      <c r="Y397" s="166"/>
      <c r="Z397" s="166"/>
      <c r="AA397" s="166"/>
      <c r="AB397" s="166"/>
      <c r="AC397" s="166"/>
      <c r="AD397" s="166"/>
      <c r="AE397" s="166"/>
      <c r="AF397" s="166"/>
      <c r="AG397" s="166"/>
      <c r="AH397" s="166"/>
      <c r="AI397" s="166"/>
      <c r="AJ397" s="166"/>
      <c r="AK397" s="166"/>
      <c r="AL397" s="166"/>
      <c r="AM397" s="166"/>
      <c r="AN397" s="166"/>
      <c r="AO397" s="166"/>
      <c r="AP397" s="166"/>
      <c r="AQ397" s="166"/>
      <c r="AR397" s="166"/>
      <c r="AS397" s="166"/>
    </row>
    <row r="398" spans="1:45" s="163" customFormat="1">
      <c r="A398" s="132" t="s">
        <v>896</v>
      </c>
      <c r="B398" s="132" t="s">
        <v>897</v>
      </c>
      <c r="C398" s="107"/>
      <c r="D398" s="107"/>
      <c r="E398" s="230" t="s">
        <v>898</v>
      </c>
      <c r="F398" s="306" t="s">
        <v>899</v>
      </c>
      <c r="G398" s="48" t="s">
        <v>900</v>
      </c>
      <c r="H398" s="230"/>
      <c r="I398" s="230"/>
      <c r="J398" s="48"/>
      <c r="K398" s="48"/>
      <c r="L398" s="48"/>
      <c r="M398" s="230"/>
      <c r="N398" s="230"/>
      <c r="O398" s="230"/>
      <c r="P398" s="230"/>
      <c r="Q398" s="230"/>
      <c r="R398" s="230"/>
      <c r="S398" s="72"/>
      <c r="T398" s="72"/>
      <c r="U398" s="72"/>
      <c r="V398" s="28">
        <v>10</v>
      </c>
      <c r="W398" s="166"/>
      <c r="X398" s="166"/>
      <c r="Y398" s="166"/>
      <c r="Z398" s="166"/>
      <c r="AA398" s="166"/>
      <c r="AB398" s="166"/>
      <c r="AC398" s="166"/>
      <c r="AD398" s="166"/>
      <c r="AE398" s="166"/>
      <c r="AF398" s="166"/>
      <c r="AG398" s="166"/>
      <c r="AH398" s="166"/>
      <c r="AI398" s="166"/>
      <c r="AJ398" s="166"/>
      <c r="AK398" s="166"/>
      <c r="AL398" s="166"/>
      <c r="AM398" s="166"/>
      <c r="AN398" s="166"/>
      <c r="AO398" s="166"/>
      <c r="AP398" s="166"/>
      <c r="AQ398" s="166"/>
      <c r="AR398" s="166"/>
      <c r="AS398" s="166"/>
    </row>
    <row r="399" spans="1:45" s="163" customFormat="1">
      <c r="A399" s="235"/>
      <c r="B399" s="140"/>
      <c r="C399" s="134"/>
      <c r="D399" s="134"/>
      <c r="E399" s="45"/>
      <c r="F399" s="45"/>
      <c r="G399" s="45"/>
      <c r="H399" s="45"/>
      <c r="I399" s="45"/>
      <c r="J399" s="45"/>
      <c r="K399" s="45"/>
      <c r="L399" s="45"/>
      <c r="M399" s="45"/>
      <c r="N399" s="45"/>
      <c r="O399" s="45"/>
      <c r="P399" s="45"/>
      <c r="Q399" s="45"/>
      <c r="R399" s="45"/>
      <c r="S399" s="45"/>
      <c r="T399" s="45"/>
      <c r="U399" s="45"/>
      <c r="V399" s="28"/>
      <c r="W399" s="166"/>
      <c r="X399" s="166"/>
      <c r="Y399" s="166"/>
      <c r="Z399" s="166"/>
      <c r="AA399" s="166"/>
      <c r="AB399" s="166"/>
      <c r="AC399" s="166"/>
      <c r="AD399" s="166"/>
      <c r="AE399" s="166"/>
      <c r="AF399" s="166"/>
      <c r="AG399" s="166"/>
      <c r="AH399" s="166"/>
      <c r="AI399" s="166"/>
      <c r="AJ399" s="166"/>
      <c r="AK399" s="166"/>
      <c r="AL399" s="166"/>
      <c r="AM399" s="166"/>
      <c r="AN399" s="166"/>
      <c r="AO399" s="166"/>
      <c r="AP399" s="166"/>
      <c r="AQ399" s="166"/>
      <c r="AR399" s="166"/>
      <c r="AS399" s="166"/>
    </row>
    <row r="400" spans="1:45" s="163" customFormat="1">
      <c r="A400" s="98" t="s">
        <v>384</v>
      </c>
      <c r="B400" s="103"/>
      <c r="C400" s="103"/>
      <c r="D400" s="103"/>
      <c r="E400" s="226"/>
      <c r="F400" s="226"/>
      <c r="G400" s="226"/>
      <c r="H400" s="226"/>
      <c r="I400" s="226"/>
      <c r="J400" s="226"/>
      <c r="K400" s="226"/>
      <c r="L400" s="226"/>
      <c r="M400" s="226"/>
      <c r="N400" s="226"/>
      <c r="O400" s="226"/>
      <c r="P400" s="226"/>
      <c r="Q400" s="226"/>
      <c r="R400" s="226"/>
      <c r="S400" s="226"/>
      <c r="T400" s="226"/>
      <c r="U400" s="226"/>
      <c r="V400" s="112"/>
      <c r="W400" s="166"/>
      <c r="X400" s="166"/>
      <c r="Y400" s="166"/>
      <c r="Z400" s="166"/>
      <c r="AA400" s="166"/>
      <c r="AB400" s="166"/>
      <c r="AC400" s="166"/>
      <c r="AD400" s="166"/>
      <c r="AE400" s="166"/>
      <c r="AF400" s="166"/>
      <c r="AG400" s="166"/>
      <c r="AH400" s="166"/>
      <c r="AI400" s="166"/>
      <c r="AJ400" s="166"/>
      <c r="AK400" s="166"/>
      <c r="AL400" s="166"/>
      <c r="AM400" s="166"/>
      <c r="AN400" s="166"/>
      <c r="AO400" s="166"/>
      <c r="AP400" s="166"/>
      <c r="AQ400" s="166"/>
      <c r="AR400" s="166"/>
      <c r="AS400" s="166"/>
    </row>
    <row r="401" spans="1:45" s="163" customFormat="1">
      <c r="A401" s="69" t="s">
        <v>385</v>
      </c>
      <c r="B401" s="69" t="s">
        <v>386</v>
      </c>
      <c r="C401" s="40"/>
      <c r="D401" s="40"/>
      <c r="E401" s="48" t="s">
        <v>901</v>
      </c>
      <c r="F401" s="306" t="s">
        <v>902</v>
      </c>
      <c r="G401" s="48" t="s">
        <v>903</v>
      </c>
      <c r="H401" s="306" t="s">
        <v>904</v>
      </c>
      <c r="I401" s="230"/>
      <c r="J401" s="48"/>
      <c r="K401" s="48"/>
      <c r="L401" s="48"/>
      <c r="M401" s="48"/>
      <c r="N401" s="48"/>
      <c r="O401" s="48"/>
      <c r="P401" s="48"/>
      <c r="Q401" s="48"/>
      <c r="R401" s="48"/>
      <c r="S401" s="30"/>
      <c r="T401" s="30"/>
      <c r="U401" s="30"/>
      <c r="V401" s="23">
        <v>6</v>
      </c>
    </row>
    <row r="402" spans="1:45" s="163" customFormat="1">
      <c r="A402" s="69" t="s">
        <v>905</v>
      </c>
      <c r="B402" s="69" t="s">
        <v>388</v>
      </c>
      <c r="C402" s="40"/>
      <c r="D402" s="40"/>
      <c r="E402" s="48" t="s">
        <v>906</v>
      </c>
      <c r="F402" s="48"/>
      <c r="G402" s="48" t="s">
        <v>907</v>
      </c>
      <c r="H402" s="48"/>
      <c r="I402" s="230"/>
      <c r="J402" s="48"/>
      <c r="K402" s="48"/>
      <c r="L402" s="48"/>
      <c r="M402" s="48"/>
      <c r="N402" s="48"/>
      <c r="O402" s="48"/>
      <c r="P402" s="48"/>
      <c r="Q402" s="48"/>
      <c r="R402" s="48"/>
      <c r="S402" s="30"/>
      <c r="T402" s="30"/>
      <c r="U402" s="30"/>
      <c r="V402" s="23">
        <v>7</v>
      </c>
    </row>
    <row r="403" spans="1:45" s="163" customFormat="1">
      <c r="A403" s="69" t="s">
        <v>389</v>
      </c>
      <c r="B403" s="69" t="s">
        <v>390</v>
      </c>
      <c r="C403" s="40"/>
      <c r="D403" s="40"/>
      <c r="E403" s="48" t="s">
        <v>908</v>
      </c>
      <c r="F403" s="306" t="s">
        <v>909</v>
      </c>
      <c r="G403" s="48" t="s">
        <v>910</v>
      </c>
      <c r="H403" s="306" t="s">
        <v>911</v>
      </c>
      <c r="I403" s="230"/>
      <c r="J403" s="48"/>
      <c r="K403" s="48"/>
      <c r="L403" s="48"/>
      <c r="M403" s="48"/>
      <c r="N403" s="48"/>
      <c r="O403" s="48"/>
      <c r="P403" s="48"/>
      <c r="Q403" s="48"/>
      <c r="R403" s="48"/>
      <c r="S403" s="30"/>
      <c r="T403" s="30"/>
      <c r="U403" s="30"/>
      <c r="V403" s="23">
        <v>87</v>
      </c>
    </row>
    <row r="404" spans="1:45" s="163" customFormat="1">
      <c r="A404" s="69" t="s">
        <v>750</v>
      </c>
      <c r="B404" s="69" t="s">
        <v>751</v>
      </c>
      <c r="C404" s="40"/>
      <c r="D404" s="40"/>
      <c r="E404" s="48" t="s">
        <v>912</v>
      </c>
      <c r="F404" s="306" t="s">
        <v>913</v>
      </c>
      <c r="G404" s="48" t="s">
        <v>914</v>
      </c>
      <c r="H404" s="306" t="s">
        <v>915</v>
      </c>
      <c r="I404" s="230"/>
      <c r="J404" s="48"/>
      <c r="K404" s="48"/>
      <c r="L404" s="48"/>
      <c r="M404" s="48"/>
      <c r="N404" s="48"/>
      <c r="O404" s="48"/>
      <c r="P404" s="48"/>
      <c r="Q404" s="48"/>
      <c r="R404" s="48"/>
      <c r="S404" s="30"/>
      <c r="T404" s="30"/>
      <c r="U404" s="30"/>
      <c r="V404" s="23">
        <v>267</v>
      </c>
    </row>
    <row r="405" spans="1:45" s="177" customFormat="1" ht="14.4">
      <c r="A405" t="s">
        <v>1624</v>
      </c>
      <c r="B405" t="s">
        <v>763</v>
      </c>
      <c r="C405" s="150"/>
      <c r="D405" s="150"/>
      <c r="E405" s="104"/>
      <c r="F405" s="104"/>
      <c r="G405" s="104"/>
      <c r="H405" s="306" t="s">
        <v>916</v>
      </c>
      <c r="I405" s="104"/>
      <c r="J405" s="104"/>
      <c r="K405" s="104"/>
      <c r="L405" s="104"/>
      <c r="M405" s="104"/>
      <c r="N405" s="104"/>
      <c r="O405" s="104"/>
      <c r="P405" s="104"/>
      <c r="Q405" s="104"/>
      <c r="R405" s="104"/>
      <c r="S405" s="104"/>
      <c r="T405" s="104"/>
      <c r="U405" s="104"/>
      <c r="V405" s="23">
        <v>5</v>
      </c>
      <c r="W405" s="172"/>
      <c r="X405" s="172"/>
      <c r="Y405" s="172"/>
      <c r="Z405" s="172"/>
      <c r="AA405" s="172"/>
      <c r="AB405" s="172"/>
      <c r="AC405" s="172"/>
      <c r="AD405" s="172"/>
      <c r="AE405" s="172"/>
      <c r="AF405" s="172"/>
      <c r="AG405" s="172"/>
      <c r="AH405" s="172"/>
      <c r="AI405" s="172"/>
      <c r="AJ405" s="172"/>
      <c r="AK405" s="172"/>
      <c r="AL405" s="172"/>
      <c r="AM405" s="172"/>
      <c r="AN405" s="172"/>
      <c r="AO405" s="172"/>
      <c r="AP405" s="172"/>
      <c r="AQ405" s="172"/>
      <c r="AR405" s="172"/>
      <c r="AS405" s="172"/>
    </row>
    <row r="406" spans="1:45" s="177" customFormat="1">
      <c r="A406" s="98" t="s">
        <v>274</v>
      </c>
      <c r="B406" s="103"/>
      <c r="C406" s="103"/>
      <c r="D406" s="103"/>
      <c r="E406" s="226"/>
      <c r="F406" s="226"/>
      <c r="G406" s="226"/>
      <c r="H406" s="226"/>
      <c r="I406" s="226"/>
      <c r="J406" s="226"/>
      <c r="K406" s="226"/>
      <c r="L406" s="226"/>
      <c r="M406" s="226"/>
      <c r="N406" s="226"/>
      <c r="O406" s="226"/>
      <c r="P406" s="226"/>
      <c r="Q406" s="226"/>
      <c r="R406" s="226"/>
      <c r="S406" s="226"/>
      <c r="T406" s="226"/>
      <c r="U406" s="226"/>
      <c r="V406" s="112"/>
      <c r="W406" s="172"/>
      <c r="X406" s="172"/>
      <c r="Y406" s="172"/>
      <c r="Z406" s="172"/>
      <c r="AA406" s="172"/>
      <c r="AB406" s="172"/>
      <c r="AC406" s="172"/>
      <c r="AD406" s="172"/>
      <c r="AE406" s="172"/>
      <c r="AF406" s="172"/>
      <c r="AG406" s="172"/>
      <c r="AH406" s="172"/>
      <c r="AI406" s="172"/>
      <c r="AJ406" s="172"/>
      <c r="AK406" s="172"/>
      <c r="AL406" s="172"/>
      <c r="AM406" s="172"/>
      <c r="AN406" s="172"/>
      <c r="AO406" s="172"/>
      <c r="AP406" s="172"/>
      <c r="AQ406" s="172"/>
      <c r="AR406" s="172"/>
      <c r="AS406" s="172"/>
    </row>
    <row r="407" spans="1:45" s="177" customFormat="1">
      <c r="A407" s="69" t="s">
        <v>772</v>
      </c>
      <c r="B407" s="69" t="s">
        <v>773</v>
      </c>
      <c r="C407" s="40"/>
      <c r="D407" s="40"/>
      <c r="E407" s="48" t="s">
        <v>917</v>
      </c>
      <c r="F407" s="306" t="s">
        <v>918</v>
      </c>
      <c r="G407" s="48" t="s">
        <v>919</v>
      </c>
      <c r="H407" s="306" t="s">
        <v>920</v>
      </c>
      <c r="I407" s="230"/>
      <c r="J407" s="48"/>
      <c r="K407" s="48"/>
      <c r="L407" s="48"/>
      <c r="M407" s="48"/>
      <c r="N407" s="48"/>
      <c r="O407" s="48"/>
      <c r="P407" s="48"/>
      <c r="Q407" s="48"/>
      <c r="R407" s="48"/>
      <c r="S407" s="30"/>
      <c r="T407" s="30"/>
      <c r="U407" s="30"/>
      <c r="V407" s="23">
        <v>7</v>
      </c>
    </row>
    <row r="408" spans="1:45" s="177" customFormat="1">
      <c r="A408" s="69" t="s">
        <v>921</v>
      </c>
      <c r="B408" s="69" t="s">
        <v>392</v>
      </c>
      <c r="C408" s="40"/>
      <c r="D408" s="40"/>
      <c r="E408" s="48"/>
      <c r="F408" s="48"/>
      <c r="G408" s="48"/>
      <c r="H408" s="306" t="s">
        <v>922</v>
      </c>
      <c r="I408" s="230"/>
      <c r="J408" s="48"/>
      <c r="K408" s="48"/>
      <c r="L408" s="48"/>
      <c r="M408" s="48"/>
      <c r="N408" s="48"/>
      <c r="O408" s="48"/>
      <c r="P408" s="48"/>
      <c r="Q408" s="48"/>
      <c r="R408" s="48"/>
      <c r="S408" s="30"/>
      <c r="T408" s="30"/>
      <c r="U408" s="30"/>
      <c r="V408" s="23">
        <v>11</v>
      </c>
    </row>
    <row r="409" spans="1:45" s="177" customFormat="1">
      <c r="A409" s="69" t="s">
        <v>769</v>
      </c>
      <c r="B409" s="69" t="s">
        <v>770</v>
      </c>
      <c r="C409" s="150"/>
      <c r="D409" s="150"/>
      <c r="E409" s="48" t="s">
        <v>771</v>
      </c>
      <c r="F409" s="306" t="s">
        <v>771</v>
      </c>
      <c r="G409" s="138" t="s">
        <v>771</v>
      </c>
      <c r="H409" s="48"/>
      <c r="I409" s="230"/>
      <c r="J409" s="138"/>
      <c r="K409" s="138"/>
      <c r="L409" s="138"/>
      <c r="M409" s="104"/>
      <c r="N409" s="104"/>
      <c r="O409" s="104"/>
      <c r="P409" s="104"/>
      <c r="Q409" s="104"/>
      <c r="R409" s="104"/>
      <c r="S409" s="104"/>
      <c r="T409" s="104"/>
      <c r="U409" s="104"/>
      <c r="V409" s="23">
        <v>1</v>
      </c>
    </row>
    <row r="410" spans="1:45" s="172" customFormat="1">
      <c r="A410" s="235"/>
      <c r="B410" s="132"/>
      <c r="C410" s="134"/>
      <c r="D410" s="134"/>
      <c r="E410" s="230"/>
      <c r="F410" s="230"/>
      <c r="G410" s="45"/>
      <c r="H410" s="45"/>
      <c r="I410" s="45"/>
      <c r="J410" s="45"/>
      <c r="K410" s="45"/>
      <c r="L410" s="45"/>
      <c r="M410" s="45"/>
      <c r="N410" s="45"/>
      <c r="O410" s="45"/>
      <c r="P410" s="45"/>
      <c r="Q410" s="45"/>
      <c r="R410" s="45"/>
      <c r="S410" s="45"/>
      <c r="T410" s="45"/>
      <c r="U410" s="45"/>
      <c r="V410" s="28"/>
    </row>
    <row r="411" spans="1:45" s="177" customFormat="1">
      <c r="A411" s="113" t="s">
        <v>263</v>
      </c>
      <c r="B411" s="121"/>
      <c r="C411" s="121"/>
      <c r="D411" s="121"/>
      <c r="E411" s="208"/>
      <c r="F411" s="208"/>
      <c r="G411" s="208"/>
      <c r="H411" s="208"/>
      <c r="I411" s="208"/>
      <c r="J411" s="208"/>
      <c r="K411" s="208"/>
      <c r="L411" s="208"/>
      <c r="M411" s="208"/>
      <c r="N411" s="208"/>
      <c r="O411" s="208"/>
      <c r="P411" s="208"/>
      <c r="Q411" s="208"/>
      <c r="R411" s="208"/>
      <c r="S411" s="208"/>
      <c r="T411" s="208"/>
      <c r="U411" s="208"/>
      <c r="V411" s="112"/>
      <c r="W411" s="172"/>
      <c r="X411" s="172"/>
      <c r="Y411" s="172"/>
      <c r="Z411" s="172"/>
      <c r="AA411" s="172"/>
      <c r="AB411" s="172"/>
      <c r="AC411" s="172"/>
      <c r="AD411" s="172"/>
      <c r="AE411" s="172"/>
      <c r="AF411" s="172"/>
      <c r="AG411" s="172"/>
      <c r="AH411" s="172"/>
      <c r="AI411" s="172"/>
      <c r="AJ411" s="172"/>
      <c r="AK411" s="172"/>
      <c r="AL411" s="172"/>
      <c r="AM411" s="172"/>
      <c r="AN411" s="172"/>
      <c r="AO411" s="172"/>
      <c r="AP411" s="172"/>
      <c r="AQ411" s="172"/>
      <c r="AR411" s="172"/>
      <c r="AS411" s="172"/>
    </row>
    <row r="412" spans="1:45" s="177" customFormat="1">
      <c r="A412" s="69" t="s">
        <v>113</v>
      </c>
      <c r="B412" s="69" t="s">
        <v>264</v>
      </c>
      <c r="C412" s="150"/>
      <c r="D412" s="150"/>
      <c r="E412" s="48" t="s">
        <v>923</v>
      </c>
      <c r="F412" s="306" t="s">
        <v>924</v>
      </c>
      <c r="G412" s="306" t="s">
        <v>925</v>
      </c>
      <c r="H412" s="306" t="s">
        <v>926</v>
      </c>
      <c r="I412" s="230"/>
      <c r="J412" s="306"/>
      <c r="K412" s="306"/>
      <c r="L412" s="306"/>
      <c r="M412" s="104"/>
      <c r="N412" s="104"/>
      <c r="O412" s="104"/>
      <c r="P412" s="104"/>
      <c r="Q412" s="104"/>
      <c r="R412" s="104"/>
      <c r="S412" s="104"/>
      <c r="T412" s="104"/>
      <c r="U412" s="104"/>
      <c r="V412" s="23">
        <v>6</v>
      </c>
    </row>
    <row r="413" spans="1:45" s="172" customFormat="1">
      <c r="A413" s="132"/>
      <c r="B413" s="132"/>
      <c r="C413" s="134"/>
      <c r="D413" s="134"/>
      <c r="E413" s="230"/>
      <c r="F413" s="230"/>
      <c r="G413" s="45"/>
      <c r="H413" s="45"/>
      <c r="I413" s="45"/>
      <c r="J413" s="45"/>
      <c r="K413" s="45"/>
      <c r="L413" s="45"/>
      <c r="M413" s="45"/>
      <c r="N413" s="45"/>
      <c r="O413" s="45"/>
      <c r="P413" s="45"/>
      <c r="Q413" s="45"/>
      <c r="R413" s="45"/>
      <c r="S413" s="45"/>
      <c r="T413" s="45"/>
      <c r="U413" s="45"/>
      <c r="V413" s="28"/>
    </row>
    <row r="414" spans="1:45" s="177" customFormat="1">
      <c r="A414" s="98" t="s">
        <v>2001</v>
      </c>
      <c r="B414" s="108"/>
      <c r="C414" s="108"/>
      <c r="D414" s="108"/>
      <c r="E414" s="223"/>
      <c r="F414" s="223"/>
      <c r="G414" s="223"/>
      <c r="H414" s="223"/>
      <c r="I414" s="223"/>
      <c r="J414" s="223"/>
      <c r="K414" s="223"/>
      <c r="L414" s="223"/>
      <c r="M414" s="223"/>
      <c r="N414" s="223"/>
      <c r="O414" s="223"/>
      <c r="P414" s="223"/>
      <c r="Q414" s="223"/>
      <c r="R414" s="223"/>
      <c r="S414" s="226"/>
      <c r="T414" s="226"/>
      <c r="U414" s="226"/>
      <c r="V414" s="112"/>
      <c r="W414" s="172"/>
      <c r="X414" s="172"/>
      <c r="Y414" s="172"/>
      <c r="Z414" s="172"/>
      <c r="AA414" s="172"/>
      <c r="AB414" s="172"/>
      <c r="AC414" s="172"/>
      <c r="AD414" s="172"/>
      <c r="AE414" s="172"/>
      <c r="AF414" s="172"/>
      <c r="AG414" s="172"/>
      <c r="AH414" s="172"/>
      <c r="AI414" s="172"/>
      <c r="AJ414" s="172"/>
      <c r="AK414" s="172"/>
      <c r="AL414" s="172"/>
      <c r="AM414" s="172"/>
      <c r="AN414" s="172"/>
      <c r="AO414" s="172"/>
      <c r="AP414" s="172"/>
      <c r="AQ414" s="172"/>
      <c r="AR414" s="172"/>
      <c r="AS414" s="172"/>
    </row>
    <row r="415" spans="1:45" s="177" customFormat="1">
      <c r="A415" s="69" t="s">
        <v>286</v>
      </c>
      <c r="B415" s="69" t="s">
        <v>393</v>
      </c>
      <c r="C415" s="40"/>
      <c r="D415" s="40"/>
      <c r="E415" s="48" t="s">
        <v>927</v>
      </c>
      <c r="F415" s="48" t="s">
        <v>927</v>
      </c>
      <c r="G415" s="48" t="s">
        <v>927</v>
      </c>
      <c r="H415" s="48" t="s">
        <v>927</v>
      </c>
      <c r="I415" s="48"/>
      <c r="J415" s="48"/>
      <c r="K415" s="48"/>
      <c r="L415" s="48"/>
      <c r="M415" s="66"/>
      <c r="N415" s="66"/>
      <c r="O415" s="66"/>
      <c r="P415" s="66"/>
      <c r="Q415" s="66"/>
      <c r="R415" s="66"/>
      <c r="S415" s="54"/>
      <c r="T415" s="54"/>
      <c r="U415" s="54"/>
      <c r="V415" s="23">
        <v>10</v>
      </c>
    </row>
    <row r="416" spans="1:45" s="177" customFormat="1" ht="27.6">
      <c r="A416" s="69" t="s">
        <v>289</v>
      </c>
      <c r="B416" s="142" t="s">
        <v>395</v>
      </c>
      <c r="C416" s="191"/>
      <c r="D416" s="191"/>
      <c r="E416" s="48" t="s">
        <v>928</v>
      </c>
      <c r="F416" s="48" t="s">
        <v>928</v>
      </c>
      <c r="G416" s="48" t="s">
        <v>928</v>
      </c>
      <c r="H416" s="48" t="s">
        <v>928</v>
      </c>
      <c r="I416" s="48"/>
      <c r="J416" s="48"/>
      <c r="K416" s="48"/>
      <c r="L416" s="48"/>
      <c r="M416" s="66"/>
      <c r="N416" s="66"/>
      <c r="O416" s="66"/>
      <c r="P416" s="66"/>
      <c r="Q416" s="66"/>
      <c r="R416" s="66"/>
      <c r="S416" s="54"/>
      <c r="T416" s="54"/>
      <c r="U416" s="54"/>
      <c r="V416" s="23">
        <v>30</v>
      </c>
    </row>
    <row r="417" spans="1:45" s="177" customFormat="1" ht="27.6">
      <c r="A417" s="69" t="s">
        <v>397</v>
      </c>
      <c r="B417" s="69" t="s">
        <v>398</v>
      </c>
      <c r="C417" s="69"/>
      <c r="D417" s="69"/>
      <c r="E417" s="48" t="s">
        <v>929</v>
      </c>
      <c r="F417" s="48" t="s">
        <v>929</v>
      </c>
      <c r="G417" s="48" t="s">
        <v>929</v>
      </c>
      <c r="H417" s="48" t="s">
        <v>929</v>
      </c>
      <c r="I417" s="48"/>
      <c r="J417" s="48"/>
      <c r="K417" s="48"/>
      <c r="L417" s="48"/>
      <c r="M417" s="95"/>
      <c r="N417" s="95"/>
      <c r="O417" s="95"/>
      <c r="P417" s="95"/>
      <c r="Q417" s="95"/>
      <c r="R417" s="95"/>
      <c r="S417" s="139"/>
      <c r="T417" s="139"/>
      <c r="U417" s="139"/>
      <c r="V417" s="23">
        <v>60</v>
      </c>
    </row>
    <row r="418" spans="1:45">
      <c r="A418" s="69" t="s">
        <v>400</v>
      </c>
      <c r="B418" s="69" t="s">
        <v>401</v>
      </c>
      <c r="C418" s="40"/>
      <c r="D418" s="40"/>
      <c r="E418" s="95" t="s">
        <v>930</v>
      </c>
      <c r="F418" s="95" t="s">
        <v>930</v>
      </c>
      <c r="G418" s="95" t="s">
        <v>930</v>
      </c>
      <c r="H418" s="95" t="s">
        <v>930</v>
      </c>
      <c r="I418" s="95"/>
      <c r="J418" s="95"/>
      <c r="K418" s="95"/>
      <c r="L418" s="95"/>
      <c r="M418" s="95"/>
      <c r="N418" s="95"/>
      <c r="O418" s="95"/>
      <c r="P418" s="95"/>
      <c r="Q418" s="95"/>
      <c r="R418" s="95"/>
      <c r="S418" s="139"/>
      <c r="T418" s="139"/>
      <c r="U418" s="139"/>
      <c r="V418" s="60">
        <v>10</v>
      </c>
    </row>
    <row r="419" spans="1:45">
      <c r="A419" s="69" t="s">
        <v>403</v>
      </c>
      <c r="B419" s="69" t="s">
        <v>404</v>
      </c>
      <c r="C419" s="40"/>
      <c r="D419" s="40"/>
      <c r="E419" s="95" t="s">
        <v>405</v>
      </c>
      <c r="F419" s="95" t="s">
        <v>405</v>
      </c>
      <c r="G419" s="95" t="s">
        <v>405</v>
      </c>
      <c r="H419" s="95" t="s">
        <v>405</v>
      </c>
      <c r="I419" s="95"/>
      <c r="J419" s="95"/>
      <c r="K419" s="95"/>
      <c r="L419" s="95"/>
      <c r="M419" s="95"/>
      <c r="N419" s="95"/>
      <c r="O419" s="95"/>
      <c r="P419" s="95"/>
      <c r="Q419" s="95"/>
      <c r="R419" s="95"/>
      <c r="S419" s="139"/>
      <c r="T419" s="139"/>
      <c r="U419" s="139"/>
      <c r="V419" s="60">
        <v>10</v>
      </c>
    </row>
    <row r="420" spans="1:45" s="177" customFormat="1">
      <c r="A420" s="132" t="s">
        <v>292</v>
      </c>
      <c r="B420" s="132" t="s">
        <v>293</v>
      </c>
      <c r="C420" s="107"/>
      <c r="D420" s="107"/>
      <c r="E420" s="230" t="s">
        <v>294</v>
      </c>
      <c r="F420" s="230" t="s">
        <v>294</v>
      </c>
      <c r="G420" s="48" t="s">
        <v>294</v>
      </c>
      <c r="H420" s="48" t="s">
        <v>294</v>
      </c>
      <c r="I420" s="48"/>
      <c r="J420" s="48"/>
      <c r="K420" s="48"/>
      <c r="L420" s="48"/>
      <c r="M420" s="230"/>
      <c r="N420" s="230"/>
      <c r="O420" s="230"/>
      <c r="P420" s="230"/>
      <c r="Q420" s="230"/>
      <c r="R420" s="230"/>
      <c r="S420" s="72"/>
      <c r="T420" s="72"/>
      <c r="U420" s="72"/>
      <c r="V420" s="35">
        <v>158</v>
      </c>
      <c r="W420" s="172"/>
      <c r="X420" s="172"/>
      <c r="Y420" s="172"/>
      <c r="Z420" s="172"/>
      <c r="AA420" s="172"/>
      <c r="AB420" s="172"/>
      <c r="AC420" s="172"/>
      <c r="AD420" s="172"/>
      <c r="AE420" s="172"/>
      <c r="AF420" s="172"/>
      <c r="AG420" s="172"/>
      <c r="AH420" s="172"/>
      <c r="AI420" s="172"/>
      <c r="AJ420" s="172"/>
      <c r="AK420" s="172"/>
      <c r="AL420" s="172"/>
      <c r="AM420" s="172"/>
      <c r="AN420" s="172"/>
      <c r="AO420" s="172"/>
      <c r="AP420" s="172"/>
      <c r="AQ420" s="172"/>
      <c r="AR420" s="172"/>
      <c r="AS420" s="172"/>
    </row>
    <row r="421" spans="1:45" s="177" customFormat="1">
      <c r="A421" s="69" t="s">
        <v>295</v>
      </c>
      <c r="B421" s="69" t="s">
        <v>296</v>
      </c>
      <c r="C421" s="107"/>
      <c r="D421" s="107"/>
      <c r="E421" s="48" t="s">
        <v>298</v>
      </c>
      <c r="F421" s="48" t="s">
        <v>298</v>
      </c>
      <c r="G421" s="48" t="s">
        <v>298</v>
      </c>
      <c r="H421" s="48" t="s">
        <v>298</v>
      </c>
      <c r="I421" s="48"/>
      <c r="J421" s="48"/>
      <c r="K421" s="48"/>
      <c r="L421" s="48"/>
      <c r="M421" s="230"/>
      <c r="N421" s="230"/>
      <c r="O421" s="230"/>
      <c r="P421" s="230"/>
      <c r="Q421" s="230"/>
      <c r="R421" s="230"/>
      <c r="S421" s="72"/>
      <c r="T421" s="72"/>
      <c r="U421" s="72"/>
      <c r="V421" s="60">
        <v>22</v>
      </c>
      <c r="W421" s="172"/>
      <c r="X421" s="172"/>
      <c r="Y421" s="172"/>
      <c r="Z421" s="172"/>
      <c r="AA421" s="172"/>
      <c r="AB421" s="172"/>
      <c r="AC421" s="172"/>
      <c r="AD421" s="172"/>
      <c r="AE421" s="172"/>
      <c r="AF421" s="172"/>
      <c r="AG421" s="172"/>
      <c r="AH421" s="172"/>
      <c r="AI421" s="172"/>
      <c r="AJ421" s="172"/>
      <c r="AK421" s="172"/>
      <c r="AL421" s="172"/>
      <c r="AM421" s="172"/>
      <c r="AN421" s="172"/>
      <c r="AO421" s="172"/>
      <c r="AP421" s="172"/>
      <c r="AQ421" s="172"/>
      <c r="AR421" s="172"/>
      <c r="AS421" s="172"/>
    </row>
    <row r="422" spans="1:45" ht="27.6">
      <c r="A422" s="69" t="s">
        <v>299</v>
      </c>
      <c r="B422" s="142" t="s">
        <v>300</v>
      </c>
      <c r="C422" s="179"/>
      <c r="D422" s="179"/>
      <c r="E422" s="48" t="s">
        <v>302</v>
      </c>
      <c r="F422" s="48" t="s">
        <v>302</v>
      </c>
      <c r="G422" s="48" t="s">
        <v>302</v>
      </c>
      <c r="H422" s="48" t="s">
        <v>302</v>
      </c>
      <c r="I422" s="48"/>
      <c r="J422" s="48"/>
      <c r="K422" s="48"/>
      <c r="L422" s="48"/>
      <c r="M422" s="230"/>
      <c r="N422" s="230"/>
      <c r="O422" s="230"/>
      <c r="P422" s="155"/>
      <c r="Q422" s="155"/>
      <c r="R422" s="155"/>
      <c r="S422" s="63"/>
      <c r="T422" s="63"/>
      <c r="U422" s="63"/>
      <c r="V422" s="35">
        <v>52</v>
      </c>
    </row>
    <row r="423" spans="1:45">
      <c r="C423" s="171"/>
      <c r="D423" s="171"/>
      <c r="V423" s="170"/>
    </row>
    <row r="424" spans="1:45">
      <c r="C424" s="171"/>
      <c r="D424" s="171"/>
      <c r="V424" s="170"/>
    </row>
    <row r="425" spans="1:45">
      <c r="C425" s="171"/>
      <c r="D425" s="171"/>
      <c r="E425" s="162"/>
      <c r="F425" s="162"/>
      <c r="V425" s="170"/>
    </row>
    <row r="426" spans="1:45">
      <c r="C426" s="171"/>
      <c r="D426" s="171"/>
      <c r="V426" s="170"/>
    </row>
    <row r="427" spans="1:45">
      <c r="C427" s="171"/>
      <c r="D427" s="171"/>
      <c r="V427" s="170"/>
    </row>
    <row r="428" spans="1:45">
      <c r="V428" s="170"/>
    </row>
    <row r="429" spans="1:45">
      <c r="V429" s="170"/>
    </row>
    <row r="430" spans="1:45">
      <c r="V430" s="170"/>
    </row>
    <row r="431" spans="1:45">
      <c r="V431" s="170"/>
    </row>
    <row r="432" spans="1:45">
      <c r="V432" s="170"/>
    </row>
    <row r="433" spans="22:22">
      <c r="V433" s="170"/>
    </row>
    <row r="434" spans="22:22">
      <c r="V434" s="170"/>
    </row>
    <row r="435" spans="22:22">
      <c r="V435" s="170"/>
    </row>
    <row r="436" spans="22:22">
      <c r="V436" s="170"/>
    </row>
    <row r="437" spans="22:22">
      <c r="V437" s="170"/>
    </row>
    <row r="438" spans="22:22">
      <c r="V438" s="170"/>
    </row>
    <row r="439" spans="22:22">
      <c r="V439" s="170"/>
    </row>
  </sheetData>
  <phoneticPr fontId="10"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U268"/>
  <sheetViews>
    <sheetView zoomScaleNormal="100" workbookViewId="0">
      <selection activeCell="A6" sqref="A6"/>
    </sheetView>
  </sheetViews>
  <sheetFormatPr baseColWidth="10" defaultColWidth="9.44140625" defaultRowHeight="13.8"/>
  <cols>
    <col min="1" max="1" width="94.5546875" style="164" customWidth="1"/>
    <col min="2" max="2" width="59.6640625" style="164" customWidth="1"/>
    <col min="3" max="3" width="31.44140625" style="164" customWidth="1"/>
    <col min="4" max="4" width="17.5546875" style="164" bestFit="1" customWidth="1"/>
    <col min="5" max="5" width="17.33203125" style="164" customWidth="1"/>
    <col min="6" max="6" width="10.6640625" style="164" bestFit="1" customWidth="1"/>
    <col min="7" max="7" width="13.33203125" style="164" bestFit="1" customWidth="1"/>
    <col min="8" max="10" width="16.6640625" style="164" customWidth="1"/>
    <col min="11" max="11" width="10.6640625" style="164" bestFit="1" customWidth="1"/>
    <col min="12" max="12" width="10.6640625" style="164" customWidth="1"/>
    <col min="13" max="20" width="16.6640625" style="164" customWidth="1"/>
    <col min="21" max="21" width="12.44140625" style="164" customWidth="1"/>
    <col min="22" max="22" width="25.5546875" style="164" customWidth="1"/>
    <col min="23" max="16384" width="9.44140625" style="164"/>
  </cols>
  <sheetData>
    <row r="1" spans="1:21">
      <c r="D1" s="163"/>
      <c r="E1" s="163"/>
      <c r="F1" s="163"/>
      <c r="G1" s="163"/>
      <c r="H1" s="163"/>
      <c r="I1" s="163"/>
      <c r="J1" s="163"/>
      <c r="K1" s="163"/>
      <c r="L1" s="163"/>
      <c r="M1" s="163"/>
    </row>
    <row r="2" spans="1:21">
      <c r="D2" s="163"/>
      <c r="E2" s="163"/>
      <c r="F2" s="163"/>
      <c r="G2" s="163"/>
      <c r="H2" s="163"/>
      <c r="I2" s="163"/>
      <c r="J2" s="163"/>
      <c r="K2" s="163"/>
      <c r="L2" s="163"/>
      <c r="M2" s="163"/>
    </row>
    <row r="3" spans="1:21">
      <c r="D3" s="163"/>
      <c r="E3" s="163"/>
      <c r="F3" s="163"/>
      <c r="G3" s="163"/>
      <c r="H3" s="163"/>
      <c r="I3" s="163"/>
      <c r="J3" s="163"/>
      <c r="K3" s="163"/>
      <c r="L3" s="163"/>
      <c r="M3" s="163"/>
    </row>
    <row r="4" spans="1:21">
      <c r="D4" s="163"/>
      <c r="E4" s="163"/>
      <c r="F4" s="163"/>
      <c r="G4" s="163"/>
      <c r="H4" s="163"/>
      <c r="I4" s="163"/>
      <c r="J4" s="163"/>
      <c r="K4" s="163"/>
      <c r="L4" s="163"/>
      <c r="M4" s="163"/>
    </row>
    <row r="5" spans="1:21" ht="14.25" customHeight="1">
      <c r="D5" s="163"/>
      <c r="E5" s="163"/>
      <c r="F5" s="163"/>
      <c r="G5" s="163"/>
      <c r="H5" s="163"/>
      <c r="I5" s="163"/>
      <c r="J5" s="163"/>
      <c r="K5" s="163"/>
      <c r="L5" s="163"/>
      <c r="M5" s="163"/>
    </row>
    <row r="6" spans="1:21" ht="14.25" customHeight="1">
      <c r="D6" s="163"/>
      <c r="E6" s="163"/>
      <c r="F6" s="163"/>
      <c r="G6" s="163"/>
      <c r="H6" s="163"/>
      <c r="I6" s="163"/>
      <c r="J6" s="163"/>
      <c r="K6" s="163"/>
      <c r="L6" s="163"/>
      <c r="M6" s="163"/>
    </row>
    <row r="7" spans="1:21" ht="15.6">
      <c r="A7" s="128" t="s">
        <v>138</v>
      </c>
      <c r="D7" s="163"/>
      <c r="E7" s="163"/>
      <c r="F7" s="163"/>
      <c r="G7" s="163"/>
      <c r="H7" s="163"/>
      <c r="I7" s="163"/>
      <c r="J7" s="163"/>
      <c r="K7" s="163"/>
      <c r="L7" s="163"/>
      <c r="M7" s="163"/>
    </row>
    <row r="8" spans="1:21" ht="31.2">
      <c r="A8" s="128" t="s">
        <v>139</v>
      </c>
      <c r="B8" s="38"/>
      <c r="C8" s="38"/>
      <c r="D8" s="163"/>
      <c r="E8" s="163"/>
      <c r="F8" s="163"/>
      <c r="G8" s="163"/>
      <c r="H8" s="163"/>
      <c r="I8" s="163"/>
      <c r="J8" s="163"/>
      <c r="K8" s="163"/>
      <c r="L8" s="163"/>
      <c r="M8" s="163"/>
      <c r="N8" s="163"/>
      <c r="O8" s="163"/>
      <c r="P8" s="163"/>
      <c r="Q8" s="163"/>
      <c r="R8" s="163"/>
      <c r="S8" s="163"/>
      <c r="T8" s="163"/>
      <c r="U8" s="163"/>
    </row>
    <row r="9" spans="1:21">
      <c r="A9" s="220"/>
      <c r="B9" s="38"/>
      <c r="C9" s="38"/>
      <c r="D9" s="148"/>
      <c r="E9" s="148"/>
      <c r="F9" s="148"/>
      <c r="G9" s="148"/>
      <c r="H9" s="148"/>
      <c r="I9" s="148"/>
      <c r="J9" s="148"/>
      <c r="K9" s="148"/>
      <c r="L9" s="148"/>
      <c r="M9" s="148"/>
      <c r="N9" s="163"/>
      <c r="O9" s="163"/>
      <c r="P9" s="163"/>
      <c r="Q9" s="163"/>
      <c r="R9" s="163"/>
      <c r="S9" s="163"/>
      <c r="T9" s="163"/>
      <c r="U9" s="163"/>
    </row>
    <row r="10" spans="1:21" ht="42.75" customHeight="1">
      <c r="A10" s="110" t="s">
        <v>931</v>
      </c>
      <c r="B10" s="31"/>
      <c r="C10" s="87"/>
      <c r="D10" s="229"/>
      <c r="E10" s="163"/>
      <c r="F10" s="163"/>
      <c r="G10" s="163"/>
      <c r="H10" s="163"/>
      <c r="I10" s="163"/>
      <c r="J10" s="163"/>
      <c r="K10" s="163"/>
      <c r="L10" s="163"/>
      <c r="M10" s="163"/>
      <c r="N10" s="163"/>
      <c r="O10" s="163"/>
      <c r="P10" s="163"/>
      <c r="Q10" s="163"/>
      <c r="R10" s="163"/>
      <c r="S10" s="163"/>
      <c r="T10" s="163"/>
      <c r="U10" s="163"/>
    </row>
    <row r="11" spans="1:21" ht="42" customHeight="1">
      <c r="A11" s="234" t="s">
        <v>932</v>
      </c>
      <c r="B11" s="234" t="s">
        <v>933</v>
      </c>
      <c r="C11" s="75" t="s">
        <v>934</v>
      </c>
      <c r="D11" s="225" t="s">
        <v>935</v>
      </c>
      <c r="E11" s="163"/>
      <c r="F11" s="163"/>
      <c r="G11" s="163"/>
      <c r="H11" s="163"/>
      <c r="I11" s="163"/>
      <c r="J11" s="163"/>
      <c r="K11" s="163"/>
      <c r="L11" s="163"/>
      <c r="M11" s="163"/>
      <c r="N11" s="163"/>
      <c r="O11" s="163"/>
      <c r="P11" s="163"/>
      <c r="Q11" s="163"/>
      <c r="R11" s="163"/>
      <c r="S11" s="163"/>
      <c r="T11" s="163"/>
      <c r="U11" s="163"/>
    </row>
    <row r="12" spans="1:21">
      <c r="A12" s="15" t="s">
        <v>936</v>
      </c>
      <c r="B12" s="41"/>
      <c r="C12" s="41"/>
      <c r="D12" s="6"/>
      <c r="E12" s="163"/>
      <c r="F12" s="163"/>
      <c r="G12" s="163"/>
      <c r="H12" s="163"/>
      <c r="I12" s="163"/>
      <c r="J12" s="163"/>
      <c r="K12" s="163"/>
      <c r="L12" s="163"/>
      <c r="M12" s="163"/>
      <c r="N12" s="163"/>
      <c r="T12" s="163"/>
      <c r="U12" s="163"/>
    </row>
    <row r="13" spans="1:21">
      <c r="A13" s="48" t="s">
        <v>937</v>
      </c>
      <c r="B13" s="48" t="s">
        <v>938</v>
      </c>
      <c r="C13" s="49" t="s">
        <v>939</v>
      </c>
      <c r="D13" s="143">
        <v>47</v>
      </c>
      <c r="E13" s="163"/>
      <c r="F13" s="163"/>
      <c r="G13" s="163"/>
      <c r="H13" s="163"/>
      <c r="I13" s="163"/>
      <c r="J13" s="163"/>
      <c r="K13" s="163"/>
      <c r="L13" s="163"/>
      <c r="M13" s="163"/>
      <c r="S13" s="163"/>
      <c r="T13" s="163"/>
    </row>
    <row r="14" spans="1:21">
      <c r="A14" s="69" t="s">
        <v>940</v>
      </c>
      <c r="B14" s="151" t="s">
        <v>941</v>
      </c>
      <c r="C14" s="40" t="s">
        <v>942</v>
      </c>
      <c r="D14" s="114">
        <v>126</v>
      </c>
      <c r="E14" s="163"/>
      <c r="F14" s="163"/>
      <c r="G14" s="163"/>
      <c r="H14" s="163"/>
      <c r="I14" s="163"/>
      <c r="J14" s="163"/>
      <c r="K14" s="163"/>
      <c r="L14" s="163"/>
      <c r="M14" s="163"/>
      <c r="N14" s="163"/>
      <c r="O14" s="163"/>
      <c r="P14" s="163"/>
      <c r="Q14" s="163"/>
      <c r="R14" s="163"/>
      <c r="S14" s="163"/>
      <c r="T14" s="163"/>
    </row>
    <row r="15" spans="1:21">
      <c r="A15" s="69" t="s">
        <v>943</v>
      </c>
      <c r="B15" s="151" t="s">
        <v>944</v>
      </c>
      <c r="C15" s="40" t="s">
        <v>945</v>
      </c>
      <c r="D15" s="114">
        <v>185</v>
      </c>
      <c r="E15" s="163"/>
      <c r="F15" s="163"/>
      <c r="G15" s="163"/>
      <c r="H15" s="163"/>
      <c r="I15" s="163"/>
      <c r="J15" s="163"/>
      <c r="K15" s="163"/>
      <c r="L15" s="163"/>
      <c r="M15" s="163"/>
      <c r="N15" s="163"/>
      <c r="O15" s="163"/>
      <c r="P15" s="163"/>
      <c r="Q15" s="163"/>
      <c r="R15" s="163"/>
      <c r="S15" s="163"/>
      <c r="T15" s="163"/>
    </row>
    <row r="16" spans="1:21">
      <c r="A16" s="69"/>
      <c r="B16" s="48"/>
      <c r="C16" s="115"/>
      <c r="D16" s="47"/>
      <c r="E16" s="163"/>
      <c r="F16" s="163"/>
      <c r="G16" s="163"/>
      <c r="H16" s="163"/>
      <c r="I16" s="163"/>
      <c r="J16" s="163"/>
      <c r="K16" s="163"/>
      <c r="L16" s="163"/>
      <c r="M16" s="163"/>
      <c r="N16" s="163"/>
      <c r="O16" s="163"/>
      <c r="P16" s="163"/>
      <c r="Q16" s="163"/>
      <c r="R16" s="163"/>
      <c r="S16" s="163"/>
      <c r="T16" s="163"/>
    </row>
    <row r="17" spans="1:20">
      <c r="A17" s="15" t="s">
        <v>946</v>
      </c>
      <c r="B17" s="41"/>
      <c r="C17" s="41"/>
      <c r="D17" s="125"/>
      <c r="E17" s="163"/>
      <c r="F17" s="163"/>
      <c r="G17" s="163"/>
      <c r="H17" s="163"/>
      <c r="I17" s="163"/>
      <c r="J17" s="163"/>
      <c r="K17" s="163"/>
      <c r="L17" s="163"/>
      <c r="M17" s="163"/>
      <c r="N17" s="163"/>
      <c r="O17" s="163"/>
      <c r="P17" s="163"/>
      <c r="Q17" s="163"/>
      <c r="R17" s="163"/>
      <c r="S17" s="163"/>
      <c r="T17" s="163"/>
    </row>
    <row r="18" spans="1:20">
      <c r="A18" s="132" t="s">
        <v>947</v>
      </c>
      <c r="B18" s="230" t="s">
        <v>948</v>
      </c>
      <c r="C18" s="46" t="s">
        <v>949</v>
      </c>
      <c r="D18" s="114">
        <v>26</v>
      </c>
      <c r="E18" s="163"/>
      <c r="F18" s="163"/>
      <c r="G18" s="163"/>
      <c r="H18" s="163"/>
      <c r="I18" s="163"/>
      <c r="J18" s="163"/>
      <c r="K18" s="163"/>
      <c r="L18" s="163"/>
      <c r="M18" s="163"/>
      <c r="N18" s="163"/>
      <c r="O18" s="163"/>
      <c r="P18" s="163"/>
      <c r="Q18" s="163"/>
      <c r="R18" s="163"/>
      <c r="S18" s="163"/>
      <c r="T18" s="163"/>
    </row>
    <row r="19" spans="1:20">
      <c r="A19" s="132" t="s">
        <v>950</v>
      </c>
      <c r="B19" s="230" t="s">
        <v>951</v>
      </c>
      <c r="C19" s="46" t="s">
        <v>952</v>
      </c>
      <c r="D19" s="114">
        <v>380</v>
      </c>
      <c r="E19" s="163"/>
      <c r="F19" s="163"/>
      <c r="G19" s="163"/>
      <c r="H19" s="163"/>
      <c r="I19" s="163"/>
      <c r="J19" s="163"/>
      <c r="K19" s="163"/>
      <c r="L19" s="163"/>
      <c r="M19" s="163"/>
      <c r="N19" s="163"/>
      <c r="O19" s="163"/>
      <c r="P19" s="163"/>
      <c r="Q19" s="163"/>
      <c r="R19" s="163"/>
      <c r="S19" s="163"/>
      <c r="T19" s="163"/>
    </row>
    <row r="20" spans="1:20">
      <c r="A20" s="69"/>
      <c r="B20" s="48"/>
      <c r="C20" s="88"/>
      <c r="D20" s="47"/>
      <c r="E20" s="163"/>
      <c r="F20" s="163"/>
      <c r="G20" s="163"/>
      <c r="H20" s="163"/>
      <c r="I20" s="163"/>
      <c r="J20" s="163"/>
      <c r="K20" s="163"/>
      <c r="L20" s="163"/>
      <c r="M20" s="163"/>
      <c r="N20" s="163"/>
      <c r="O20" s="163"/>
      <c r="P20" s="163"/>
      <c r="Q20" s="163"/>
      <c r="R20" s="163"/>
      <c r="S20" s="163"/>
      <c r="T20" s="163"/>
    </row>
    <row r="21" spans="1:20">
      <c r="A21" s="15" t="s">
        <v>953</v>
      </c>
      <c r="B21" s="41"/>
      <c r="C21" s="41"/>
      <c r="D21" s="125"/>
      <c r="E21" s="163"/>
      <c r="F21" s="163"/>
      <c r="G21" s="163"/>
      <c r="H21" s="163"/>
      <c r="I21" s="163"/>
      <c r="J21" s="163"/>
      <c r="K21" s="163"/>
      <c r="L21" s="163"/>
      <c r="M21" s="163"/>
      <c r="N21" s="163"/>
      <c r="O21" s="163"/>
      <c r="P21" s="163"/>
      <c r="Q21" s="163"/>
      <c r="R21" s="163"/>
      <c r="S21" s="163"/>
      <c r="T21" s="163"/>
    </row>
    <row r="22" spans="1:20" ht="23.1" customHeight="1">
      <c r="A22" s="69" t="s">
        <v>954</v>
      </c>
      <c r="B22" s="48" t="s">
        <v>955</v>
      </c>
      <c r="C22" s="88" t="s">
        <v>956</v>
      </c>
      <c r="D22" s="114">
        <v>11</v>
      </c>
      <c r="E22" s="163"/>
      <c r="F22" s="163"/>
      <c r="G22" s="163"/>
      <c r="H22" s="163"/>
      <c r="I22" s="163"/>
      <c r="J22" s="163"/>
      <c r="K22" s="163"/>
      <c r="L22" s="163"/>
      <c r="M22" s="163"/>
      <c r="N22" s="163"/>
      <c r="O22" s="163"/>
      <c r="P22" s="163"/>
      <c r="Q22" s="163"/>
      <c r="R22" s="163"/>
      <c r="S22" s="163"/>
      <c r="T22" s="163"/>
    </row>
    <row r="23" spans="1:20">
      <c r="A23" s="69" t="s">
        <v>957</v>
      </c>
      <c r="B23" s="86" t="s">
        <v>958</v>
      </c>
      <c r="C23" s="88" t="s">
        <v>959</v>
      </c>
      <c r="D23" s="114">
        <v>122</v>
      </c>
      <c r="E23" s="163"/>
      <c r="F23" s="163"/>
      <c r="G23" s="163"/>
      <c r="H23" s="163"/>
      <c r="I23" s="163"/>
      <c r="J23" s="163"/>
      <c r="K23" s="163"/>
      <c r="L23" s="163"/>
      <c r="M23" s="163"/>
      <c r="N23" s="163"/>
      <c r="O23" s="163"/>
      <c r="P23" s="163"/>
      <c r="Q23" s="163"/>
      <c r="R23" s="163"/>
      <c r="S23" s="163"/>
      <c r="T23" s="163"/>
    </row>
    <row r="24" spans="1:20">
      <c r="A24" s="69" t="s">
        <v>960</v>
      </c>
      <c r="B24" s="71" t="s">
        <v>961</v>
      </c>
      <c r="C24" s="88" t="s">
        <v>962</v>
      </c>
      <c r="D24" s="114">
        <v>14</v>
      </c>
      <c r="E24" s="163"/>
      <c r="F24" s="163"/>
      <c r="G24" s="163"/>
      <c r="H24" s="163"/>
      <c r="I24" s="163"/>
      <c r="J24" s="163"/>
      <c r="K24" s="163"/>
      <c r="L24" s="163"/>
      <c r="M24" s="163"/>
      <c r="N24" s="163"/>
      <c r="O24" s="163"/>
      <c r="P24" s="163"/>
      <c r="Q24" s="163"/>
      <c r="R24" s="163"/>
      <c r="S24" s="163"/>
      <c r="T24" s="163"/>
    </row>
    <row r="25" spans="1:20">
      <c r="A25" s="69" t="s">
        <v>963</v>
      </c>
      <c r="B25" s="86" t="s">
        <v>963</v>
      </c>
      <c r="C25" s="88" t="s">
        <v>964</v>
      </c>
      <c r="D25" s="114">
        <v>14</v>
      </c>
      <c r="E25" s="163"/>
      <c r="F25" s="163"/>
      <c r="G25" s="163"/>
      <c r="H25" s="163"/>
      <c r="I25" s="163"/>
      <c r="J25" s="163"/>
      <c r="K25" s="163"/>
      <c r="L25" s="163"/>
      <c r="M25" s="163"/>
      <c r="N25" s="163"/>
      <c r="O25" s="163"/>
      <c r="P25" s="163"/>
      <c r="Q25" s="163"/>
      <c r="R25" s="163"/>
      <c r="S25" s="163"/>
      <c r="T25" s="163"/>
    </row>
    <row r="26" spans="1:20">
      <c r="A26" s="132" t="s">
        <v>965</v>
      </c>
      <c r="B26" s="235" t="s">
        <v>966</v>
      </c>
      <c r="C26" s="88" t="s">
        <v>967</v>
      </c>
      <c r="D26" s="114">
        <v>30</v>
      </c>
      <c r="E26" s="163"/>
      <c r="F26" s="163"/>
      <c r="G26" s="163"/>
      <c r="H26" s="163"/>
      <c r="I26" s="163"/>
      <c r="J26" s="163"/>
      <c r="K26" s="163"/>
      <c r="L26" s="163"/>
      <c r="M26" s="163"/>
      <c r="N26" s="163"/>
      <c r="O26" s="163"/>
      <c r="P26" s="163"/>
      <c r="Q26" s="163"/>
      <c r="R26" s="163"/>
      <c r="S26" s="163"/>
      <c r="T26" s="163"/>
    </row>
    <row r="27" spans="1:20">
      <c r="A27" s="132" t="s">
        <v>968</v>
      </c>
      <c r="B27" s="235" t="s">
        <v>969</v>
      </c>
      <c r="C27" s="88" t="s">
        <v>970</v>
      </c>
      <c r="D27" s="114">
        <v>19</v>
      </c>
      <c r="E27" s="163"/>
      <c r="F27" s="163"/>
      <c r="G27" s="163"/>
      <c r="H27" s="163"/>
      <c r="I27" s="163"/>
      <c r="J27" s="163"/>
      <c r="K27" s="163"/>
      <c r="L27" s="163"/>
      <c r="M27" s="163"/>
      <c r="N27" s="163"/>
      <c r="O27" s="163"/>
      <c r="P27" s="163"/>
      <c r="Q27" s="163"/>
      <c r="R27" s="163"/>
      <c r="S27" s="163"/>
      <c r="T27" s="163"/>
    </row>
    <row r="28" spans="1:20">
      <c r="A28" s="55" t="s">
        <v>1613</v>
      </c>
      <c r="B28" s="352" t="s">
        <v>971</v>
      </c>
      <c r="C28" s="353" t="s">
        <v>1614</v>
      </c>
      <c r="D28" s="143">
        <v>32</v>
      </c>
      <c r="E28" s="163"/>
      <c r="F28" s="163"/>
      <c r="G28" s="163"/>
      <c r="H28" s="163"/>
      <c r="I28" s="163"/>
      <c r="J28" s="163"/>
      <c r="K28" s="163"/>
      <c r="L28" s="163"/>
      <c r="M28" s="163"/>
      <c r="N28" s="163"/>
      <c r="O28" s="163"/>
      <c r="P28" s="163"/>
      <c r="Q28" s="163"/>
      <c r="R28" s="163"/>
      <c r="S28" s="163"/>
      <c r="T28" s="163"/>
    </row>
    <row r="29" spans="1:20">
      <c r="A29" s="42" t="s">
        <v>972</v>
      </c>
      <c r="B29" s="42" t="s">
        <v>973</v>
      </c>
      <c r="C29" s="40" t="s">
        <v>974</v>
      </c>
      <c r="D29" s="114">
        <v>22</v>
      </c>
      <c r="E29" s="163"/>
      <c r="F29" s="163"/>
      <c r="G29" s="163"/>
      <c r="H29" s="163"/>
      <c r="I29" s="163"/>
      <c r="J29" s="163"/>
      <c r="K29" s="163"/>
      <c r="L29" s="163"/>
      <c r="M29" s="163"/>
      <c r="N29" s="163"/>
      <c r="O29" s="163"/>
      <c r="P29" s="163"/>
      <c r="Q29" s="163"/>
      <c r="R29" s="163"/>
      <c r="S29" s="163"/>
      <c r="T29" s="163"/>
    </row>
    <row r="30" spans="1:20">
      <c r="A30" s="42" t="s">
        <v>975</v>
      </c>
      <c r="B30" s="42" t="s">
        <v>976</v>
      </c>
      <c r="C30" s="191" t="s">
        <v>977</v>
      </c>
      <c r="D30" s="301">
        <v>12</v>
      </c>
      <c r="E30" s="163"/>
      <c r="F30" s="163"/>
      <c r="G30" s="163"/>
      <c r="H30" s="163"/>
      <c r="I30" s="163"/>
      <c r="J30" s="163"/>
      <c r="K30" s="163"/>
      <c r="L30" s="163"/>
      <c r="M30" s="163"/>
      <c r="N30" s="163"/>
      <c r="O30" s="163"/>
      <c r="P30" s="163"/>
      <c r="Q30" s="163"/>
      <c r="R30" s="163"/>
      <c r="S30" s="163"/>
      <c r="T30" s="163"/>
    </row>
    <row r="31" spans="1:20">
      <c r="E31" s="163"/>
      <c r="F31" s="163"/>
      <c r="G31" s="163"/>
      <c r="H31" s="163"/>
      <c r="I31" s="163"/>
      <c r="J31" s="163"/>
      <c r="K31" s="163"/>
      <c r="L31" s="163"/>
      <c r="M31" s="163"/>
    </row>
    <row r="32" spans="1:20">
      <c r="A32" s="15" t="s">
        <v>978</v>
      </c>
      <c r="B32" s="41"/>
      <c r="C32" s="41"/>
      <c r="D32" s="125"/>
      <c r="E32" s="163"/>
      <c r="F32" s="163"/>
      <c r="G32" s="163"/>
      <c r="H32" s="163"/>
      <c r="I32" s="163"/>
      <c r="J32" s="163"/>
      <c r="K32" s="163"/>
      <c r="L32" s="163"/>
      <c r="M32" s="163"/>
      <c r="N32" s="163"/>
      <c r="O32" s="163"/>
      <c r="P32" s="163"/>
      <c r="Q32" s="163"/>
      <c r="R32" s="163"/>
      <c r="S32" s="163"/>
      <c r="T32" s="163"/>
    </row>
    <row r="33" spans="1:20">
      <c r="A33" s="69" t="s">
        <v>979</v>
      </c>
      <c r="B33" s="48" t="s">
        <v>980</v>
      </c>
      <c r="C33" s="88" t="s">
        <v>981</v>
      </c>
      <c r="D33" s="114">
        <v>4</v>
      </c>
      <c r="E33" s="163"/>
      <c r="F33" s="163"/>
      <c r="G33" s="163"/>
      <c r="H33" s="163"/>
      <c r="I33" s="163"/>
      <c r="J33" s="163"/>
      <c r="K33" s="163"/>
      <c r="L33" s="163"/>
      <c r="M33" s="163"/>
      <c r="N33" s="163"/>
      <c r="O33" s="163"/>
      <c r="P33" s="163"/>
      <c r="Q33" s="163"/>
      <c r="R33" s="163"/>
      <c r="S33" s="163"/>
      <c r="T33" s="163"/>
    </row>
    <row r="34" spans="1:20">
      <c r="A34" s="69" t="s">
        <v>982</v>
      </c>
      <c r="B34" s="48" t="s">
        <v>983</v>
      </c>
      <c r="C34" s="88" t="s">
        <v>984</v>
      </c>
      <c r="D34" s="114">
        <v>13</v>
      </c>
      <c r="E34" s="163"/>
      <c r="F34" s="163"/>
      <c r="G34" s="163"/>
      <c r="H34" s="163"/>
      <c r="I34" s="163"/>
      <c r="J34" s="163"/>
      <c r="K34" s="163"/>
      <c r="L34" s="163"/>
      <c r="M34" s="163"/>
      <c r="N34" s="163"/>
      <c r="O34" s="163"/>
      <c r="P34" s="163"/>
      <c r="Q34" s="163"/>
      <c r="R34" s="163"/>
      <c r="S34" s="163"/>
      <c r="T34" s="163"/>
    </row>
    <row r="35" spans="1:20">
      <c r="A35" s="69" t="s">
        <v>985</v>
      </c>
      <c r="B35" s="48" t="s">
        <v>986</v>
      </c>
      <c r="C35" s="88" t="s">
        <v>987</v>
      </c>
      <c r="D35" s="114">
        <v>17</v>
      </c>
      <c r="E35" s="163"/>
      <c r="F35" s="163"/>
      <c r="G35" s="163"/>
      <c r="H35" s="163"/>
      <c r="I35" s="163"/>
      <c r="J35" s="163"/>
      <c r="K35" s="163"/>
      <c r="L35" s="163"/>
      <c r="M35" s="163"/>
      <c r="N35" s="163"/>
      <c r="O35" s="163"/>
      <c r="P35" s="163"/>
      <c r="Q35" s="163"/>
      <c r="R35" s="163"/>
      <c r="S35" s="163"/>
      <c r="T35" s="163"/>
    </row>
    <row r="36" spans="1:20">
      <c r="A36" s="69" t="s">
        <v>988</v>
      </c>
      <c r="B36" s="48" t="s">
        <v>989</v>
      </c>
      <c r="C36" s="88" t="s">
        <v>990</v>
      </c>
      <c r="D36" s="114">
        <v>28</v>
      </c>
      <c r="E36" s="163"/>
      <c r="F36" s="163"/>
      <c r="G36" s="163"/>
      <c r="H36" s="163"/>
      <c r="I36" s="163"/>
      <c r="J36" s="163"/>
      <c r="K36" s="163"/>
      <c r="L36" s="163"/>
      <c r="M36" s="163"/>
      <c r="N36" s="163"/>
      <c r="O36" s="163"/>
      <c r="P36" s="163"/>
      <c r="Q36" s="163"/>
      <c r="R36" s="163"/>
      <c r="S36" s="163"/>
      <c r="T36" s="163"/>
    </row>
    <row r="37" spans="1:20">
      <c r="A37" s="69" t="s">
        <v>991</v>
      </c>
      <c r="B37" s="48" t="s">
        <v>992</v>
      </c>
      <c r="C37" s="88" t="s">
        <v>993</v>
      </c>
      <c r="D37" s="114">
        <v>32</v>
      </c>
      <c r="E37" s="163"/>
      <c r="F37" s="163"/>
      <c r="G37" s="163"/>
      <c r="H37" s="163"/>
      <c r="I37" s="163"/>
      <c r="J37" s="163"/>
      <c r="K37" s="163"/>
      <c r="L37" s="163"/>
      <c r="M37" s="163"/>
      <c r="N37" s="163"/>
      <c r="O37" s="163"/>
      <c r="P37" s="163"/>
      <c r="Q37" s="163"/>
      <c r="R37" s="163"/>
      <c r="S37" s="163"/>
      <c r="T37" s="163"/>
    </row>
    <row r="38" spans="1:20">
      <c r="A38" s="132" t="s">
        <v>994</v>
      </c>
      <c r="B38" s="230" t="s">
        <v>284</v>
      </c>
      <c r="C38" s="116" t="s">
        <v>995</v>
      </c>
      <c r="D38" s="114">
        <v>33</v>
      </c>
      <c r="E38" s="163"/>
      <c r="F38" s="163"/>
      <c r="G38" s="163"/>
      <c r="H38" s="163"/>
      <c r="I38" s="163"/>
      <c r="J38" s="163"/>
      <c r="K38" s="163"/>
      <c r="L38" s="163"/>
      <c r="M38" s="163"/>
      <c r="N38" s="163"/>
      <c r="O38" s="163"/>
      <c r="P38" s="163"/>
      <c r="Q38" s="163"/>
      <c r="R38" s="163"/>
      <c r="S38" s="163"/>
      <c r="T38" s="163"/>
    </row>
    <row r="39" spans="1:20">
      <c r="A39" s="69" t="s">
        <v>1907</v>
      </c>
      <c r="B39" s="354" t="s">
        <v>1906</v>
      </c>
      <c r="C39" s="355" t="s">
        <v>1905</v>
      </c>
      <c r="D39" s="143">
        <v>36</v>
      </c>
      <c r="E39" s="163"/>
      <c r="F39" s="163"/>
      <c r="G39" s="163"/>
      <c r="H39" s="163"/>
      <c r="I39" s="163"/>
      <c r="J39" s="163"/>
      <c r="K39" s="163"/>
      <c r="L39" s="163"/>
      <c r="M39" s="163"/>
      <c r="N39" s="163"/>
      <c r="O39" s="163"/>
      <c r="P39" s="163"/>
      <c r="Q39" s="163"/>
      <c r="R39" s="163"/>
      <c r="S39" s="163"/>
      <c r="T39" s="163"/>
    </row>
    <row r="40" spans="1:20">
      <c r="A40" s="69" t="s">
        <v>996</v>
      </c>
      <c r="B40" s="48" t="s">
        <v>997</v>
      </c>
      <c r="C40" s="88" t="s">
        <v>998</v>
      </c>
      <c r="D40" s="114">
        <v>5</v>
      </c>
      <c r="E40" s="163"/>
      <c r="F40" s="163"/>
      <c r="G40" s="163"/>
      <c r="H40" s="163"/>
      <c r="I40" s="163"/>
      <c r="J40" s="163"/>
      <c r="K40" s="163"/>
      <c r="L40" s="163"/>
      <c r="M40" s="163"/>
      <c r="N40" s="163"/>
      <c r="O40" s="163"/>
      <c r="P40" s="163"/>
      <c r="Q40" s="163"/>
      <c r="R40" s="163"/>
      <c r="S40" s="163"/>
      <c r="T40" s="163"/>
    </row>
    <row r="41" spans="1:20">
      <c r="A41" s="69" t="s">
        <v>999</v>
      </c>
      <c r="B41" s="48" t="s">
        <v>1000</v>
      </c>
      <c r="C41" s="88" t="s">
        <v>1001</v>
      </c>
      <c r="D41" s="114">
        <v>58</v>
      </c>
      <c r="E41" s="163"/>
      <c r="F41" s="163"/>
      <c r="G41" s="163"/>
      <c r="H41" s="163"/>
      <c r="I41" s="163"/>
      <c r="J41" s="163"/>
      <c r="K41" s="163"/>
      <c r="L41" s="163"/>
      <c r="M41" s="163"/>
      <c r="N41" s="163"/>
      <c r="O41" s="163"/>
      <c r="P41" s="163"/>
      <c r="Q41" s="163"/>
      <c r="R41" s="163"/>
      <c r="S41" s="163"/>
      <c r="T41" s="163"/>
    </row>
    <row r="42" spans="1:20">
      <c r="A42" s="69" t="s">
        <v>1002</v>
      </c>
      <c r="B42" s="48" t="s">
        <v>1003</v>
      </c>
      <c r="C42" s="88" t="s">
        <v>1004</v>
      </c>
      <c r="D42" s="114">
        <v>447</v>
      </c>
      <c r="E42" s="163"/>
      <c r="F42" s="163"/>
      <c r="G42" s="163"/>
      <c r="H42" s="163"/>
      <c r="I42" s="163"/>
      <c r="J42" s="163"/>
      <c r="K42" s="163"/>
      <c r="L42" s="163"/>
      <c r="M42" s="163"/>
      <c r="N42" s="163"/>
      <c r="O42" s="163"/>
      <c r="P42" s="163"/>
      <c r="Q42" s="163"/>
      <c r="R42" s="163"/>
      <c r="S42" s="163"/>
      <c r="T42" s="163"/>
    </row>
    <row r="43" spans="1:20">
      <c r="A43" s="42" t="s">
        <v>1005</v>
      </c>
      <c r="B43" s="42" t="s">
        <v>1006</v>
      </c>
      <c r="C43" s="40" t="s">
        <v>1007</v>
      </c>
      <c r="D43" s="114">
        <v>10</v>
      </c>
      <c r="E43" s="163"/>
      <c r="F43" s="163"/>
      <c r="G43" s="163"/>
      <c r="H43" s="163"/>
      <c r="I43" s="163"/>
      <c r="J43" s="163"/>
      <c r="K43" s="163"/>
      <c r="L43" s="163"/>
      <c r="M43" s="163"/>
      <c r="N43" s="163"/>
      <c r="O43" s="163"/>
      <c r="P43" s="163"/>
      <c r="Q43" s="163"/>
      <c r="R43" s="163"/>
      <c r="S43" s="163"/>
      <c r="T43" s="163"/>
    </row>
    <row r="44" spans="1:20">
      <c r="A44" s="281" t="s">
        <v>1008</v>
      </c>
      <c r="B44" s="282" t="s">
        <v>1009</v>
      </c>
      <c r="C44" s="44" t="s">
        <v>1010</v>
      </c>
      <c r="D44" s="143">
        <v>6</v>
      </c>
      <c r="E44" s="163"/>
      <c r="F44" s="163"/>
      <c r="G44" s="163"/>
      <c r="H44" s="163"/>
      <c r="I44" s="163"/>
      <c r="J44" s="163"/>
      <c r="K44" s="163"/>
      <c r="L44" s="163"/>
      <c r="M44" s="163"/>
      <c r="N44" s="163"/>
      <c r="O44" s="163"/>
      <c r="P44" s="163"/>
      <c r="Q44" s="163"/>
      <c r="R44" s="163"/>
      <c r="S44" s="163"/>
      <c r="T44" s="163"/>
    </row>
    <row r="45" spans="1:20">
      <c r="A45" s="277"/>
      <c r="B45" s="278"/>
      <c r="C45" s="278"/>
      <c r="D45" s="279"/>
      <c r="E45" s="163"/>
      <c r="F45" s="163"/>
      <c r="G45" s="163"/>
      <c r="H45" s="163"/>
      <c r="I45" s="163"/>
      <c r="J45" s="163"/>
      <c r="K45" s="163"/>
      <c r="L45" s="163"/>
      <c r="M45" s="163"/>
      <c r="N45" s="163"/>
      <c r="O45" s="163"/>
      <c r="P45" s="163"/>
      <c r="Q45" s="163"/>
      <c r="R45" s="163"/>
      <c r="S45" s="163"/>
      <c r="T45" s="163"/>
    </row>
    <row r="46" spans="1:20">
      <c r="A46" s="15" t="s">
        <v>1011</v>
      </c>
      <c r="B46" s="41"/>
      <c r="C46" s="41"/>
      <c r="D46" s="125"/>
      <c r="E46" s="163"/>
      <c r="F46" s="163"/>
      <c r="G46" s="163"/>
      <c r="H46" s="163"/>
      <c r="I46" s="163"/>
      <c r="J46" s="163"/>
      <c r="K46" s="163"/>
      <c r="L46" s="163"/>
      <c r="M46" s="163"/>
      <c r="N46" s="163"/>
      <c r="O46" s="163"/>
      <c r="P46" s="163"/>
      <c r="Q46" s="163"/>
      <c r="R46" s="163"/>
      <c r="S46" s="163"/>
      <c r="T46" s="163"/>
    </row>
    <row r="47" spans="1:20">
      <c r="A47" s="132" t="s">
        <v>1012</v>
      </c>
      <c r="B47" s="235" t="s">
        <v>1013</v>
      </c>
      <c r="C47" s="46" t="s">
        <v>1014</v>
      </c>
      <c r="D47" s="114">
        <v>18</v>
      </c>
      <c r="E47" s="163"/>
      <c r="F47" s="163"/>
      <c r="G47" s="163"/>
      <c r="H47" s="163"/>
      <c r="I47" s="163"/>
      <c r="J47" s="163"/>
      <c r="K47" s="163"/>
      <c r="L47" s="163"/>
      <c r="M47" s="163"/>
      <c r="N47" s="163"/>
      <c r="O47" s="163"/>
      <c r="P47" s="163"/>
      <c r="Q47" s="163"/>
      <c r="R47" s="163"/>
      <c r="S47" s="163"/>
      <c r="T47" s="163"/>
    </row>
    <row r="48" spans="1:20">
      <c r="A48" s="132" t="s">
        <v>1015</v>
      </c>
      <c r="B48" s="235" t="s">
        <v>1016</v>
      </c>
      <c r="C48" s="46" t="s">
        <v>1017</v>
      </c>
      <c r="D48" s="114">
        <v>66</v>
      </c>
      <c r="E48" s="163"/>
      <c r="F48" s="163"/>
      <c r="G48" s="163"/>
      <c r="H48" s="163"/>
      <c r="I48" s="163"/>
      <c r="J48" s="163"/>
      <c r="K48" s="163"/>
      <c r="L48" s="163"/>
      <c r="M48" s="163"/>
      <c r="N48" s="163"/>
      <c r="O48" s="163"/>
      <c r="P48" s="163"/>
      <c r="Q48" s="163"/>
      <c r="R48" s="163"/>
      <c r="S48" s="163"/>
      <c r="T48" s="163"/>
    </row>
    <row r="49" spans="1:20">
      <c r="A49" s="129"/>
      <c r="B49" s="129"/>
      <c r="C49" s="26"/>
      <c r="D49" s="47"/>
      <c r="E49" s="163"/>
      <c r="F49" s="163"/>
      <c r="G49" s="163"/>
      <c r="H49" s="163"/>
      <c r="I49" s="163"/>
      <c r="J49" s="163"/>
      <c r="K49" s="163"/>
      <c r="L49" s="163"/>
      <c r="M49" s="163"/>
      <c r="N49" s="163"/>
      <c r="O49" s="163"/>
      <c r="P49" s="163"/>
      <c r="Q49" s="163"/>
      <c r="R49" s="163"/>
      <c r="S49" s="163"/>
      <c r="T49" s="163"/>
    </row>
    <row r="50" spans="1:20">
      <c r="A50" s="15" t="s">
        <v>1018</v>
      </c>
      <c r="B50" s="41"/>
      <c r="C50" s="41"/>
      <c r="D50" s="125"/>
      <c r="E50" s="163"/>
      <c r="F50" s="163"/>
      <c r="G50" s="163"/>
      <c r="H50" s="163"/>
      <c r="I50" s="163"/>
      <c r="J50" s="163"/>
      <c r="K50" s="163"/>
      <c r="L50" s="163"/>
      <c r="M50" s="163"/>
      <c r="N50" s="163"/>
      <c r="O50" s="163"/>
      <c r="P50" s="163"/>
      <c r="Q50" s="163"/>
      <c r="R50" s="163"/>
      <c r="S50" s="163"/>
      <c r="T50" s="163"/>
    </row>
    <row r="51" spans="1:20">
      <c r="A51" s="230" t="s">
        <v>1019</v>
      </c>
      <c r="B51" s="230" t="s">
        <v>1019</v>
      </c>
      <c r="C51" s="46" t="s">
        <v>1020</v>
      </c>
      <c r="D51" s="114">
        <v>28</v>
      </c>
      <c r="E51" s="163"/>
      <c r="F51" s="163"/>
      <c r="G51" s="163"/>
      <c r="H51" s="163"/>
      <c r="I51" s="163"/>
      <c r="J51" s="163"/>
      <c r="K51" s="163"/>
      <c r="L51" s="163"/>
      <c r="M51" s="163"/>
      <c r="N51" s="163"/>
      <c r="O51" s="163"/>
      <c r="P51" s="163"/>
      <c r="Q51" s="163"/>
      <c r="R51" s="163"/>
      <c r="S51" s="163"/>
      <c r="T51" s="163"/>
    </row>
    <row r="52" spans="1:20" ht="14.25" customHeight="1">
      <c r="A52" s="230" t="s">
        <v>1021</v>
      </c>
      <c r="B52" s="230" t="s">
        <v>1021</v>
      </c>
      <c r="C52" s="105" t="s">
        <v>1022</v>
      </c>
      <c r="D52" s="114">
        <v>48</v>
      </c>
      <c r="E52" s="163"/>
      <c r="F52" s="163"/>
      <c r="G52" s="163"/>
      <c r="H52" s="163"/>
      <c r="I52" s="163"/>
      <c r="J52" s="163"/>
      <c r="K52" s="163"/>
      <c r="L52" s="163"/>
      <c r="M52" s="163"/>
      <c r="N52" s="163"/>
      <c r="O52" s="163"/>
      <c r="P52" s="163"/>
      <c r="Q52" s="163"/>
      <c r="R52" s="163"/>
      <c r="S52" s="163"/>
      <c r="T52" s="163"/>
    </row>
    <row r="53" spans="1:20" ht="14.25" customHeight="1">
      <c r="A53" s="48" t="s">
        <v>1023</v>
      </c>
      <c r="B53" s="48" t="s">
        <v>1024</v>
      </c>
      <c r="C53" s="26" t="s">
        <v>1025</v>
      </c>
      <c r="D53" s="47">
        <v>21</v>
      </c>
      <c r="E53" s="163"/>
      <c r="F53" s="163"/>
      <c r="G53" s="163"/>
      <c r="H53" s="163"/>
      <c r="I53" s="163"/>
      <c r="J53" s="163"/>
      <c r="K53" s="163"/>
      <c r="L53" s="163"/>
      <c r="M53" s="163"/>
      <c r="N53" s="163"/>
      <c r="O53" s="163"/>
      <c r="P53" s="163"/>
      <c r="Q53" s="163"/>
      <c r="R53" s="163"/>
      <c r="S53" s="163"/>
      <c r="T53" s="163"/>
    </row>
    <row r="54" spans="1:20" ht="24" customHeight="1">
      <c r="A54" s="69" t="s">
        <v>1026</v>
      </c>
      <c r="B54" s="69" t="s">
        <v>1027</v>
      </c>
      <c r="C54" s="26" t="s">
        <v>1028</v>
      </c>
      <c r="D54" s="198">
        <v>24</v>
      </c>
      <c r="E54" s="163"/>
      <c r="F54" s="163"/>
      <c r="G54" s="163"/>
      <c r="H54" s="163"/>
      <c r="I54" s="163"/>
      <c r="J54" s="163"/>
      <c r="K54" s="163"/>
      <c r="L54" s="163"/>
      <c r="M54" s="163"/>
      <c r="N54" s="163"/>
      <c r="O54" s="163"/>
      <c r="P54" s="163"/>
      <c r="Q54" s="163"/>
      <c r="R54" s="163"/>
      <c r="S54" s="163"/>
      <c r="T54" s="163"/>
    </row>
    <row r="55" spans="1:20" ht="21.75" customHeight="1">
      <c r="A55" s="69" t="s">
        <v>1029</v>
      </c>
      <c r="B55" s="69" t="s">
        <v>1030</v>
      </c>
      <c r="C55" s="26" t="s">
        <v>1031</v>
      </c>
      <c r="D55" s="198">
        <v>28</v>
      </c>
      <c r="E55" s="163"/>
      <c r="F55" s="163"/>
      <c r="G55" s="163"/>
      <c r="H55" s="163"/>
      <c r="I55" s="163"/>
      <c r="J55" s="163"/>
      <c r="K55" s="163"/>
      <c r="L55" s="163"/>
      <c r="M55" s="163"/>
      <c r="N55" s="163"/>
      <c r="O55" s="163"/>
      <c r="P55" s="163"/>
      <c r="Q55" s="163"/>
      <c r="R55" s="163"/>
      <c r="S55" s="163"/>
      <c r="T55" s="163"/>
    </row>
    <row r="56" spans="1:20">
      <c r="A56" s="69" t="s">
        <v>1032</v>
      </c>
      <c r="B56" s="71" t="s">
        <v>1033</v>
      </c>
      <c r="C56" s="26" t="s">
        <v>1034</v>
      </c>
      <c r="D56" s="47">
        <v>31</v>
      </c>
      <c r="E56" s="163"/>
      <c r="F56" s="163"/>
      <c r="G56" s="163"/>
      <c r="H56" s="163"/>
      <c r="I56" s="163"/>
      <c r="J56" s="163"/>
      <c r="K56" s="163"/>
      <c r="L56" s="163"/>
      <c r="M56" s="163"/>
      <c r="N56" s="163"/>
      <c r="O56" s="163"/>
      <c r="P56" s="163"/>
      <c r="Q56" s="163"/>
      <c r="R56" s="163"/>
      <c r="S56" s="163"/>
      <c r="T56" s="163"/>
    </row>
    <row r="57" spans="1:20" ht="14.25" customHeight="1">
      <c r="A57" s="69" t="s">
        <v>1035</v>
      </c>
      <c r="B57" s="71" t="s">
        <v>1036</v>
      </c>
      <c r="C57" s="26" t="s">
        <v>1037</v>
      </c>
      <c r="D57" s="51">
        <v>35</v>
      </c>
      <c r="E57" s="163"/>
      <c r="F57" s="163"/>
      <c r="G57" s="163"/>
      <c r="H57" s="163"/>
      <c r="I57" s="163"/>
      <c r="J57" s="163"/>
      <c r="K57" s="163"/>
      <c r="L57" s="163"/>
      <c r="M57" s="163"/>
      <c r="N57" s="163"/>
      <c r="O57" s="163"/>
      <c r="P57" s="163"/>
      <c r="Q57" s="163"/>
      <c r="R57" s="163"/>
      <c r="S57" s="163"/>
      <c r="T57" s="163"/>
    </row>
    <row r="58" spans="1:20" ht="14.25" customHeight="1">
      <c r="A58" s="48" t="s">
        <v>1038</v>
      </c>
      <c r="B58" s="48" t="s">
        <v>1039</v>
      </c>
      <c r="C58" s="26" t="s">
        <v>1040</v>
      </c>
      <c r="D58" s="47">
        <v>42</v>
      </c>
      <c r="E58" s="163"/>
      <c r="F58" s="163"/>
      <c r="G58" s="163"/>
      <c r="H58" s="163"/>
      <c r="I58" s="163"/>
      <c r="J58" s="163"/>
      <c r="K58" s="163"/>
      <c r="L58" s="163"/>
      <c r="M58" s="163"/>
      <c r="N58" s="163"/>
      <c r="O58" s="163"/>
      <c r="P58" s="163"/>
      <c r="Q58" s="163"/>
      <c r="R58" s="163"/>
      <c r="S58" s="163"/>
      <c r="T58" s="163"/>
    </row>
    <row r="59" spans="1:20" ht="27.6">
      <c r="A59" s="48" t="s">
        <v>1041</v>
      </c>
      <c r="B59" s="48" t="s">
        <v>1042</v>
      </c>
      <c r="C59" s="26" t="s">
        <v>1043</v>
      </c>
      <c r="D59" s="47">
        <v>71</v>
      </c>
      <c r="E59" s="163"/>
      <c r="F59" s="163"/>
      <c r="G59" s="163"/>
      <c r="H59" s="163"/>
      <c r="I59" s="163"/>
      <c r="J59" s="163"/>
      <c r="K59" s="163"/>
      <c r="L59" s="163"/>
      <c r="M59" s="163"/>
      <c r="N59" s="163"/>
      <c r="O59" s="163"/>
      <c r="P59" s="163"/>
      <c r="Q59" s="163"/>
      <c r="R59" s="163"/>
      <c r="S59" s="163"/>
      <c r="T59" s="163"/>
    </row>
    <row r="60" spans="1:20">
      <c r="A60" s="29" t="s">
        <v>1044</v>
      </c>
      <c r="B60" s="37" t="s">
        <v>1045</v>
      </c>
      <c r="C60" s="26" t="s">
        <v>1046</v>
      </c>
      <c r="D60" s="47">
        <v>79</v>
      </c>
      <c r="E60" s="163"/>
      <c r="F60" s="163"/>
      <c r="G60" s="163"/>
      <c r="H60" s="163"/>
      <c r="I60" s="163"/>
      <c r="J60" s="163"/>
      <c r="K60" s="163"/>
      <c r="L60" s="163"/>
      <c r="M60" s="163"/>
      <c r="N60" s="163"/>
      <c r="O60" s="163"/>
      <c r="P60" s="163"/>
      <c r="Q60" s="163"/>
      <c r="R60" s="163"/>
      <c r="S60" s="163"/>
      <c r="T60" s="163"/>
    </row>
    <row r="61" spans="1:20">
      <c r="A61" s="69" t="s">
        <v>1047</v>
      </c>
      <c r="B61" s="48" t="s">
        <v>1048</v>
      </c>
      <c r="C61" s="26" t="s">
        <v>1049</v>
      </c>
      <c r="D61" s="47">
        <v>93</v>
      </c>
      <c r="E61" s="163"/>
      <c r="F61" s="163"/>
      <c r="G61" s="163"/>
      <c r="H61" s="163"/>
      <c r="I61" s="163"/>
      <c r="J61" s="163"/>
      <c r="K61" s="163"/>
      <c r="L61" s="163"/>
      <c r="M61" s="163"/>
      <c r="N61" s="163"/>
      <c r="O61" s="163"/>
      <c r="P61" s="163"/>
      <c r="Q61" s="163"/>
      <c r="R61" s="163"/>
      <c r="S61" s="163"/>
      <c r="T61" s="163"/>
    </row>
    <row r="62" spans="1:20" ht="27.75" customHeight="1">
      <c r="A62" s="69" t="s">
        <v>1050</v>
      </c>
      <c r="B62" s="48" t="s">
        <v>1051</v>
      </c>
      <c r="C62" s="26" t="s">
        <v>1052</v>
      </c>
      <c r="D62" s="47">
        <v>105</v>
      </c>
      <c r="E62" s="163"/>
      <c r="F62" s="163"/>
      <c r="G62" s="163"/>
      <c r="H62" s="163"/>
      <c r="I62" s="163"/>
      <c r="J62" s="163"/>
      <c r="K62" s="163"/>
      <c r="L62" s="163"/>
      <c r="M62" s="163"/>
      <c r="N62" s="163"/>
      <c r="O62" s="163"/>
      <c r="P62" s="163"/>
      <c r="Q62" s="163"/>
      <c r="R62" s="163"/>
      <c r="S62" s="163"/>
      <c r="T62" s="163"/>
    </row>
    <row r="63" spans="1:20">
      <c r="A63" s="69" t="s">
        <v>1053</v>
      </c>
      <c r="B63" s="48" t="s">
        <v>1054</v>
      </c>
      <c r="C63" s="26" t="s">
        <v>1055</v>
      </c>
      <c r="D63" s="47">
        <v>121</v>
      </c>
      <c r="E63" s="163"/>
      <c r="F63" s="163"/>
      <c r="G63" s="163"/>
      <c r="H63" s="163"/>
      <c r="I63" s="163"/>
      <c r="J63" s="163"/>
      <c r="K63" s="163"/>
      <c r="L63" s="163"/>
      <c r="M63" s="163"/>
      <c r="N63" s="163"/>
      <c r="O63" s="163"/>
      <c r="P63" s="163"/>
      <c r="Q63" s="163"/>
      <c r="R63" s="163"/>
      <c r="S63" s="163"/>
      <c r="T63" s="163"/>
    </row>
    <row r="64" spans="1:20" ht="27.6">
      <c r="A64" s="69" t="s">
        <v>1056</v>
      </c>
      <c r="B64" s="48" t="s">
        <v>1057</v>
      </c>
      <c r="C64" s="26" t="s">
        <v>1058</v>
      </c>
      <c r="D64" s="47">
        <v>130</v>
      </c>
      <c r="E64" s="163"/>
      <c r="F64" s="163"/>
      <c r="G64" s="163"/>
      <c r="H64" s="163"/>
      <c r="I64" s="163"/>
      <c r="J64" s="163"/>
      <c r="K64" s="163"/>
      <c r="L64" s="163"/>
      <c r="M64" s="163"/>
      <c r="N64" s="163"/>
      <c r="O64" s="163"/>
      <c r="P64" s="163"/>
      <c r="Q64" s="163"/>
      <c r="R64" s="163"/>
      <c r="S64" s="163"/>
      <c r="T64" s="163"/>
    </row>
    <row r="65" spans="1:20">
      <c r="A65" s="69" t="s">
        <v>1059</v>
      </c>
      <c r="B65" s="48" t="s">
        <v>1060</v>
      </c>
      <c r="C65" s="26" t="s">
        <v>1061</v>
      </c>
      <c r="D65" s="47">
        <v>3</v>
      </c>
      <c r="E65" s="163"/>
      <c r="F65" s="163"/>
      <c r="G65" s="163"/>
      <c r="H65" s="163"/>
      <c r="I65" s="163"/>
      <c r="J65" s="163"/>
      <c r="K65" s="163"/>
      <c r="L65" s="163"/>
      <c r="M65" s="163"/>
      <c r="N65" s="163"/>
      <c r="O65" s="163"/>
      <c r="P65" s="163"/>
      <c r="Q65" s="163"/>
      <c r="R65" s="163"/>
      <c r="S65" s="163"/>
      <c r="T65" s="163"/>
    </row>
    <row r="66" spans="1:20" ht="14.4">
      <c r="A66" s="356" t="s">
        <v>1062</v>
      </c>
      <c r="B66" s="69" t="s">
        <v>1063</v>
      </c>
      <c r="C66" s="2" t="s">
        <v>1612</v>
      </c>
      <c r="D66" s="47">
        <v>65</v>
      </c>
      <c r="E66" s="163"/>
      <c r="F66" s="163"/>
      <c r="G66" s="163"/>
      <c r="H66" s="163"/>
      <c r="I66" s="163"/>
      <c r="J66" s="163"/>
      <c r="K66" s="163"/>
      <c r="L66" s="163"/>
      <c r="M66" s="163"/>
      <c r="S66" s="163"/>
      <c r="T66" s="163"/>
    </row>
    <row r="67" spans="1:20" ht="15">
      <c r="A67" s="356" t="s">
        <v>1064</v>
      </c>
      <c r="B67" s="357" t="s">
        <v>1065</v>
      </c>
      <c r="C67" s="358" t="s">
        <v>1066</v>
      </c>
      <c r="D67" s="47">
        <v>120</v>
      </c>
      <c r="E67" s="163"/>
      <c r="F67" s="163"/>
      <c r="G67" s="163"/>
      <c r="H67" s="163"/>
      <c r="I67" s="163"/>
      <c r="J67" s="163"/>
      <c r="K67" s="163"/>
      <c r="L67" s="163"/>
      <c r="M67" s="163"/>
    </row>
    <row r="68" spans="1:20">
      <c r="A68" s="69" t="s">
        <v>1067</v>
      </c>
      <c r="B68" s="74" t="s">
        <v>1068</v>
      </c>
      <c r="C68" s="26" t="s">
        <v>1069</v>
      </c>
      <c r="D68" s="47">
        <v>465</v>
      </c>
      <c r="E68" s="163"/>
      <c r="F68" s="163"/>
      <c r="G68" s="163"/>
      <c r="H68" s="163"/>
      <c r="I68" s="163"/>
      <c r="J68" s="163"/>
      <c r="K68" s="163"/>
      <c r="L68" s="163"/>
      <c r="M68" s="163"/>
      <c r="N68" s="163"/>
      <c r="O68" s="163"/>
      <c r="P68" s="163"/>
      <c r="Q68" s="163"/>
      <c r="R68" s="163"/>
    </row>
    <row r="69" spans="1:20">
      <c r="A69" s="29"/>
      <c r="B69" s="37"/>
      <c r="C69" s="26"/>
      <c r="D69" s="47"/>
      <c r="E69" s="163"/>
      <c r="F69" s="163"/>
      <c r="G69" s="163"/>
      <c r="H69" s="163"/>
      <c r="I69" s="163"/>
      <c r="J69" s="163"/>
      <c r="K69" s="163"/>
      <c r="L69" s="163"/>
      <c r="M69" s="163"/>
      <c r="N69" s="163"/>
      <c r="O69" s="163"/>
      <c r="P69" s="163"/>
      <c r="Q69" s="163"/>
      <c r="R69" s="163"/>
      <c r="S69" s="163"/>
      <c r="T69" s="163"/>
    </row>
    <row r="70" spans="1:20">
      <c r="A70" s="15" t="s">
        <v>1070</v>
      </c>
      <c r="B70" s="41"/>
      <c r="C70" s="41"/>
      <c r="D70" s="125"/>
      <c r="E70" s="163"/>
      <c r="F70" s="163"/>
      <c r="G70" s="163"/>
      <c r="H70" s="163"/>
      <c r="I70" s="163"/>
      <c r="J70" s="163"/>
      <c r="K70" s="163"/>
      <c r="L70" s="163"/>
      <c r="M70" s="163"/>
      <c r="N70" s="163"/>
      <c r="O70" s="163"/>
      <c r="P70" s="163"/>
      <c r="Q70" s="163"/>
      <c r="R70" s="163"/>
      <c r="S70" s="163"/>
      <c r="T70" s="163"/>
    </row>
    <row r="71" spans="1:20">
      <c r="A71" s="132" t="s">
        <v>1071</v>
      </c>
      <c r="B71" s="230" t="s">
        <v>1072</v>
      </c>
      <c r="C71" s="107" t="s">
        <v>1073</v>
      </c>
      <c r="D71" s="311">
        <v>24</v>
      </c>
      <c r="E71" s="163"/>
      <c r="F71" s="163"/>
      <c r="G71" s="163"/>
      <c r="H71" s="163"/>
      <c r="I71" s="163"/>
      <c r="J71" s="163"/>
      <c r="K71" s="163"/>
      <c r="L71" s="163"/>
      <c r="M71" s="163"/>
      <c r="N71" s="163"/>
      <c r="O71" s="163"/>
      <c r="P71" s="163"/>
      <c r="Q71" s="163"/>
      <c r="R71" s="163"/>
      <c r="S71" s="163"/>
      <c r="T71" s="163"/>
    </row>
    <row r="72" spans="1:20">
      <c r="A72" s="312" t="s">
        <v>1074</v>
      </c>
      <c r="B72" s="230" t="s">
        <v>1072</v>
      </c>
      <c r="C72" s="107" t="s">
        <v>1075</v>
      </c>
      <c r="D72" s="311">
        <v>24</v>
      </c>
      <c r="E72" s="163"/>
      <c r="F72" s="163"/>
      <c r="G72" s="163"/>
      <c r="H72" s="163"/>
      <c r="I72" s="163"/>
      <c r="J72" s="163"/>
      <c r="K72" s="163"/>
      <c r="L72" s="163"/>
      <c r="M72" s="163"/>
      <c r="N72" s="163"/>
      <c r="O72" s="163"/>
      <c r="P72" s="163"/>
      <c r="Q72" s="163"/>
      <c r="R72" s="163"/>
      <c r="S72" s="163"/>
      <c r="T72" s="163"/>
    </row>
    <row r="73" spans="1:20" ht="144" customHeight="1">
      <c r="A73" s="376" t="s">
        <v>1076</v>
      </c>
      <c r="B73" s="377"/>
      <c r="C73" s="378" t="s">
        <v>1077</v>
      </c>
      <c r="D73" s="47">
        <v>25</v>
      </c>
      <c r="E73" s="163"/>
      <c r="F73" s="163"/>
      <c r="G73" s="163"/>
      <c r="H73" s="163"/>
      <c r="I73" s="163"/>
      <c r="J73" s="163"/>
      <c r="K73" s="163"/>
      <c r="L73" s="163"/>
      <c r="M73" s="163"/>
      <c r="N73" s="163"/>
      <c r="O73" s="163"/>
      <c r="P73" s="163"/>
      <c r="Q73" s="163"/>
      <c r="R73" s="163"/>
      <c r="S73" s="163"/>
      <c r="T73" s="163"/>
    </row>
    <row r="74" spans="1:20" ht="86.25" customHeight="1">
      <c r="A74" s="376" t="s">
        <v>1078</v>
      </c>
      <c r="B74" s="151"/>
      <c r="C74" s="379" t="s">
        <v>1079</v>
      </c>
      <c r="D74" s="51">
        <v>30</v>
      </c>
      <c r="E74" s="163"/>
      <c r="F74" s="163"/>
      <c r="G74" s="163"/>
      <c r="H74" s="163"/>
      <c r="I74" s="163"/>
      <c r="J74" s="163"/>
      <c r="K74" s="163"/>
      <c r="L74" s="163"/>
      <c r="M74" s="163"/>
      <c r="N74" s="163"/>
      <c r="O74" s="163"/>
      <c r="P74" s="163"/>
      <c r="Q74" s="163"/>
      <c r="R74" s="163"/>
      <c r="S74" s="163"/>
      <c r="T74" s="163"/>
    </row>
    <row r="75" spans="1:20">
      <c r="A75" s="15" t="s">
        <v>1080</v>
      </c>
      <c r="B75" s="41"/>
      <c r="C75" s="300"/>
      <c r="D75" s="125"/>
      <c r="E75" s="163"/>
      <c r="F75" s="163"/>
      <c r="G75" s="163"/>
      <c r="H75" s="163"/>
      <c r="I75" s="163"/>
      <c r="J75" s="163"/>
      <c r="K75" s="163"/>
      <c r="L75" s="163"/>
      <c r="M75" s="163"/>
      <c r="N75" s="163"/>
      <c r="O75" s="163"/>
      <c r="P75" s="163"/>
      <c r="Q75" s="163"/>
      <c r="R75" s="163"/>
      <c r="S75" s="163"/>
      <c r="T75" s="163"/>
    </row>
    <row r="76" spans="1:20">
      <c r="A76" s="69" t="s">
        <v>1081</v>
      </c>
      <c r="B76" s="48" t="s">
        <v>1082</v>
      </c>
      <c r="C76" s="40" t="s">
        <v>1083</v>
      </c>
      <c r="D76" s="114">
        <v>19</v>
      </c>
      <c r="E76" s="163"/>
      <c r="F76" s="163"/>
      <c r="G76" s="163"/>
      <c r="H76" s="163"/>
      <c r="I76" s="163"/>
      <c r="J76" s="163"/>
      <c r="K76" s="163"/>
      <c r="L76" s="163"/>
      <c r="M76" s="163"/>
      <c r="N76" s="163"/>
      <c r="O76" s="163"/>
      <c r="P76" s="163"/>
      <c r="Q76" s="163"/>
      <c r="R76" s="163"/>
      <c r="S76" s="163"/>
      <c r="T76" s="163"/>
    </row>
    <row r="77" spans="1:20">
      <c r="A77" s="69" t="s">
        <v>1084</v>
      </c>
      <c r="B77" s="48" t="s">
        <v>1085</v>
      </c>
      <c r="C77" s="40" t="s">
        <v>1086</v>
      </c>
      <c r="D77" s="114">
        <v>19</v>
      </c>
      <c r="E77" s="163"/>
      <c r="F77" s="163"/>
      <c r="G77" s="163"/>
      <c r="H77" s="163"/>
      <c r="I77" s="163"/>
      <c r="J77" s="163"/>
      <c r="K77" s="163"/>
      <c r="L77" s="163"/>
      <c r="M77" s="163"/>
      <c r="N77" s="163"/>
      <c r="O77" s="163"/>
      <c r="P77" s="163"/>
      <c r="Q77" s="163"/>
      <c r="R77" s="163"/>
      <c r="S77" s="163"/>
      <c r="T77" s="163"/>
    </row>
    <row r="78" spans="1:20">
      <c r="A78" s="69" t="s">
        <v>1087</v>
      </c>
      <c r="B78" s="48" t="s">
        <v>1088</v>
      </c>
      <c r="C78" s="40" t="s">
        <v>1089</v>
      </c>
      <c r="D78" s="114">
        <v>14</v>
      </c>
      <c r="E78" s="163"/>
      <c r="F78" s="163"/>
      <c r="G78" s="163"/>
      <c r="H78" s="163"/>
      <c r="I78" s="163"/>
      <c r="J78" s="163"/>
      <c r="K78" s="163"/>
      <c r="L78" s="163"/>
      <c r="M78" s="163"/>
      <c r="N78" s="163"/>
      <c r="O78" s="163"/>
      <c r="P78" s="163"/>
      <c r="Q78" s="163"/>
      <c r="R78" s="163"/>
      <c r="S78" s="163"/>
      <c r="T78" s="163"/>
    </row>
    <row r="79" spans="1:20">
      <c r="A79" s="69" t="s">
        <v>1090</v>
      </c>
      <c r="B79" s="48" t="s">
        <v>1091</v>
      </c>
      <c r="C79" s="40" t="s">
        <v>1092</v>
      </c>
      <c r="D79" s="114">
        <v>8</v>
      </c>
      <c r="E79" s="163"/>
      <c r="F79" s="163"/>
      <c r="G79" s="163"/>
      <c r="H79" s="163"/>
      <c r="I79" s="163"/>
      <c r="J79" s="163"/>
      <c r="K79" s="163"/>
      <c r="L79" s="163"/>
      <c r="M79" s="163"/>
      <c r="N79" s="163"/>
      <c r="O79" s="163"/>
      <c r="P79" s="163"/>
      <c r="Q79" s="163"/>
      <c r="R79" s="163"/>
      <c r="S79" s="163"/>
      <c r="T79" s="163"/>
    </row>
    <row r="80" spans="1:20">
      <c r="A80" s="69"/>
      <c r="B80" s="48"/>
      <c r="C80" s="40"/>
      <c r="D80" s="47"/>
      <c r="E80" s="163"/>
      <c r="F80" s="163"/>
      <c r="G80" s="163"/>
      <c r="H80" s="163"/>
      <c r="I80" s="163"/>
      <c r="J80" s="163"/>
      <c r="K80" s="163"/>
      <c r="L80" s="163"/>
      <c r="M80" s="163"/>
      <c r="N80" s="163"/>
      <c r="O80" s="163"/>
      <c r="P80" s="163"/>
      <c r="Q80" s="163"/>
      <c r="R80" s="163"/>
      <c r="S80" s="163"/>
      <c r="T80" s="163"/>
    </row>
    <row r="81" spans="1:20">
      <c r="A81" s="15" t="s">
        <v>1093</v>
      </c>
      <c r="B81" s="41"/>
      <c r="C81" s="41"/>
      <c r="D81" s="125"/>
      <c r="E81" s="163"/>
      <c r="F81" s="163"/>
      <c r="G81" s="163"/>
      <c r="H81" s="163"/>
      <c r="I81" s="163"/>
      <c r="J81" s="163"/>
      <c r="K81" s="163"/>
      <c r="L81" s="163"/>
      <c r="M81" s="163"/>
      <c r="N81" s="163"/>
      <c r="O81" s="163"/>
      <c r="P81" s="163"/>
      <c r="Q81" s="163"/>
      <c r="R81" s="163"/>
      <c r="S81" s="163"/>
      <c r="T81" s="163"/>
    </row>
    <row r="82" spans="1:20">
      <c r="A82" s="78" t="s">
        <v>1094</v>
      </c>
      <c r="B82" s="78" t="s">
        <v>1095</v>
      </c>
      <c r="C82" s="191" t="s">
        <v>1096</v>
      </c>
      <c r="D82" s="114">
        <v>887</v>
      </c>
      <c r="E82" s="163"/>
      <c r="F82" s="163"/>
      <c r="G82" s="163"/>
      <c r="H82" s="163"/>
      <c r="I82" s="163"/>
      <c r="J82" s="163"/>
      <c r="K82" s="163"/>
      <c r="L82" s="163"/>
      <c r="M82" s="163"/>
      <c r="N82" s="163"/>
      <c r="O82" s="163"/>
      <c r="P82" s="163"/>
      <c r="Q82" s="163"/>
      <c r="R82" s="163"/>
      <c r="S82" s="163"/>
      <c r="T82" s="163"/>
    </row>
    <row r="83" spans="1:20">
      <c r="A83" s="78" t="s">
        <v>1097</v>
      </c>
      <c r="B83" s="78" t="s">
        <v>1098</v>
      </c>
      <c r="C83" s="191" t="s">
        <v>1099</v>
      </c>
      <c r="D83" s="114">
        <v>698</v>
      </c>
      <c r="E83" s="163"/>
      <c r="F83" s="163"/>
      <c r="G83" s="163"/>
      <c r="H83" s="163"/>
      <c r="I83" s="163"/>
      <c r="J83" s="163"/>
      <c r="K83" s="163"/>
      <c r="L83" s="163"/>
      <c r="M83" s="163"/>
      <c r="N83" s="163"/>
      <c r="O83" s="163"/>
      <c r="P83" s="163"/>
      <c r="Q83" s="163"/>
      <c r="R83" s="163"/>
      <c r="S83" s="163"/>
      <c r="T83" s="163"/>
    </row>
    <row r="84" spans="1:20">
      <c r="A84" s="43" t="s">
        <v>1100</v>
      </c>
      <c r="B84" s="129" t="s">
        <v>1101</v>
      </c>
      <c r="C84" s="191" t="s">
        <v>1102</v>
      </c>
      <c r="D84" s="114">
        <v>272</v>
      </c>
      <c r="E84" s="163"/>
      <c r="F84" s="163"/>
      <c r="G84" s="163"/>
      <c r="H84" s="163"/>
      <c r="I84" s="163"/>
      <c r="J84" s="163"/>
      <c r="K84" s="163"/>
      <c r="L84" s="163"/>
      <c r="M84" s="163"/>
      <c r="N84" s="163"/>
      <c r="O84" s="163"/>
      <c r="P84" s="163"/>
      <c r="Q84" s="163"/>
      <c r="R84" s="163"/>
      <c r="S84" s="163"/>
      <c r="T84" s="163"/>
    </row>
    <row r="85" spans="1:20" ht="27.6">
      <c r="A85" s="119" t="s">
        <v>1103</v>
      </c>
      <c r="B85" s="199" t="s">
        <v>1104</v>
      </c>
      <c r="C85" s="276" t="s">
        <v>1105</v>
      </c>
      <c r="D85" s="77">
        <v>203</v>
      </c>
      <c r="E85" s="163"/>
      <c r="F85" s="163"/>
      <c r="G85" s="163"/>
      <c r="H85" s="163"/>
      <c r="I85" s="163"/>
      <c r="J85" s="163"/>
      <c r="K85" s="163"/>
      <c r="L85" s="163"/>
      <c r="M85" s="163"/>
      <c r="S85" s="163"/>
      <c r="T85" s="163"/>
    </row>
    <row r="86" spans="1:20">
      <c r="A86" s="43" t="s">
        <v>1106</v>
      </c>
      <c r="B86" s="43" t="s">
        <v>1107</v>
      </c>
      <c r="C86" s="191" t="s">
        <v>1108</v>
      </c>
      <c r="D86" s="114">
        <v>165</v>
      </c>
      <c r="E86" s="163"/>
      <c r="F86" s="163"/>
      <c r="G86" s="163"/>
      <c r="H86" s="163"/>
      <c r="I86" s="163"/>
      <c r="J86" s="163"/>
      <c r="K86" s="163"/>
      <c r="L86" s="163"/>
      <c r="M86" s="163"/>
      <c r="N86" s="163"/>
      <c r="O86" s="163"/>
      <c r="P86" s="163"/>
      <c r="Q86" s="163"/>
      <c r="R86" s="163"/>
      <c r="S86" s="163"/>
      <c r="T86" s="163"/>
    </row>
    <row r="87" spans="1:20" ht="27.6">
      <c r="A87" s="21" t="s">
        <v>1109</v>
      </c>
      <c r="B87" s="156" t="s">
        <v>1110</v>
      </c>
      <c r="C87" s="276" t="s">
        <v>1111</v>
      </c>
      <c r="D87" s="77">
        <v>151</v>
      </c>
      <c r="E87" s="163"/>
      <c r="F87" s="163"/>
      <c r="G87" s="163"/>
      <c r="H87" s="163"/>
      <c r="I87" s="163"/>
      <c r="J87" s="163"/>
      <c r="K87" s="163"/>
      <c r="L87" s="163"/>
      <c r="M87" s="163"/>
      <c r="S87" s="163"/>
      <c r="T87" s="163"/>
    </row>
    <row r="88" spans="1:20" ht="27.6">
      <c r="A88" s="21" t="s">
        <v>1112</v>
      </c>
      <c r="B88" s="156" t="s">
        <v>1113</v>
      </c>
      <c r="C88" s="276" t="s">
        <v>1114</v>
      </c>
      <c r="D88" s="77">
        <v>131</v>
      </c>
      <c r="E88" s="163"/>
      <c r="F88" s="163"/>
      <c r="G88" s="163"/>
      <c r="H88" s="163"/>
      <c r="I88" s="163"/>
      <c r="J88" s="163"/>
      <c r="K88" s="163"/>
      <c r="L88" s="163"/>
      <c r="M88" s="163"/>
      <c r="S88" s="163"/>
      <c r="T88" s="163"/>
    </row>
    <row r="89" spans="1:20">
      <c r="A89" s="43" t="s">
        <v>1115</v>
      </c>
      <c r="B89" s="43" t="s">
        <v>1116</v>
      </c>
      <c r="C89" s="191" t="s">
        <v>1117</v>
      </c>
      <c r="D89" s="114">
        <v>128</v>
      </c>
      <c r="E89" s="163"/>
      <c r="F89" s="163"/>
      <c r="G89" s="163"/>
      <c r="H89" s="163"/>
      <c r="I89" s="163"/>
      <c r="J89" s="163"/>
      <c r="K89" s="163"/>
      <c r="L89" s="163"/>
      <c r="M89" s="163"/>
      <c r="N89" s="163"/>
      <c r="O89" s="163"/>
      <c r="P89" s="163"/>
      <c r="Q89" s="163"/>
      <c r="R89" s="163"/>
      <c r="S89" s="163"/>
      <c r="T89" s="163"/>
    </row>
    <row r="90" spans="1:20">
      <c r="A90" s="57"/>
      <c r="B90" s="57"/>
      <c r="C90" s="191"/>
      <c r="D90" s="47"/>
      <c r="E90" s="163"/>
      <c r="F90" s="163"/>
      <c r="G90" s="163"/>
      <c r="H90" s="163"/>
      <c r="I90" s="163"/>
      <c r="J90" s="163"/>
      <c r="K90" s="163"/>
      <c r="L90" s="163"/>
      <c r="M90" s="163"/>
      <c r="N90" s="163"/>
      <c r="O90" s="163"/>
      <c r="P90" s="163"/>
      <c r="Q90" s="163"/>
      <c r="R90" s="163"/>
      <c r="S90" s="163"/>
      <c r="T90" s="163"/>
    </row>
    <row r="91" spans="1:20">
      <c r="A91" s="15" t="s">
        <v>1118</v>
      </c>
      <c r="B91" s="41"/>
      <c r="C91" s="275"/>
      <c r="D91" s="125"/>
      <c r="E91" s="163"/>
      <c r="F91" s="163"/>
      <c r="G91" s="163"/>
      <c r="H91" s="163"/>
      <c r="I91" s="163"/>
      <c r="J91" s="163"/>
      <c r="K91" s="163"/>
      <c r="L91" s="163"/>
      <c r="M91" s="163"/>
      <c r="N91" s="163"/>
      <c r="O91" s="163"/>
      <c r="P91" s="163"/>
      <c r="Q91" s="163"/>
      <c r="R91" s="163"/>
      <c r="S91" s="163"/>
      <c r="T91" s="163"/>
    </row>
    <row r="92" spans="1:20">
      <c r="A92" s="71" t="s">
        <v>1119</v>
      </c>
      <c r="B92" s="129" t="s">
        <v>1120</v>
      </c>
      <c r="C92" s="191" t="s">
        <v>1121</v>
      </c>
      <c r="D92" s="47">
        <v>747</v>
      </c>
      <c r="E92" s="163"/>
      <c r="F92" s="163"/>
      <c r="G92" s="163"/>
      <c r="H92" s="163"/>
      <c r="I92" s="163"/>
      <c r="J92" s="163"/>
      <c r="K92" s="163"/>
      <c r="L92" s="163"/>
      <c r="M92" s="163"/>
      <c r="S92" s="163"/>
      <c r="T92" s="163"/>
    </row>
    <row r="93" spans="1:20" ht="27.6">
      <c r="A93" s="64" t="s">
        <v>1122</v>
      </c>
      <c r="B93" s="64" t="s">
        <v>1123</v>
      </c>
      <c r="C93" s="276" t="s">
        <v>1124</v>
      </c>
      <c r="D93" s="77">
        <v>344</v>
      </c>
      <c r="E93" s="163"/>
      <c r="F93" s="163"/>
      <c r="G93" s="163"/>
      <c r="H93" s="163"/>
      <c r="I93" s="163"/>
      <c r="J93" s="163"/>
      <c r="K93" s="163"/>
      <c r="L93" s="163"/>
      <c r="M93" s="163"/>
      <c r="S93" s="163"/>
      <c r="T93" s="163"/>
    </row>
    <row r="94" spans="1:20" ht="27.6">
      <c r="A94" s="129" t="s">
        <v>1125</v>
      </c>
      <c r="B94" s="129" t="s">
        <v>1126</v>
      </c>
      <c r="C94" s="276" t="s">
        <v>1127</v>
      </c>
      <c r="D94" s="114">
        <v>167</v>
      </c>
      <c r="E94" s="163"/>
      <c r="F94" s="163"/>
      <c r="G94" s="163"/>
      <c r="H94" s="163"/>
      <c r="I94" s="163"/>
      <c r="J94" s="163"/>
      <c r="K94" s="163"/>
      <c r="L94" s="163"/>
      <c r="M94" s="163"/>
      <c r="N94" s="163"/>
      <c r="O94" s="163"/>
      <c r="P94" s="163"/>
      <c r="Q94" s="163"/>
      <c r="R94" s="163"/>
      <c r="S94" s="163"/>
      <c r="T94" s="163"/>
    </row>
    <row r="95" spans="1:20" ht="27.6">
      <c r="A95" s="64" t="s">
        <v>1128</v>
      </c>
      <c r="B95" s="156" t="s">
        <v>1129</v>
      </c>
      <c r="C95" s="276" t="s">
        <v>1130</v>
      </c>
      <c r="D95" s="77">
        <v>265</v>
      </c>
      <c r="E95" s="163"/>
      <c r="F95" s="163"/>
      <c r="G95" s="163"/>
      <c r="H95" s="163"/>
      <c r="I95" s="163"/>
      <c r="J95" s="163"/>
      <c r="K95" s="163"/>
      <c r="L95" s="163"/>
      <c r="M95" s="163"/>
      <c r="S95" s="163"/>
      <c r="T95" s="163"/>
    </row>
    <row r="96" spans="1:20">
      <c r="A96" s="55" t="s">
        <v>1131</v>
      </c>
      <c r="B96" s="90" t="s">
        <v>1132</v>
      </c>
      <c r="C96" s="276" t="s">
        <v>1133</v>
      </c>
      <c r="D96" s="143">
        <v>197</v>
      </c>
      <c r="E96" s="163"/>
      <c r="F96" s="163"/>
      <c r="G96" s="163"/>
      <c r="H96" s="163"/>
      <c r="I96" s="163"/>
      <c r="J96" s="163"/>
      <c r="K96" s="163"/>
      <c r="L96" s="163"/>
      <c r="M96" s="163"/>
      <c r="N96" s="163"/>
      <c r="O96" s="163"/>
      <c r="P96" s="163"/>
      <c r="Q96" s="163"/>
      <c r="R96" s="163"/>
      <c r="S96" s="163"/>
      <c r="T96" s="163"/>
    </row>
    <row r="97" spans="1:20">
      <c r="A97" s="359" t="s">
        <v>1615</v>
      </c>
      <c r="B97" s="360" t="s">
        <v>1616</v>
      </c>
      <c r="C97" s="337" t="s">
        <v>1621</v>
      </c>
      <c r="D97" s="143">
        <v>141</v>
      </c>
      <c r="E97" s="163"/>
      <c r="F97" s="163"/>
      <c r="G97" s="163"/>
      <c r="H97" s="163"/>
      <c r="I97" s="163"/>
      <c r="J97" s="163"/>
      <c r="K97" s="163"/>
      <c r="L97" s="163"/>
      <c r="M97" s="163"/>
      <c r="N97" s="163"/>
      <c r="O97" s="163"/>
      <c r="P97" s="163"/>
      <c r="Q97" s="163"/>
      <c r="R97" s="163"/>
      <c r="S97" s="163"/>
      <c r="T97" s="163"/>
    </row>
    <row r="98" spans="1:20">
      <c r="A98" s="335" t="s">
        <v>1617</v>
      </c>
      <c r="B98" s="360" t="s">
        <v>1619</v>
      </c>
      <c r="C98" s="337" t="s">
        <v>1622</v>
      </c>
      <c r="D98" s="143">
        <v>119</v>
      </c>
      <c r="E98" s="163"/>
      <c r="F98" s="163"/>
      <c r="G98" s="163"/>
      <c r="H98" s="163"/>
      <c r="I98" s="163"/>
      <c r="J98" s="163"/>
      <c r="K98" s="163"/>
      <c r="L98" s="163"/>
      <c r="M98" s="163"/>
      <c r="N98" s="163"/>
      <c r="O98" s="163"/>
      <c r="P98" s="163"/>
      <c r="Q98" s="163"/>
      <c r="R98" s="163"/>
      <c r="S98" s="163"/>
      <c r="T98" s="163"/>
    </row>
    <row r="99" spans="1:20">
      <c r="A99" s="335" t="s">
        <v>1618</v>
      </c>
      <c r="B99" s="360" t="s">
        <v>1620</v>
      </c>
      <c r="C99" s="337" t="s">
        <v>1623</v>
      </c>
      <c r="D99" s="143">
        <v>107</v>
      </c>
      <c r="E99" s="163"/>
      <c r="F99" s="163"/>
      <c r="G99" s="163"/>
      <c r="H99" s="163"/>
      <c r="I99" s="163"/>
      <c r="J99" s="163"/>
      <c r="K99" s="163"/>
      <c r="L99" s="163"/>
      <c r="M99" s="163"/>
      <c r="N99" s="163"/>
      <c r="O99" s="163"/>
      <c r="P99" s="163"/>
      <c r="Q99" s="163"/>
      <c r="R99" s="163"/>
      <c r="S99" s="163"/>
      <c r="T99" s="163"/>
    </row>
    <row r="100" spans="1:20">
      <c r="A100" s="15" t="s">
        <v>1135</v>
      </c>
      <c r="B100" s="41"/>
      <c r="C100" s="41"/>
      <c r="D100" s="125"/>
      <c r="E100" s="163"/>
      <c r="F100" s="163"/>
      <c r="G100" s="163"/>
      <c r="H100" s="163"/>
      <c r="I100" s="163"/>
      <c r="J100" s="163"/>
      <c r="K100" s="163"/>
      <c r="L100" s="163"/>
      <c r="M100" s="163"/>
      <c r="N100" s="163"/>
      <c r="O100" s="163"/>
      <c r="P100" s="163"/>
      <c r="Q100" s="163"/>
      <c r="R100" s="163"/>
      <c r="S100" s="163"/>
      <c r="T100" s="163"/>
    </row>
    <row r="101" spans="1:20">
      <c r="A101" s="76" t="s">
        <v>1136</v>
      </c>
      <c r="B101" s="129" t="s">
        <v>1137</v>
      </c>
      <c r="C101" s="40" t="s">
        <v>1138</v>
      </c>
      <c r="D101" s="114">
        <v>19</v>
      </c>
      <c r="E101" s="163"/>
      <c r="F101" s="163"/>
      <c r="G101" s="163"/>
      <c r="H101" s="163"/>
      <c r="I101" s="163"/>
      <c r="J101" s="163"/>
      <c r="K101" s="163"/>
      <c r="L101" s="163"/>
      <c r="M101" s="163"/>
      <c r="N101" s="163"/>
      <c r="O101" s="163"/>
      <c r="P101" s="163"/>
      <c r="Q101" s="163"/>
      <c r="R101" s="163"/>
      <c r="S101" s="163"/>
      <c r="T101" s="163"/>
    </row>
    <row r="102" spans="1:20">
      <c r="A102" s="200" t="s">
        <v>1139</v>
      </c>
      <c r="B102" s="96" t="s">
        <v>1140</v>
      </c>
      <c r="C102" s="107" t="s">
        <v>1141</v>
      </c>
      <c r="D102" s="114">
        <v>18</v>
      </c>
      <c r="E102" s="163"/>
      <c r="F102" s="163"/>
      <c r="G102" s="163"/>
      <c r="H102" s="163"/>
      <c r="I102" s="163"/>
      <c r="J102" s="163"/>
      <c r="K102" s="163"/>
      <c r="L102" s="163"/>
      <c r="M102" s="163"/>
      <c r="N102" s="163"/>
      <c r="O102" s="163"/>
      <c r="P102" s="163"/>
      <c r="Q102" s="163"/>
      <c r="R102" s="163"/>
      <c r="S102" s="163"/>
      <c r="T102" s="163"/>
    </row>
    <row r="103" spans="1:20">
      <c r="A103" s="200" t="s">
        <v>1142</v>
      </c>
      <c r="B103" s="96" t="s">
        <v>1143</v>
      </c>
      <c r="C103" s="107" t="s">
        <v>1144</v>
      </c>
      <c r="D103" s="114">
        <v>19</v>
      </c>
      <c r="E103" s="163"/>
      <c r="F103" s="163"/>
      <c r="G103" s="163"/>
      <c r="H103" s="163"/>
      <c r="I103" s="163"/>
      <c r="J103" s="163"/>
      <c r="K103" s="163"/>
      <c r="L103" s="163"/>
      <c r="M103" s="163"/>
      <c r="N103" s="163"/>
      <c r="O103" s="163"/>
      <c r="P103" s="163"/>
      <c r="Q103" s="163"/>
      <c r="R103" s="163"/>
      <c r="S103" s="163"/>
      <c r="T103" s="163"/>
    </row>
    <row r="104" spans="1:20">
      <c r="A104" s="76" t="s">
        <v>1145</v>
      </c>
      <c r="B104" s="129" t="s">
        <v>1146</v>
      </c>
      <c r="C104" s="40" t="s">
        <v>1147</v>
      </c>
      <c r="D104" s="114">
        <v>19</v>
      </c>
      <c r="E104" s="163"/>
      <c r="F104" s="163"/>
      <c r="G104" s="163"/>
      <c r="H104" s="163"/>
      <c r="I104" s="163"/>
      <c r="J104" s="163"/>
      <c r="K104" s="163"/>
      <c r="L104" s="163"/>
      <c r="M104" s="163"/>
      <c r="N104" s="163"/>
      <c r="O104" s="163"/>
      <c r="P104" s="163"/>
      <c r="Q104" s="163"/>
      <c r="R104" s="163"/>
      <c r="S104" s="163"/>
      <c r="T104" s="163"/>
    </row>
    <row r="105" spans="1:20">
      <c r="A105" s="76" t="s">
        <v>1148</v>
      </c>
      <c r="B105" s="129" t="s">
        <v>1149</v>
      </c>
      <c r="C105" s="26" t="s">
        <v>1150</v>
      </c>
      <c r="D105" s="114">
        <v>18</v>
      </c>
      <c r="E105" s="163"/>
      <c r="F105" s="163"/>
      <c r="G105" s="163"/>
      <c r="H105" s="163"/>
      <c r="I105" s="163"/>
      <c r="J105" s="163"/>
      <c r="K105" s="163"/>
      <c r="L105" s="163"/>
      <c r="M105" s="163"/>
      <c r="N105" s="163"/>
      <c r="O105" s="163"/>
      <c r="P105" s="163"/>
      <c r="Q105" s="163"/>
      <c r="R105" s="163"/>
      <c r="S105" s="163"/>
      <c r="T105" s="163"/>
    </row>
    <row r="106" spans="1:20">
      <c r="A106" s="129" t="s">
        <v>1151</v>
      </c>
      <c r="B106" s="129" t="s">
        <v>1152</v>
      </c>
      <c r="C106" s="107" t="s">
        <v>1153</v>
      </c>
      <c r="D106" s="114">
        <v>149</v>
      </c>
      <c r="E106" s="163"/>
      <c r="F106" s="163"/>
      <c r="G106" s="163"/>
      <c r="H106" s="163"/>
      <c r="I106" s="163"/>
      <c r="J106" s="163"/>
      <c r="K106" s="163"/>
      <c r="L106" s="163"/>
      <c r="M106" s="163"/>
      <c r="N106" s="163"/>
      <c r="O106" s="163"/>
      <c r="P106" s="163"/>
      <c r="Q106" s="163"/>
      <c r="R106" s="163"/>
      <c r="S106" s="163"/>
      <c r="T106" s="163"/>
    </row>
    <row r="107" spans="1:20" ht="21" customHeight="1">
      <c r="A107" s="241" t="s">
        <v>1154</v>
      </c>
      <c r="B107" s="71" t="s">
        <v>1155</v>
      </c>
      <c r="C107" s="40" t="s">
        <v>1156</v>
      </c>
      <c r="D107" s="114">
        <v>23</v>
      </c>
      <c r="E107" s="163"/>
      <c r="F107" s="163"/>
      <c r="G107" s="163"/>
      <c r="H107" s="163"/>
      <c r="I107" s="163"/>
      <c r="J107" s="163"/>
      <c r="K107" s="163"/>
      <c r="L107" s="163"/>
      <c r="M107" s="163"/>
      <c r="N107" s="163"/>
      <c r="O107" s="163"/>
      <c r="P107" s="163"/>
      <c r="Q107" s="163"/>
      <c r="R107" s="163"/>
      <c r="S107" s="163"/>
      <c r="T107" s="163"/>
    </row>
    <row r="108" spans="1:20">
      <c r="A108" s="69"/>
      <c r="B108" s="48"/>
      <c r="C108" s="40"/>
      <c r="D108" s="47"/>
      <c r="E108" s="163"/>
      <c r="F108" s="163"/>
      <c r="G108" s="163"/>
      <c r="H108" s="163"/>
      <c r="I108" s="163"/>
      <c r="J108" s="163"/>
      <c r="K108" s="163"/>
      <c r="L108" s="163"/>
      <c r="M108" s="163"/>
      <c r="N108" s="163"/>
      <c r="O108" s="163"/>
      <c r="P108" s="163"/>
      <c r="Q108" s="163"/>
      <c r="R108" s="163"/>
      <c r="S108" s="163"/>
      <c r="T108" s="163"/>
    </row>
    <row r="109" spans="1:20">
      <c r="A109" s="15" t="s">
        <v>1157</v>
      </c>
      <c r="B109" s="41"/>
      <c r="C109" s="41"/>
      <c r="D109" s="125"/>
      <c r="E109" s="163"/>
      <c r="F109" s="163"/>
      <c r="G109" s="163"/>
      <c r="H109" s="163"/>
      <c r="I109" s="163"/>
      <c r="J109" s="163"/>
      <c r="K109" s="163"/>
      <c r="L109" s="163"/>
      <c r="M109" s="163"/>
      <c r="N109" s="163"/>
      <c r="O109" s="163"/>
      <c r="P109" s="163"/>
      <c r="Q109" s="163"/>
      <c r="R109" s="163"/>
      <c r="S109" s="163"/>
      <c r="T109" s="163"/>
    </row>
    <row r="110" spans="1:20">
      <c r="A110" s="69" t="s">
        <v>1158</v>
      </c>
      <c r="B110" s="48" t="s">
        <v>1159</v>
      </c>
      <c r="C110" s="40" t="s">
        <v>1160</v>
      </c>
      <c r="D110" s="114">
        <v>160</v>
      </c>
      <c r="E110" s="163"/>
      <c r="F110" s="163"/>
      <c r="G110" s="163"/>
      <c r="H110" s="163"/>
      <c r="I110" s="163"/>
      <c r="J110" s="163"/>
      <c r="K110" s="163"/>
      <c r="L110" s="163"/>
      <c r="M110" s="163"/>
      <c r="N110" s="163"/>
      <c r="O110" s="163"/>
      <c r="P110" s="163"/>
      <c r="Q110" s="163"/>
      <c r="R110" s="163"/>
      <c r="S110" s="163"/>
      <c r="T110" s="163"/>
    </row>
    <row r="111" spans="1:20" s="59" customFormat="1">
      <c r="A111" s="69" t="s">
        <v>1161</v>
      </c>
      <c r="B111" s="48" t="s">
        <v>1162</v>
      </c>
      <c r="C111" s="40" t="s">
        <v>1163</v>
      </c>
      <c r="D111" s="114">
        <v>94</v>
      </c>
      <c r="E111" s="163"/>
      <c r="F111" s="163"/>
      <c r="G111" s="163"/>
      <c r="H111" s="163"/>
      <c r="I111" s="163"/>
      <c r="J111" s="163"/>
      <c r="K111" s="163"/>
      <c r="L111" s="163"/>
      <c r="M111" s="163"/>
    </row>
    <row r="112" spans="1:20">
      <c r="A112" s="69" t="s">
        <v>1164</v>
      </c>
      <c r="B112" s="48" t="s">
        <v>1165</v>
      </c>
      <c r="C112" s="40" t="s">
        <v>1166</v>
      </c>
      <c r="D112" s="114">
        <v>153</v>
      </c>
      <c r="E112" s="163"/>
      <c r="F112" s="163"/>
      <c r="G112" s="163"/>
      <c r="H112" s="163"/>
      <c r="I112" s="163"/>
      <c r="J112" s="163"/>
      <c r="K112" s="163"/>
      <c r="L112" s="163"/>
      <c r="M112" s="163"/>
      <c r="N112" s="163"/>
      <c r="O112" s="163"/>
      <c r="P112" s="163"/>
      <c r="Q112" s="163"/>
      <c r="R112" s="163"/>
      <c r="S112" s="163"/>
      <c r="T112" s="163"/>
    </row>
    <row r="113" spans="1:20">
      <c r="A113" s="69" t="s">
        <v>1167</v>
      </c>
      <c r="B113" s="48" t="s">
        <v>1168</v>
      </c>
      <c r="C113" s="40" t="s">
        <v>1169</v>
      </c>
      <c r="D113" s="143">
        <v>76</v>
      </c>
      <c r="E113" s="163"/>
      <c r="F113" s="163"/>
      <c r="G113" s="163"/>
      <c r="H113" s="163"/>
      <c r="I113" s="163"/>
      <c r="J113" s="163"/>
      <c r="K113" s="163"/>
      <c r="L113" s="163"/>
      <c r="M113" s="163"/>
      <c r="N113" s="163"/>
      <c r="O113" s="163"/>
      <c r="P113" s="163"/>
      <c r="Q113" s="163"/>
      <c r="R113" s="163"/>
    </row>
    <row r="114" spans="1:20">
      <c r="A114" s="29"/>
      <c r="B114" s="37"/>
      <c r="C114" s="80"/>
      <c r="D114" s="47"/>
      <c r="E114" s="163"/>
      <c r="F114" s="163"/>
      <c r="G114" s="163"/>
      <c r="H114" s="163"/>
      <c r="I114" s="163"/>
      <c r="J114" s="163"/>
      <c r="K114" s="163"/>
      <c r="L114" s="163"/>
      <c r="M114" s="163"/>
      <c r="N114" s="163"/>
      <c r="O114" s="163"/>
      <c r="P114" s="163"/>
      <c r="Q114" s="163"/>
      <c r="R114" s="163"/>
      <c r="S114" s="163"/>
      <c r="T114" s="163"/>
    </row>
    <row r="115" spans="1:20">
      <c r="A115" s="15" t="s">
        <v>1170</v>
      </c>
      <c r="B115" s="41"/>
      <c r="C115" s="41"/>
      <c r="D115" s="125"/>
      <c r="E115" s="163"/>
      <c r="F115" s="163"/>
      <c r="G115" s="163"/>
      <c r="H115" s="163"/>
      <c r="I115" s="163"/>
      <c r="J115" s="163"/>
      <c r="K115" s="163"/>
      <c r="L115" s="163"/>
      <c r="M115" s="163"/>
      <c r="N115" s="163"/>
      <c r="O115" s="163"/>
      <c r="P115" s="163"/>
      <c r="Q115" s="163"/>
      <c r="R115" s="163"/>
      <c r="S115" s="163"/>
      <c r="T115" s="163"/>
    </row>
    <row r="116" spans="1:20">
      <c r="A116" s="69" t="s">
        <v>1171</v>
      </c>
      <c r="B116" s="48" t="s">
        <v>1172</v>
      </c>
      <c r="C116" s="40" t="s">
        <v>1173</v>
      </c>
      <c r="D116" s="114">
        <v>12</v>
      </c>
      <c r="E116" s="163"/>
      <c r="F116" s="163"/>
      <c r="G116" s="163"/>
      <c r="H116" s="163"/>
      <c r="I116" s="163"/>
      <c r="J116" s="163"/>
      <c r="K116" s="163"/>
      <c r="L116" s="163"/>
      <c r="M116" s="163"/>
      <c r="N116" s="163"/>
      <c r="O116" s="163"/>
      <c r="P116" s="163"/>
      <c r="Q116" s="163"/>
      <c r="R116" s="163"/>
      <c r="S116" s="163"/>
      <c r="T116" s="163"/>
    </row>
    <row r="117" spans="1:20">
      <c r="A117" s="69" t="s">
        <v>1174</v>
      </c>
      <c r="B117" s="48" t="s">
        <v>1175</v>
      </c>
      <c r="C117" s="40" t="s">
        <v>1176</v>
      </c>
      <c r="D117" s="114">
        <v>8</v>
      </c>
      <c r="E117" s="163"/>
      <c r="F117" s="163"/>
      <c r="G117" s="163"/>
      <c r="H117" s="163"/>
      <c r="I117" s="163"/>
      <c r="J117" s="163"/>
      <c r="K117" s="163"/>
      <c r="L117" s="163"/>
      <c r="M117" s="163"/>
      <c r="N117" s="163"/>
      <c r="O117" s="163"/>
      <c r="P117" s="163"/>
      <c r="Q117" s="163"/>
      <c r="R117" s="163"/>
      <c r="S117" s="163"/>
      <c r="T117" s="163"/>
    </row>
    <row r="118" spans="1:20">
      <c r="A118" s="129" t="s">
        <v>1177</v>
      </c>
      <c r="B118" s="129" t="s">
        <v>1178</v>
      </c>
      <c r="C118" s="26" t="s">
        <v>1179</v>
      </c>
      <c r="D118" s="114">
        <v>16</v>
      </c>
      <c r="E118" s="163"/>
      <c r="F118" s="163"/>
      <c r="G118" s="163"/>
      <c r="H118" s="163"/>
      <c r="I118" s="163"/>
      <c r="J118" s="163"/>
      <c r="K118" s="163"/>
      <c r="L118" s="163"/>
      <c r="M118" s="163"/>
      <c r="N118" s="163"/>
      <c r="O118" s="163"/>
      <c r="P118" s="163"/>
      <c r="Q118" s="163"/>
      <c r="R118" s="163"/>
      <c r="S118" s="163"/>
      <c r="T118" s="163"/>
    </row>
    <row r="119" spans="1:20">
      <c r="A119" s="129" t="s">
        <v>1180</v>
      </c>
      <c r="B119" s="129" t="s">
        <v>1181</v>
      </c>
      <c r="C119" s="26" t="s">
        <v>1182</v>
      </c>
      <c r="D119" s="114">
        <v>12</v>
      </c>
      <c r="E119" s="163"/>
      <c r="F119" s="163"/>
      <c r="G119" s="163"/>
      <c r="H119" s="163"/>
      <c r="I119" s="163"/>
      <c r="J119" s="163"/>
      <c r="K119" s="163"/>
      <c r="L119" s="163"/>
      <c r="M119" s="163"/>
      <c r="N119" s="163"/>
      <c r="O119" s="163"/>
      <c r="P119" s="163"/>
      <c r="Q119" s="163"/>
      <c r="R119" s="163"/>
      <c r="S119" s="163"/>
      <c r="T119" s="163"/>
    </row>
    <row r="120" spans="1:20">
      <c r="A120" s="129" t="s">
        <v>1183</v>
      </c>
      <c r="B120" s="129" t="s">
        <v>1184</v>
      </c>
      <c r="C120" s="26" t="s">
        <v>1185</v>
      </c>
      <c r="D120" s="114">
        <v>8</v>
      </c>
      <c r="E120" s="163"/>
      <c r="F120" s="163"/>
      <c r="G120" s="163"/>
      <c r="H120" s="163"/>
      <c r="I120" s="163"/>
      <c r="J120" s="163"/>
      <c r="K120" s="163"/>
      <c r="L120" s="163"/>
      <c r="M120" s="163"/>
      <c r="N120" s="163"/>
      <c r="O120" s="163"/>
      <c r="P120" s="163"/>
      <c r="Q120" s="163"/>
      <c r="R120" s="163"/>
      <c r="S120" s="163"/>
      <c r="T120" s="163"/>
    </row>
    <row r="121" spans="1:20">
      <c r="A121" s="69" t="s">
        <v>1186</v>
      </c>
      <c r="B121" s="48" t="s">
        <v>1187</v>
      </c>
      <c r="C121" s="88" t="s">
        <v>1188</v>
      </c>
      <c r="D121" s="114">
        <v>14</v>
      </c>
      <c r="E121" s="163"/>
      <c r="F121" s="163"/>
      <c r="G121" s="163"/>
      <c r="H121" s="163"/>
      <c r="I121" s="163"/>
      <c r="J121" s="163"/>
      <c r="K121" s="163"/>
      <c r="L121" s="163"/>
      <c r="M121" s="163"/>
      <c r="N121" s="163"/>
      <c r="O121" s="163"/>
      <c r="P121" s="163"/>
      <c r="Q121" s="163"/>
      <c r="R121" s="163"/>
      <c r="S121" s="163"/>
      <c r="T121" s="163"/>
    </row>
    <row r="122" spans="1:20">
      <c r="A122" s="69" t="s">
        <v>1189</v>
      </c>
      <c r="B122" s="48" t="s">
        <v>1190</v>
      </c>
      <c r="C122" s="88" t="s">
        <v>1191</v>
      </c>
      <c r="D122" s="143">
        <v>13</v>
      </c>
      <c r="E122" s="163"/>
      <c r="F122" s="163"/>
      <c r="G122" s="163"/>
      <c r="H122" s="163"/>
      <c r="I122" s="163"/>
      <c r="J122" s="163"/>
      <c r="K122" s="163"/>
      <c r="L122" s="163"/>
      <c r="M122" s="163"/>
      <c r="N122" s="163"/>
      <c r="O122" s="163"/>
      <c r="P122" s="163"/>
      <c r="Q122" s="163"/>
      <c r="R122" s="163"/>
      <c r="S122" s="163"/>
      <c r="T122" s="163"/>
    </row>
    <row r="123" spans="1:20">
      <c r="A123" s="69" t="s">
        <v>1192</v>
      </c>
      <c r="B123" s="48" t="s">
        <v>1193</v>
      </c>
      <c r="C123" s="88" t="s">
        <v>1194</v>
      </c>
      <c r="D123" s="114">
        <v>11</v>
      </c>
      <c r="E123" s="163"/>
      <c r="F123" s="163"/>
      <c r="G123" s="163"/>
      <c r="H123" s="163"/>
      <c r="I123" s="163"/>
      <c r="J123" s="163"/>
      <c r="K123" s="163"/>
      <c r="L123" s="163"/>
      <c r="M123" s="163"/>
      <c r="N123" s="163"/>
      <c r="O123" s="163"/>
      <c r="P123" s="163"/>
      <c r="Q123" s="163"/>
      <c r="R123" s="163"/>
      <c r="S123" s="163"/>
      <c r="T123" s="163"/>
    </row>
    <row r="124" spans="1:20">
      <c r="A124" s="29" t="s">
        <v>1195</v>
      </c>
      <c r="B124" s="37" t="s">
        <v>1196</v>
      </c>
      <c r="C124" s="276" t="s">
        <v>1197</v>
      </c>
      <c r="D124" s="114">
        <v>35</v>
      </c>
      <c r="E124" s="163"/>
      <c r="F124" s="163"/>
      <c r="G124" s="163"/>
      <c r="H124" s="163"/>
      <c r="I124" s="163"/>
      <c r="J124" s="163"/>
      <c r="K124" s="163"/>
      <c r="L124" s="163"/>
      <c r="M124" s="163"/>
      <c r="N124" s="163"/>
      <c r="O124" s="163"/>
      <c r="P124" s="163"/>
      <c r="Q124" s="163"/>
      <c r="R124" s="163"/>
      <c r="S124" s="163"/>
      <c r="T124" s="163"/>
    </row>
    <row r="125" spans="1:20">
      <c r="A125" s="69" t="s">
        <v>1198</v>
      </c>
      <c r="B125" s="48" t="s">
        <v>1199</v>
      </c>
      <c r="C125" s="88" t="s">
        <v>1200</v>
      </c>
      <c r="D125" s="114">
        <v>9</v>
      </c>
      <c r="E125" s="163"/>
      <c r="F125" s="163"/>
      <c r="G125" s="163"/>
      <c r="H125" s="163"/>
      <c r="I125" s="163"/>
      <c r="J125" s="163"/>
      <c r="K125" s="163"/>
      <c r="L125" s="163"/>
      <c r="M125" s="163"/>
      <c r="N125" s="163"/>
      <c r="O125" s="163"/>
      <c r="P125" s="163"/>
      <c r="Q125" s="163"/>
      <c r="R125" s="163"/>
      <c r="S125" s="163"/>
      <c r="T125" s="163"/>
    </row>
    <row r="126" spans="1:20">
      <c r="A126" s="69" t="s">
        <v>1201</v>
      </c>
      <c r="B126" s="48" t="s">
        <v>1202</v>
      </c>
      <c r="C126" s="88" t="s">
        <v>1203</v>
      </c>
      <c r="D126" s="114">
        <v>8</v>
      </c>
      <c r="E126" s="163"/>
      <c r="F126" s="163"/>
      <c r="G126" s="163"/>
      <c r="H126" s="163"/>
      <c r="I126" s="163"/>
      <c r="J126" s="163"/>
      <c r="K126" s="163"/>
      <c r="L126" s="163"/>
      <c r="M126" s="163"/>
      <c r="N126" s="163"/>
      <c r="O126" s="163"/>
      <c r="P126" s="163"/>
      <c r="Q126" s="163"/>
      <c r="R126" s="163"/>
      <c r="S126" s="163"/>
      <c r="T126" s="163"/>
    </row>
    <row r="127" spans="1:20">
      <c r="A127" s="69" t="s">
        <v>1204</v>
      </c>
      <c r="B127" s="48" t="s">
        <v>1205</v>
      </c>
      <c r="C127" s="88" t="s">
        <v>1206</v>
      </c>
      <c r="D127" s="114">
        <v>6</v>
      </c>
      <c r="E127" s="163"/>
      <c r="F127" s="163"/>
      <c r="G127" s="163"/>
      <c r="H127" s="163"/>
      <c r="I127" s="163"/>
      <c r="J127" s="163"/>
      <c r="K127" s="163"/>
      <c r="L127" s="163"/>
      <c r="M127" s="163"/>
      <c r="N127" s="163"/>
      <c r="O127" s="163"/>
      <c r="P127" s="163"/>
      <c r="Q127" s="163"/>
      <c r="R127" s="163"/>
      <c r="S127" s="163"/>
      <c r="T127" s="163"/>
    </row>
    <row r="128" spans="1:20">
      <c r="A128" s="69" t="s">
        <v>1207</v>
      </c>
      <c r="B128" s="48" t="s">
        <v>1208</v>
      </c>
      <c r="C128" s="88" t="s">
        <v>1209</v>
      </c>
      <c r="D128" s="114">
        <v>6</v>
      </c>
      <c r="E128" s="163"/>
      <c r="F128" s="163"/>
      <c r="G128" s="163"/>
      <c r="H128" s="163"/>
      <c r="I128" s="163"/>
      <c r="J128" s="163"/>
      <c r="K128" s="163"/>
      <c r="L128" s="163"/>
      <c r="M128" s="163"/>
      <c r="N128" s="163"/>
      <c r="O128" s="163"/>
      <c r="P128" s="163"/>
      <c r="Q128" s="163"/>
      <c r="R128" s="163"/>
      <c r="S128" s="163"/>
      <c r="T128" s="163"/>
    </row>
    <row r="129" spans="1:21">
      <c r="A129" s="69" t="s">
        <v>1210</v>
      </c>
      <c r="B129" s="48" t="s">
        <v>1211</v>
      </c>
      <c r="C129" s="88" t="s">
        <v>1212</v>
      </c>
      <c r="D129" s="114">
        <v>18</v>
      </c>
      <c r="E129" s="163"/>
      <c r="F129" s="163"/>
      <c r="G129" s="163"/>
      <c r="H129" s="163"/>
      <c r="I129" s="163"/>
      <c r="J129" s="163"/>
      <c r="K129" s="163"/>
      <c r="L129" s="163"/>
      <c r="M129" s="163"/>
      <c r="N129" s="163"/>
      <c r="O129" s="163"/>
      <c r="P129" s="163"/>
      <c r="Q129" s="163"/>
      <c r="R129" s="163"/>
      <c r="S129" s="163"/>
      <c r="T129" s="163"/>
    </row>
    <row r="130" spans="1:21">
      <c r="A130" s="129" t="s">
        <v>1213</v>
      </c>
      <c r="B130" s="129" t="s">
        <v>1214</v>
      </c>
      <c r="C130" s="26" t="s">
        <v>1215</v>
      </c>
      <c r="D130" s="114">
        <v>14</v>
      </c>
      <c r="E130" s="163"/>
      <c r="F130" s="163"/>
      <c r="G130" s="163"/>
      <c r="H130" s="163"/>
      <c r="I130" s="163"/>
      <c r="J130" s="163"/>
      <c r="K130" s="163"/>
      <c r="L130" s="163"/>
      <c r="M130" s="163"/>
      <c r="N130" s="163"/>
      <c r="O130" s="163"/>
      <c r="P130" s="163"/>
      <c r="Q130" s="163"/>
      <c r="R130" s="163"/>
      <c r="S130" s="163"/>
      <c r="T130" s="163"/>
    </row>
    <row r="131" spans="1:21">
      <c r="A131" s="129" t="s">
        <v>1216</v>
      </c>
      <c r="B131" s="129" t="s">
        <v>1217</v>
      </c>
      <c r="C131" s="26" t="s">
        <v>1218</v>
      </c>
      <c r="D131" s="114">
        <v>12</v>
      </c>
      <c r="E131" s="163"/>
      <c r="F131" s="163"/>
      <c r="G131" s="163"/>
      <c r="H131" s="163"/>
      <c r="I131" s="163"/>
      <c r="J131" s="163"/>
      <c r="K131" s="163"/>
      <c r="L131" s="163"/>
      <c r="M131" s="163"/>
      <c r="N131" s="163"/>
      <c r="O131" s="163"/>
      <c r="P131" s="163"/>
      <c r="Q131" s="163"/>
      <c r="R131" s="163"/>
      <c r="S131" s="163"/>
      <c r="T131" s="163"/>
    </row>
    <row r="132" spans="1:21">
      <c r="A132" s="129"/>
      <c r="B132" s="129"/>
      <c r="C132" s="135"/>
      <c r="D132" s="47"/>
      <c r="E132" s="163"/>
      <c r="F132" s="163"/>
      <c r="G132" s="163"/>
      <c r="H132" s="163"/>
      <c r="I132" s="163"/>
      <c r="J132" s="163"/>
      <c r="K132" s="163"/>
      <c r="L132" s="163"/>
      <c r="M132" s="163"/>
      <c r="N132" s="163"/>
      <c r="O132" s="163"/>
      <c r="P132" s="163"/>
      <c r="Q132" s="163"/>
      <c r="R132" s="163"/>
      <c r="S132" s="163"/>
      <c r="T132" s="163"/>
    </row>
    <row r="133" spans="1:21">
      <c r="A133" s="15" t="s">
        <v>1219</v>
      </c>
      <c r="B133" s="41"/>
      <c r="C133" s="41"/>
      <c r="D133" s="125"/>
      <c r="E133" s="163"/>
      <c r="F133" s="163"/>
      <c r="G133" s="163"/>
      <c r="H133" s="163"/>
      <c r="I133" s="163"/>
      <c r="J133" s="163"/>
      <c r="K133" s="163"/>
      <c r="L133" s="163"/>
      <c r="M133" s="163"/>
      <c r="N133" s="163"/>
      <c r="O133" s="163"/>
      <c r="P133" s="163"/>
      <c r="Q133" s="163"/>
      <c r="R133" s="163"/>
      <c r="S133" s="163"/>
      <c r="T133" s="163"/>
      <c r="U133" s="163"/>
    </row>
    <row r="134" spans="1:21">
      <c r="A134" s="132" t="s">
        <v>1220</v>
      </c>
      <c r="B134" s="230" t="s">
        <v>1221</v>
      </c>
      <c r="C134" s="107" t="s">
        <v>1222</v>
      </c>
      <c r="D134" s="114">
        <v>11</v>
      </c>
      <c r="E134" s="163"/>
      <c r="F134" s="163"/>
      <c r="G134" s="163"/>
      <c r="H134" s="163"/>
      <c r="I134" s="163"/>
      <c r="J134" s="163"/>
      <c r="K134" s="163"/>
      <c r="L134" s="163"/>
      <c r="M134" s="163"/>
      <c r="N134" s="163"/>
      <c r="O134" s="163"/>
      <c r="P134" s="163"/>
      <c r="Q134" s="163"/>
      <c r="R134" s="163"/>
      <c r="S134" s="163"/>
      <c r="T134" s="163"/>
      <c r="U134" s="163"/>
    </row>
    <row r="135" spans="1:21">
      <c r="A135" s="132" t="s">
        <v>1223</v>
      </c>
      <c r="B135" s="230" t="s">
        <v>1224</v>
      </c>
      <c r="C135" s="107" t="s">
        <v>1225</v>
      </c>
      <c r="D135" s="114">
        <v>9</v>
      </c>
      <c r="E135" s="163"/>
      <c r="F135" s="163"/>
      <c r="G135" s="163"/>
      <c r="H135" s="163"/>
      <c r="I135" s="163"/>
      <c r="J135" s="163"/>
      <c r="K135" s="163"/>
      <c r="L135" s="163"/>
      <c r="M135" s="163"/>
      <c r="N135" s="163"/>
      <c r="O135" s="163"/>
      <c r="P135" s="163"/>
      <c r="Q135" s="163"/>
      <c r="R135" s="163"/>
      <c r="S135" s="163"/>
      <c r="T135" s="163"/>
      <c r="U135" s="163"/>
    </row>
    <row r="136" spans="1:21">
      <c r="A136" s="69"/>
      <c r="B136" s="48"/>
      <c r="C136" s="40"/>
      <c r="D136" s="47"/>
      <c r="E136" s="163"/>
      <c r="F136" s="163"/>
      <c r="G136" s="163"/>
      <c r="H136" s="163"/>
      <c r="I136" s="163"/>
      <c r="J136" s="163"/>
      <c r="K136" s="163"/>
      <c r="L136" s="163"/>
      <c r="M136" s="163"/>
      <c r="N136" s="163"/>
      <c r="O136" s="163"/>
      <c r="P136" s="163"/>
      <c r="Q136" s="163"/>
      <c r="R136" s="163"/>
      <c r="S136" s="163"/>
      <c r="T136" s="163"/>
      <c r="U136" s="163"/>
    </row>
    <row r="137" spans="1:21">
      <c r="A137" s="15" t="s">
        <v>1226</v>
      </c>
      <c r="B137" s="41"/>
      <c r="C137" s="41"/>
      <c r="D137" s="125"/>
      <c r="E137" s="163"/>
      <c r="F137" s="163"/>
      <c r="G137" s="163"/>
      <c r="H137" s="163"/>
      <c r="I137" s="163"/>
      <c r="J137" s="163"/>
      <c r="K137" s="163"/>
      <c r="L137" s="163"/>
      <c r="M137" s="163"/>
      <c r="N137" s="163"/>
      <c r="O137" s="163"/>
      <c r="P137" s="163"/>
      <c r="Q137" s="163"/>
      <c r="R137" s="163"/>
      <c r="S137" s="163"/>
      <c r="T137" s="163"/>
      <c r="U137" s="163"/>
    </row>
    <row r="138" spans="1:21">
      <c r="A138" s="69" t="s">
        <v>1227</v>
      </c>
      <c r="B138" s="48" t="s">
        <v>1228</v>
      </c>
      <c r="C138" s="107" t="s">
        <v>1229</v>
      </c>
      <c r="D138" s="114">
        <v>16</v>
      </c>
      <c r="E138" s="163"/>
      <c r="F138" s="163"/>
      <c r="G138" s="163"/>
      <c r="H138" s="163"/>
      <c r="I138" s="163"/>
      <c r="J138" s="163"/>
      <c r="K138" s="163"/>
      <c r="L138" s="163"/>
      <c r="M138" s="163"/>
      <c r="N138" s="163"/>
      <c r="O138" s="163"/>
      <c r="P138" s="163"/>
      <c r="Q138" s="163"/>
      <c r="R138" s="163"/>
      <c r="S138" s="163"/>
      <c r="T138" s="163"/>
      <c r="U138" s="163"/>
    </row>
    <row r="139" spans="1:21" s="160" customFormat="1">
      <c r="A139" s="69" t="s">
        <v>1230</v>
      </c>
      <c r="B139" s="48" t="s">
        <v>1231</v>
      </c>
      <c r="C139" s="276" t="s">
        <v>1232</v>
      </c>
      <c r="D139" s="143">
        <v>25</v>
      </c>
      <c r="E139" s="163"/>
      <c r="F139" s="163"/>
      <c r="G139" s="163"/>
      <c r="H139" s="163"/>
      <c r="I139" s="163"/>
      <c r="J139" s="163"/>
      <c r="K139" s="163"/>
      <c r="L139" s="163"/>
      <c r="M139" s="163"/>
      <c r="N139" s="163"/>
      <c r="O139" s="163"/>
      <c r="P139" s="163"/>
      <c r="Q139" s="163"/>
      <c r="R139" s="163"/>
      <c r="S139" s="163"/>
      <c r="T139" s="163"/>
      <c r="U139" s="163"/>
    </row>
    <row r="140" spans="1:21">
      <c r="A140" s="69" t="s">
        <v>1233</v>
      </c>
      <c r="B140" s="48" t="s">
        <v>1234</v>
      </c>
      <c r="C140" s="107" t="s">
        <v>1235</v>
      </c>
      <c r="D140" s="114">
        <v>12</v>
      </c>
      <c r="E140" s="163"/>
      <c r="F140" s="163"/>
      <c r="G140" s="163"/>
      <c r="H140" s="163"/>
      <c r="I140" s="163"/>
      <c r="J140" s="163"/>
      <c r="K140" s="163"/>
      <c r="L140" s="163"/>
      <c r="M140" s="163"/>
      <c r="N140" s="163"/>
      <c r="O140" s="163"/>
      <c r="P140" s="163"/>
      <c r="Q140" s="163"/>
      <c r="R140" s="163"/>
      <c r="S140" s="163"/>
      <c r="T140" s="163"/>
      <c r="U140" s="163"/>
    </row>
    <row r="141" spans="1:21" s="160" customFormat="1">
      <c r="A141" s="69" t="s">
        <v>1236</v>
      </c>
      <c r="B141" s="48" t="s">
        <v>1237</v>
      </c>
      <c r="C141" s="40" t="s">
        <v>1238</v>
      </c>
      <c r="D141" s="143">
        <v>27</v>
      </c>
      <c r="E141" s="163"/>
      <c r="F141" s="163"/>
      <c r="G141" s="163"/>
      <c r="H141" s="163"/>
      <c r="I141" s="163"/>
      <c r="J141" s="163"/>
      <c r="K141" s="163"/>
      <c r="L141" s="163"/>
      <c r="M141" s="163"/>
      <c r="N141" s="163"/>
      <c r="O141" s="163"/>
      <c r="P141" s="163"/>
      <c r="Q141" s="163"/>
      <c r="R141" s="163"/>
      <c r="S141" s="163"/>
      <c r="T141" s="163"/>
      <c r="U141" s="163"/>
    </row>
    <row r="142" spans="1:21">
      <c r="A142" s="69" t="s">
        <v>1239</v>
      </c>
      <c r="B142" s="48" t="s">
        <v>1231</v>
      </c>
      <c r="C142" s="107" t="s">
        <v>1240</v>
      </c>
      <c r="D142" s="114">
        <v>12</v>
      </c>
      <c r="E142" s="163"/>
      <c r="F142" s="163"/>
      <c r="G142" s="163"/>
      <c r="H142" s="163"/>
      <c r="I142" s="163"/>
      <c r="J142" s="163"/>
      <c r="K142" s="163"/>
      <c r="L142" s="163"/>
      <c r="M142" s="163"/>
      <c r="N142" s="163"/>
      <c r="O142" s="163"/>
      <c r="P142" s="163"/>
      <c r="Q142" s="163"/>
      <c r="R142" s="163"/>
      <c r="S142" s="163"/>
      <c r="T142" s="163"/>
    </row>
    <row r="143" spans="1:21">
      <c r="A143" s="69" t="s">
        <v>1241</v>
      </c>
      <c r="B143" s="48" t="s">
        <v>1242</v>
      </c>
      <c r="C143" s="40" t="s">
        <v>1243</v>
      </c>
      <c r="D143" s="143">
        <v>40</v>
      </c>
      <c r="E143" s="163"/>
      <c r="F143" s="163"/>
      <c r="G143" s="163"/>
      <c r="H143" s="163"/>
      <c r="I143" s="163"/>
      <c r="J143" s="163"/>
      <c r="K143" s="163"/>
      <c r="L143" s="163"/>
      <c r="M143" s="163"/>
      <c r="N143" s="163"/>
      <c r="O143" s="163"/>
      <c r="P143" s="163"/>
      <c r="Q143" s="163"/>
      <c r="R143" s="163"/>
      <c r="S143" s="163"/>
      <c r="T143" s="163"/>
    </row>
    <row r="144" spans="1:21">
      <c r="A144" s="69"/>
      <c r="B144" s="48"/>
      <c r="C144" s="40"/>
      <c r="D144" s="47"/>
      <c r="E144" s="163"/>
      <c r="F144" s="163"/>
      <c r="G144" s="163"/>
      <c r="H144" s="163"/>
      <c r="I144" s="163"/>
      <c r="J144" s="163"/>
      <c r="K144" s="163"/>
      <c r="L144" s="163"/>
      <c r="M144" s="163"/>
      <c r="N144" s="163"/>
      <c r="O144" s="163"/>
      <c r="P144" s="163"/>
      <c r="Q144" s="163"/>
      <c r="R144" s="163"/>
      <c r="S144" s="163"/>
      <c r="T144" s="163"/>
    </row>
    <row r="145" spans="1:20">
      <c r="A145" s="15" t="s">
        <v>1244</v>
      </c>
      <c r="B145" s="41"/>
      <c r="C145" s="41"/>
      <c r="D145" s="125"/>
      <c r="E145" s="163"/>
      <c r="F145" s="163"/>
      <c r="G145" s="163"/>
      <c r="H145" s="163"/>
      <c r="I145" s="163"/>
      <c r="J145" s="163"/>
      <c r="K145" s="163"/>
      <c r="L145" s="163"/>
      <c r="M145" s="163"/>
      <c r="N145" s="163"/>
      <c r="O145" s="163"/>
      <c r="P145" s="163"/>
      <c r="Q145" s="163"/>
      <c r="R145" s="163"/>
    </row>
    <row r="146" spans="1:20">
      <c r="A146" s="132" t="s">
        <v>1245</v>
      </c>
      <c r="B146" s="230" t="s">
        <v>1246</v>
      </c>
      <c r="C146" s="107" t="s">
        <v>1247</v>
      </c>
      <c r="D146" s="114">
        <v>8</v>
      </c>
      <c r="E146" s="163"/>
      <c r="F146" s="163"/>
      <c r="G146" s="163"/>
      <c r="H146" s="163"/>
      <c r="I146" s="163"/>
      <c r="J146" s="163"/>
      <c r="K146" s="163"/>
      <c r="L146" s="163"/>
      <c r="M146" s="163"/>
      <c r="N146" s="163"/>
      <c r="O146" s="163"/>
      <c r="P146" s="163"/>
      <c r="Q146" s="163"/>
      <c r="R146" s="163"/>
    </row>
    <row r="147" spans="1:20">
      <c r="A147" s="132" t="s">
        <v>1248</v>
      </c>
      <c r="B147" s="230" t="s">
        <v>1249</v>
      </c>
      <c r="C147" s="107" t="s">
        <v>1250</v>
      </c>
      <c r="D147" s="114">
        <v>171</v>
      </c>
      <c r="E147" s="163"/>
      <c r="F147" s="163"/>
      <c r="G147" s="163"/>
      <c r="H147" s="163"/>
      <c r="I147" s="163"/>
      <c r="J147" s="163"/>
      <c r="K147" s="163"/>
      <c r="L147" s="163"/>
      <c r="M147" s="163"/>
      <c r="N147" s="163"/>
      <c r="O147" s="163"/>
      <c r="P147" s="163"/>
      <c r="Q147" s="163"/>
      <c r="R147" s="163"/>
    </row>
    <row r="148" spans="1:20">
      <c r="A148" s="132" t="s">
        <v>1251</v>
      </c>
      <c r="B148" s="230" t="s">
        <v>1252</v>
      </c>
      <c r="C148" s="276" t="s">
        <v>1253</v>
      </c>
      <c r="D148" s="114">
        <v>9</v>
      </c>
      <c r="E148" s="163"/>
      <c r="F148" s="163"/>
      <c r="G148" s="163"/>
      <c r="H148" s="163"/>
      <c r="I148" s="163"/>
      <c r="J148" s="163"/>
      <c r="K148" s="163"/>
      <c r="L148" s="163"/>
      <c r="M148" s="163"/>
      <c r="N148" s="201"/>
      <c r="O148" s="102"/>
      <c r="P148" s="102"/>
      <c r="Q148" s="102"/>
      <c r="R148" s="102"/>
    </row>
    <row r="149" spans="1:20">
      <c r="A149" s="132" t="s">
        <v>1254</v>
      </c>
      <c r="B149" s="230" t="s">
        <v>1252</v>
      </c>
      <c r="C149" s="107" t="s">
        <v>1255</v>
      </c>
      <c r="D149" s="114">
        <v>151</v>
      </c>
      <c r="E149" s="163"/>
      <c r="F149" s="163"/>
      <c r="G149" s="163"/>
      <c r="H149" s="163"/>
      <c r="I149" s="163"/>
      <c r="J149" s="163"/>
      <c r="K149" s="163"/>
      <c r="L149" s="163"/>
      <c r="M149" s="163"/>
      <c r="N149" s="102"/>
      <c r="O149" s="102"/>
      <c r="P149" s="102"/>
      <c r="Q149" s="102"/>
      <c r="R149" s="102"/>
    </row>
    <row r="150" spans="1:20">
      <c r="A150" s="132" t="s">
        <v>1256</v>
      </c>
      <c r="B150" s="230" t="s">
        <v>1257</v>
      </c>
      <c r="C150" s="107" t="s">
        <v>1258</v>
      </c>
      <c r="D150" s="114">
        <v>35</v>
      </c>
      <c r="E150" s="163"/>
      <c r="F150" s="163"/>
      <c r="G150" s="163"/>
      <c r="H150" s="163"/>
      <c r="I150" s="163"/>
      <c r="J150" s="163"/>
      <c r="K150" s="163"/>
      <c r="L150" s="163"/>
      <c r="M150" s="163"/>
      <c r="N150" s="163"/>
      <c r="O150" s="163"/>
      <c r="P150" s="163"/>
      <c r="Q150" s="163"/>
      <c r="R150" s="163"/>
    </row>
    <row r="151" spans="1:20">
      <c r="A151" s="69" t="s">
        <v>1259</v>
      </c>
      <c r="B151" s="48" t="s">
        <v>1260</v>
      </c>
      <c r="C151" s="107" t="s">
        <v>1261</v>
      </c>
      <c r="D151" s="114">
        <v>12</v>
      </c>
      <c r="E151" s="163"/>
      <c r="F151" s="163"/>
      <c r="G151" s="163"/>
      <c r="H151" s="163"/>
      <c r="I151" s="163"/>
      <c r="J151" s="163"/>
      <c r="K151" s="163"/>
      <c r="L151" s="163"/>
      <c r="M151" s="163"/>
      <c r="N151" s="163"/>
      <c r="O151" s="163"/>
      <c r="P151" s="163"/>
      <c r="Q151" s="163"/>
      <c r="R151" s="163"/>
    </row>
    <row r="152" spans="1:20">
      <c r="A152" s="69" t="s">
        <v>1262</v>
      </c>
      <c r="B152" s="48" t="s">
        <v>1263</v>
      </c>
      <c r="C152" s="107" t="s">
        <v>1264</v>
      </c>
      <c r="D152" s="114">
        <v>15</v>
      </c>
      <c r="E152" s="163"/>
      <c r="F152" s="163"/>
      <c r="G152" s="163"/>
      <c r="H152" s="163"/>
      <c r="I152" s="163"/>
      <c r="J152" s="163"/>
      <c r="K152" s="163"/>
      <c r="L152" s="163"/>
      <c r="M152" s="163"/>
      <c r="N152" s="163"/>
      <c r="O152" s="163"/>
      <c r="P152" s="163"/>
      <c r="Q152" s="163"/>
      <c r="R152" s="163"/>
    </row>
    <row r="153" spans="1:20">
      <c r="A153" s="69" t="s">
        <v>1265</v>
      </c>
      <c r="B153" s="48" t="s">
        <v>1266</v>
      </c>
      <c r="C153" s="107" t="s">
        <v>1267</v>
      </c>
      <c r="D153" s="114">
        <v>6</v>
      </c>
      <c r="E153" s="163"/>
      <c r="F153" s="163"/>
      <c r="G153" s="163"/>
      <c r="H153" s="163"/>
      <c r="I153" s="163"/>
      <c r="J153" s="163"/>
      <c r="K153" s="163"/>
      <c r="L153" s="163"/>
      <c r="M153" s="163"/>
      <c r="N153" s="163"/>
      <c r="O153" s="163"/>
      <c r="P153" s="163"/>
      <c r="Q153" s="163"/>
      <c r="R153" s="163"/>
    </row>
    <row r="154" spans="1:20">
      <c r="A154" s="69" t="s">
        <v>1268</v>
      </c>
      <c r="B154" s="48" t="s">
        <v>1269</v>
      </c>
      <c r="C154" s="107" t="s">
        <v>1270</v>
      </c>
      <c r="D154" s="114">
        <v>9</v>
      </c>
      <c r="E154" s="163"/>
      <c r="F154" s="163"/>
      <c r="G154" s="163"/>
      <c r="H154" s="163"/>
      <c r="I154" s="163"/>
      <c r="J154" s="163"/>
      <c r="K154" s="163"/>
      <c r="L154" s="163"/>
      <c r="M154" s="163"/>
      <c r="N154" s="163"/>
      <c r="O154" s="163"/>
      <c r="P154" s="163"/>
      <c r="Q154" s="163"/>
      <c r="R154" s="163"/>
      <c r="S154" s="163"/>
      <c r="T154" s="163"/>
    </row>
    <row r="155" spans="1:20">
      <c r="A155" s="69" t="s">
        <v>1271</v>
      </c>
      <c r="B155" s="48" t="s">
        <v>1272</v>
      </c>
      <c r="C155" s="34" t="s">
        <v>1273</v>
      </c>
      <c r="D155" s="114">
        <v>13</v>
      </c>
      <c r="E155" s="163"/>
      <c r="F155" s="163"/>
      <c r="G155" s="163"/>
      <c r="H155" s="163"/>
      <c r="I155" s="163"/>
      <c r="J155" s="163"/>
      <c r="K155" s="163"/>
      <c r="L155" s="163"/>
      <c r="M155" s="163"/>
      <c r="N155" s="163"/>
      <c r="O155" s="163"/>
      <c r="P155" s="163"/>
      <c r="Q155" s="163"/>
      <c r="R155" s="163"/>
      <c r="S155" s="163"/>
      <c r="T155" s="163"/>
    </row>
    <row r="156" spans="1:20">
      <c r="A156" s="69" t="s">
        <v>1274</v>
      </c>
      <c r="B156" s="48" t="s">
        <v>1275</v>
      </c>
      <c r="C156" s="40" t="s">
        <v>1276</v>
      </c>
      <c r="D156" s="143">
        <v>30</v>
      </c>
      <c r="E156" s="163"/>
      <c r="F156" s="163"/>
      <c r="G156" s="163"/>
      <c r="H156" s="163"/>
      <c r="I156" s="163"/>
      <c r="J156" s="163"/>
      <c r="K156" s="163"/>
      <c r="L156" s="163"/>
      <c r="M156" s="163"/>
      <c r="N156" s="163"/>
      <c r="O156" s="163"/>
      <c r="P156" s="163"/>
      <c r="Q156" s="163"/>
      <c r="R156" s="163"/>
      <c r="S156" s="163"/>
      <c r="T156" s="163"/>
    </row>
    <row r="157" spans="1:20">
      <c r="A157" s="132" t="s">
        <v>1277</v>
      </c>
      <c r="B157" s="230" t="s">
        <v>1278</v>
      </c>
      <c r="C157" s="276" t="s">
        <v>1279</v>
      </c>
      <c r="D157" s="114">
        <v>37</v>
      </c>
      <c r="E157" s="163"/>
      <c r="F157" s="163"/>
      <c r="G157" s="163"/>
      <c r="H157" s="163"/>
      <c r="I157" s="163"/>
      <c r="J157" s="163"/>
      <c r="K157" s="163"/>
      <c r="L157" s="163"/>
      <c r="M157" s="163"/>
      <c r="N157" s="163"/>
      <c r="O157" s="163"/>
      <c r="P157" s="163"/>
      <c r="Q157" s="163"/>
      <c r="R157" s="163"/>
      <c r="S157" s="163"/>
      <c r="T157" s="163"/>
    </row>
    <row r="158" spans="1:20">
      <c r="A158" s="69" t="s">
        <v>1280</v>
      </c>
      <c r="B158" s="48" t="s">
        <v>1281</v>
      </c>
      <c r="C158" s="107" t="s">
        <v>1282</v>
      </c>
      <c r="D158" s="114">
        <v>191</v>
      </c>
      <c r="E158" s="163"/>
      <c r="F158" s="163"/>
      <c r="G158" s="163"/>
      <c r="H158" s="163"/>
      <c r="I158" s="163"/>
      <c r="J158" s="163"/>
      <c r="K158" s="163"/>
      <c r="L158" s="163"/>
      <c r="M158" s="163"/>
      <c r="N158" s="163"/>
      <c r="O158" s="163"/>
      <c r="P158" s="163"/>
      <c r="Q158" s="163"/>
      <c r="R158" s="163"/>
      <c r="S158" s="163"/>
      <c r="T158" s="163"/>
    </row>
    <row r="159" spans="1:20">
      <c r="A159" s="69" t="s">
        <v>1283</v>
      </c>
      <c r="B159" s="48" t="s">
        <v>1284</v>
      </c>
      <c r="C159" s="107" t="s">
        <v>1285</v>
      </c>
      <c r="D159" s="114">
        <v>141</v>
      </c>
      <c r="E159" s="163"/>
      <c r="F159" s="163"/>
      <c r="G159" s="163"/>
      <c r="H159" s="163"/>
      <c r="I159" s="163"/>
      <c r="J159" s="163"/>
      <c r="K159" s="163"/>
      <c r="L159" s="163"/>
      <c r="M159" s="163"/>
      <c r="N159" s="163"/>
      <c r="O159" s="163"/>
      <c r="P159" s="163"/>
      <c r="Q159" s="163"/>
      <c r="R159" s="163"/>
      <c r="S159" s="163"/>
      <c r="T159" s="163"/>
    </row>
    <row r="160" spans="1:20">
      <c r="A160" s="69" t="s">
        <v>1286</v>
      </c>
      <c r="B160" s="69" t="s">
        <v>1287</v>
      </c>
      <c r="C160" s="40" t="s">
        <v>1288</v>
      </c>
      <c r="D160" s="302" t="s">
        <v>1289</v>
      </c>
      <c r="E160" s="163"/>
      <c r="F160" s="163"/>
      <c r="G160" s="163"/>
      <c r="H160" s="163"/>
      <c r="I160" s="163"/>
      <c r="J160" s="163"/>
      <c r="K160" s="163"/>
      <c r="L160" s="163"/>
      <c r="M160" s="163"/>
    </row>
    <row r="161" spans="1:13">
      <c r="A161" s="69" t="s">
        <v>1290</v>
      </c>
      <c r="B161" s="69" t="s">
        <v>1291</v>
      </c>
      <c r="C161" s="40" t="s">
        <v>1292</v>
      </c>
      <c r="D161" s="302" t="s">
        <v>1293</v>
      </c>
      <c r="E161" s="163"/>
      <c r="F161" s="163"/>
      <c r="G161" s="163"/>
      <c r="H161" s="163"/>
      <c r="I161" s="163"/>
      <c r="J161" s="163"/>
      <c r="K161" s="163"/>
      <c r="L161" s="163"/>
      <c r="M161" s="163"/>
    </row>
    <row r="162" spans="1:13">
      <c r="A162" s="69" t="s">
        <v>1294</v>
      </c>
      <c r="B162" s="69" t="s">
        <v>1295</v>
      </c>
      <c r="C162" s="40" t="s">
        <v>1296</v>
      </c>
      <c r="D162" s="302" t="s">
        <v>1297</v>
      </c>
      <c r="E162" s="163"/>
      <c r="F162" s="163"/>
      <c r="G162" s="163"/>
      <c r="H162" s="163"/>
      <c r="I162" s="163"/>
      <c r="J162" s="163"/>
      <c r="K162" s="163"/>
      <c r="L162" s="163"/>
      <c r="M162" s="163"/>
    </row>
    <row r="163" spans="1:13">
      <c r="A163" s="69" t="s">
        <v>1298</v>
      </c>
      <c r="B163" s="69" t="s">
        <v>1299</v>
      </c>
      <c r="C163" s="40" t="s">
        <v>1300</v>
      </c>
      <c r="D163" s="302" t="s">
        <v>1301</v>
      </c>
      <c r="E163" s="163"/>
      <c r="F163" s="163"/>
      <c r="G163" s="163"/>
      <c r="H163" s="163"/>
      <c r="I163" s="163"/>
      <c r="J163" s="163"/>
      <c r="K163" s="163"/>
      <c r="L163" s="163"/>
      <c r="M163" s="163"/>
    </row>
    <row r="164" spans="1:13">
      <c r="A164" s="69" t="s">
        <v>1302</v>
      </c>
      <c r="B164" s="69" t="s">
        <v>1303</v>
      </c>
      <c r="C164" s="40" t="s">
        <v>1304</v>
      </c>
      <c r="D164" s="302" t="s">
        <v>1305</v>
      </c>
      <c r="E164" s="163"/>
      <c r="F164" s="163"/>
      <c r="G164" s="163"/>
      <c r="H164" s="163"/>
      <c r="I164" s="163"/>
      <c r="J164" s="163"/>
      <c r="K164" s="163"/>
      <c r="L164" s="163"/>
      <c r="M164" s="163"/>
    </row>
    <row r="165" spans="1:13">
      <c r="A165" s="69" t="s">
        <v>1306</v>
      </c>
      <c r="B165" s="69" t="s">
        <v>1307</v>
      </c>
      <c r="C165" s="40" t="s">
        <v>1308</v>
      </c>
      <c r="D165" s="302" t="s">
        <v>1309</v>
      </c>
      <c r="E165" s="163"/>
      <c r="F165" s="163"/>
      <c r="G165" s="163"/>
      <c r="H165" s="163"/>
      <c r="I165" s="163"/>
      <c r="J165" s="163"/>
      <c r="K165" s="163"/>
      <c r="L165" s="163"/>
      <c r="M165" s="163"/>
    </row>
    <row r="166" spans="1:13">
      <c r="A166" s="69" t="s">
        <v>1310</v>
      </c>
      <c r="B166" s="69" t="s">
        <v>1311</v>
      </c>
      <c r="C166" s="40" t="s">
        <v>1312</v>
      </c>
      <c r="D166" s="302" t="s">
        <v>1313</v>
      </c>
      <c r="E166" s="163"/>
      <c r="F166" s="163"/>
      <c r="G166" s="163"/>
      <c r="H166" s="163"/>
      <c r="I166" s="163"/>
      <c r="J166" s="163"/>
      <c r="K166" s="163"/>
      <c r="L166" s="163"/>
      <c r="M166" s="163"/>
    </row>
    <row r="167" spans="1:13">
      <c r="A167" s="69" t="s">
        <v>1314</v>
      </c>
      <c r="B167" s="69" t="s">
        <v>1315</v>
      </c>
      <c r="C167" s="40" t="s">
        <v>1316</v>
      </c>
      <c r="D167" s="302" t="s">
        <v>1313</v>
      </c>
      <c r="E167" s="163"/>
      <c r="F167" s="163"/>
      <c r="G167" s="163"/>
      <c r="H167" s="163"/>
      <c r="I167" s="163"/>
      <c r="J167" s="163"/>
      <c r="K167" s="163"/>
      <c r="L167" s="163"/>
      <c r="M167" s="163"/>
    </row>
    <row r="168" spans="1:13">
      <c r="A168" s="69" t="s">
        <v>1317</v>
      </c>
      <c r="B168" s="69" t="s">
        <v>1318</v>
      </c>
      <c r="C168" s="40" t="s">
        <v>1319</v>
      </c>
      <c r="D168" s="302" t="s">
        <v>1320</v>
      </c>
      <c r="E168" s="163"/>
      <c r="F168" s="163"/>
      <c r="G168" s="163"/>
      <c r="H168" s="163"/>
      <c r="I168" s="163"/>
      <c r="J168" s="163"/>
      <c r="K168" s="163"/>
      <c r="L168" s="163"/>
      <c r="M168" s="163"/>
    </row>
    <row r="169" spans="1:13">
      <c r="A169" s="69" t="s">
        <v>1321</v>
      </c>
      <c r="B169" s="69" t="s">
        <v>1322</v>
      </c>
      <c r="C169" s="40" t="s">
        <v>1323</v>
      </c>
      <c r="D169" s="302" t="s">
        <v>1320</v>
      </c>
      <c r="E169" s="163"/>
      <c r="F169" s="163"/>
      <c r="G169" s="163"/>
      <c r="H169" s="163"/>
      <c r="I169" s="163"/>
      <c r="J169" s="163"/>
      <c r="K169" s="163"/>
      <c r="L169" s="163"/>
      <c r="M169" s="163"/>
    </row>
    <row r="170" spans="1:13">
      <c r="A170" s="69" t="s">
        <v>1324</v>
      </c>
      <c r="B170" s="69" t="s">
        <v>1325</v>
      </c>
      <c r="C170" s="40" t="s">
        <v>1326</v>
      </c>
      <c r="D170" s="302" t="s">
        <v>1313</v>
      </c>
      <c r="E170" s="163"/>
      <c r="F170" s="163"/>
      <c r="G170" s="163"/>
      <c r="H170" s="163"/>
      <c r="I170" s="163"/>
      <c r="J170" s="163"/>
      <c r="K170" s="163"/>
      <c r="L170" s="163"/>
      <c r="M170" s="163"/>
    </row>
    <row r="171" spans="1:13">
      <c r="A171" s="69" t="s">
        <v>1327</v>
      </c>
      <c r="B171" s="69" t="s">
        <v>1328</v>
      </c>
      <c r="C171" s="40" t="s">
        <v>1329</v>
      </c>
      <c r="D171" s="302" t="s">
        <v>1313</v>
      </c>
      <c r="E171" s="163"/>
      <c r="F171" s="163"/>
      <c r="G171" s="163"/>
      <c r="H171" s="163"/>
      <c r="I171" s="163"/>
      <c r="J171" s="163"/>
      <c r="K171" s="163"/>
      <c r="L171" s="163"/>
      <c r="M171" s="163"/>
    </row>
    <row r="172" spans="1:13">
      <c r="A172" s="69" t="s">
        <v>1330</v>
      </c>
      <c r="B172" s="69" t="s">
        <v>1331</v>
      </c>
      <c r="C172" s="40" t="s">
        <v>1332</v>
      </c>
      <c r="D172" s="302" t="s">
        <v>1297</v>
      </c>
      <c r="E172" s="163"/>
      <c r="F172" s="163"/>
      <c r="G172" s="163"/>
      <c r="H172" s="163"/>
      <c r="I172" s="163"/>
      <c r="J172" s="163"/>
      <c r="K172" s="163"/>
      <c r="L172" s="163"/>
      <c r="M172" s="163"/>
    </row>
    <row r="173" spans="1:13">
      <c r="A173" s="69" t="s">
        <v>1333</v>
      </c>
      <c r="B173" s="69" t="s">
        <v>1334</v>
      </c>
      <c r="C173" s="40" t="s">
        <v>1335</v>
      </c>
      <c r="D173" s="302" t="s">
        <v>1301</v>
      </c>
      <c r="E173" s="163"/>
      <c r="F173" s="163"/>
      <c r="G173" s="163"/>
      <c r="H173" s="163"/>
      <c r="I173" s="163"/>
      <c r="J173" s="163"/>
      <c r="K173" s="163"/>
      <c r="L173" s="163"/>
      <c r="M173" s="163"/>
    </row>
    <row r="174" spans="1:13">
      <c r="A174" s="69" t="s">
        <v>1336</v>
      </c>
      <c r="B174" s="69" t="s">
        <v>1337</v>
      </c>
      <c r="C174" s="40" t="s">
        <v>1338</v>
      </c>
      <c r="D174" s="302" t="s">
        <v>1339</v>
      </c>
      <c r="E174" s="163"/>
      <c r="F174" s="163"/>
      <c r="G174" s="163"/>
      <c r="H174" s="163"/>
      <c r="I174" s="163"/>
      <c r="J174" s="163"/>
      <c r="K174" s="163"/>
      <c r="L174" s="163"/>
      <c r="M174" s="163"/>
    </row>
    <row r="175" spans="1:13">
      <c r="A175" s="69" t="s">
        <v>1340</v>
      </c>
      <c r="B175" s="69" t="s">
        <v>1341</v>
      </c>
      <c r="C175" s="40" t="s">
        <v>1342</v>
      </c>
      <c r="D175" s="302" t="s">
        <v>1293</v>
      </c>
      <c r="E175" s="163"/>
      <c r="F175" s="163"/>
      <c r="G175" s="163"/>
      <c r="H175" s="163"/>
      <c r="I175" s="163"/>
      <c r="J175" s="163"/>
      <c r="K175" s="163"/>
      <c r="L175" s="163"/>
      <c r="M175" s="163"/>
    </row>
    <row r="176" spans="1:13">
      <c r="A176" s="69"/>
      <c r="B176" s="48"/>
      <c r="C176" s="107"/>
      <c r="D176" s="47"/>
      <c r="E176" s="163"/>
      <c r="F176" s="163"/>
      <c r="G176" s="163"/>
      <c r="H176" s="163"/>
      <c r="I176" s="163"/>
      <c r="J176" s="163"/>
      <c r="K176" s="163"/>
      <c r="L176" s="163"/>
      <c r="M176" s="163"/>
    </row>
    <row r="177" spans="1:21">
      <c r="A177" s="15" t="s">
        <v>1343</v>
      </c>
      <c r="B177" s="41"/>
      <c r="C177" s="41"/>
      <c r="D177" s="125"/>
      <c r="E177" s="163"/>
      <c r="F177" s="163"/>
      <c r="G177" s="163"/>
      <c r="H177" s="163"/>
      <c r="I177" s="163"/>
      <c r="J177" s="163"/>
      <c r="K177" s="163"/>
      <c r="L177" s="163"/>
      <c r="M177" s="163"/>
    </row>
    <row r="178" spans="1:21">
      <c r="A178" s="69" t="s">
        <v>1344</v>
      </c>
      <c r="B178" s="69" t="s">
        <v>1345</v>
      </c>
      <c r="C178" s="40" t="s">
        <v>1346</v>
      </c>
      <c r="D178" s="114">
        <v>2471</v>
      </c>
      <c r="E178" s="163"/>
      <c r="F178" s="163"/>
      <c r="G178" s="163"/>
      <c r="H178" s="163"/>
      <c r="I178" s="163"/>
      <c r="J178" s="163"/>
      <c r="K178" s="163"/>
      <c r="L178" s="163"/>
      <c r="M178" s="163"/>
    </row>
    <row r="179" spans="1:21">
      <c r="A179" s="69"/>
      <c r="B179" s="48"/>
      <c r="C179" s="40"/>
      <c r="D179" s="47"/>
      <c r="E179" s="163"/>
      <c r="F179" s="163"/>
      <c r="G179" s="163"/>
      <c r="H179" s="163"/>
      <c r="I179" s="163"/>
      <c r="J179" s="163"/>
      <c r="K179" s="163"/>
      <c r="L179" s="163"/>
      <c r="M179" s="163"/>
      <c r="N179" s="163"/>
      <c r="O179" s="163"/>
      <c r="P179" s="163"/>
      <c r="Q179" s="163"/>
      <c r="R179" s="163"/>
      <c r="S179" s="163"/>
      <c r="T179" s="163"/>
      <c r="U179" s="163"/>
    </row>
    <row r="180" spans="1:21">
      <c r="A180" s="15" t="s">
        <v>1347</v>
      </c>
      <c r="B180" s="41"/>
      <c r="C180" s="41"/>
      <c r="D180" s="125"/>
      <c r="E180" s="163"/>
      <c r="F180" s="163"/>
      <c r="G180" s="163"/>
      <c r="H180" s="163"/>
      <c r="I180" s="163"/>
      <c r="J180" s="163"/>
      <c r="K180" s="163"/>
      <c r="L180" s="163"/>
      <c r="M180" s="163"/>
      <c r="N180" s="163"/>
      <c r="O180" s="163"/>
      <c r="P180" s="163"/>
      <c r="Q180" s="163"/>
      <c r="R180" s="163"/>
      <c r="S180" s="163"/>
      <c r="T180" s="163"/>
      <c r="U180" s="163"/>
    </row>
    <row r="181" spans="1:21">
      <c r="A181" s="69" t="s">
        <v>1348</v>
      </c>
      <c r="B181" s="48" t="s">
        <v>1349</v>
      </c>
      <c r="C181" s="40" t="s">
        <v>1350</v>
      </c>
      <c r="D181" s="47">
        <v>3</v>
      </c>
      <c r="E181" s="163"/>
      <c r="F181" s="163"/>
      <c r="G181" s="163"/>
      <c r="H181" s="163"/>
      <c r="I181" s="163"/>
      <c r="J181" s="163"/>
      <c r="K181" s="163"/>
      <c r="L181" s="163"/>
      <c r="M181" s="163"/>
      <c r="N181" s="163"/>
      <c r="O181" s="163"/>
      <c r="P181" s="163"/>
      <c r="Q181" s="163"/>
      <c r="R181" s="163"/>
      <c r="S181" s="163"/>
      <c r="T181" s="163"/>
      <c r="U181" s="163"/>
    </row>
    <row r="182" spans="1:21" ht="27.6">
      <c r="A182" s="42" t="s">
        <v>1351</v>
      </c>
      <c r="B182" s="129" t="s">
        <v>1352</v>
      </c>
      <c r="C182" s="40" t="s">
        <v>1353</v>
      </c>
      <c r="D182" s="47">
        <v>5</v>
      </c>
      <c r="E182" s="163"/>
      <c r="F182" s="163"/>
      <c r="G182" s="163"/>
      <c r="H182" s="163"/>
      <c r="I182" s="163"/>
      <c r="J182" s="163"/>
      <c r="K182" s="163"/>
      <c r="L182" s="163"/>
      <c r="M182" s="163"/>
      <c r="N182" s="163"/>
      <c r="O182" s="163"/>
      <c r="P182" s="163"/>
      <c r="Q182" s="163"/>
      <c r="R182" s="163"/>
      <c r="S182" s="163"/>
      <c r="T182" s="163"/>
      <c r="U182" s="163"/>
    </row>
    <row r="183" spans="1:21">
      <c r="A183" s="42" t="s">
        <v>1354</v>
      </c>
      <c r="B183" s="129" t="s">
        <v>1352</v>
      </c>
      <c r="C183" s="40" t="s">
        <v>1353</v>
      </c>
      <c r="D183" s="47">
        <v>5</v>
      </c>
      <c r="E183" s="163"/>
      <c r="F183" s="163"/>
      <c r="G183" s="163"/>
      <c r="H183" s="163"/>
      <c r="I183" s="163"/>
      <c r="J183" s="163"/>
      <c r="K183" s="163"/>
      <c r="L183" s="163"/>
      <c r="M183" s="163"/>
      <c r="N183" s="163"/>
      <c r="O183" s="163"/>
      <c r="P183" s="163"/>
      <c r="Q183" s="163"/>
      <c r="R183" s="163"/>
      <c r="S183" s="163"/>
      <c r="T183" s="163"/>
      <c r="U183" s="163"/>
    </row>
    <row r="184" spans="1:21">
      <c r="A184" s="69" t="s">
        <v>1355</v>
      </c>
      <c r="B184" s="48" t="s">
        <v>1356</v>
      </c>
      <c r="C184" s="40" t="s">
        <v>1357</v>
      </c>
      <c r="D184" s="47">
        <v>3</v>
      </c>
      <c r="E184" s="163"/>
      <c r="F184" s="163"/>
      <c r="G184" s="163"/>
      <c r="H184" s="163"/>
      <c r="I184" s="163"/>
      <c r="J184" s="163"/>
      <c r="K184" s="163"/>
      <c r="L184" s="163"/>
      <c r="M184" s="163"/>
      <c r="N184" s="163"/>
      <c r="O184" s="163"/>
      <c r="P184" s="163"/>
      <c r="Q184" s="163"/>
      <c r="R184" s="163"/>
      <c r="S184" s="163"/>
      <c r="T184" s="163"/>
      <c r="U184" s="163"/>
    </row>
    <row r="185" spans="1:21" ht="27.6">
      <c r="A185" s="69" t="s">
        <v>1358</v>
      </c>
      <c r="B185" s="48" t="s">
        <v>1359</v>
      </c>
      <c r="C185" s="40" t="s">
        <v>1360</v>
      </c>
      <c r="D185" s="47">
        <v>6</v>
      </c>
      <c r="E185" s="163"/>
      <c r="F185" s="163"/>
      <c r="G185" s="163"/>
      <c r="H185" s="163"/>
      <c r="I185" s="163"/>
      <c r="J185" s="163"/>
      <c r="K185" s="163"/>
      <c r="L185" s="163"/>
      <c r="M185" s="163"/>
      <c r="N185" s="163"/>
      <c r="O185" s="163"/>
      <c r="P185" s="163"/>
      <c r="Q185" s="163"/>
      <c r="R185" s="163"/>
      <c r="S185" s="163"/>
      <c r="T185" s="163"/>
      <c r="U185" s="163"/>
    </row>
    <row r="186" spans="1:21">
      <c r="A186" s="69" t="s">
        <v>1361</v>
      </c>
      <c r="B186" s="48" t="s">
        <v>1362</v>
      </c>
      <c r="C186" s="40" t="s">
        <v>1363</v>
      </c>
      <c r="D186" s="47">
        <v>6</v>
      </c>
      <c r="E186" s="163"/>
      <c r="F186" s="163"/>
      <c r="G186" s="163"/>
      <c r="H186" s="163"/>
      <c r="I186" s="163"/>
      <c r="J186" s="163"/>
      <c r="K186" s="163"/>
      <c r="L186" s="163"/>
      <c r="M186" s="163"/>
      <c r="N186" s="163"/>
      <c r="O186" s="163"/>
      <c r="P186" s="163"/>
      <c r="Q186" s="163"/>
      <c r="R186" s="163"/>
      <c r="S186" s="163"/>
      <c r="T186" s="163"/>
      <c r="U186" s="163"/>
    </row>
    <row r="187" spans="1:21">
      <c r="A187" s="69" t="s">
        <v>1364</v>
      </c>
      <c r="B187" s="48" t="s">
        <v>1365</v>
      </c>
      <c r="C187" s="40" t="s">
        <v>1366</v>
      </c>
      <c r="D187" s="47">
        <v>2</v>
      </c>
      <c r="E187" s="163"/>
      <c r="F187" s="163"/>
      <c r="G187" s="163"/>
      <c r="H187" s="163"/>
      <c r="I187" s="163"/>
      <c r="J187" s="163"/>
      <c r="K187" s="163"/>
      <c r="L187" s="163"/>
      <c r="M187" s="163"/>
      <c r="N187" s="163"/>
      <c r="O187" s="163"/>
      <c r="P187" s="163"/>
      <c r="Q187" s="163"/>
      <c r="R187" s="163"/>
      <c r="S187" s="163"/>
      <c r="T187" s="163"/>
      <c r="U187" s="163"/>
    </row>
    <row r="188" spans="1:21">
      <c r="A188" s="69" t="s">
        <v>1367</v>
      </c>
      <c r="B188" s="48" t="s">
        <v>1368</v>
      </c>
      <c r="C188" s="40" t="s">
        <v>1369</v>
      </c>
      <c r="D188" s="47">
        <v>2</v>
      </c>
      <c r="E188" s="163"/>
      <c r="F188" s="163"/>
      <c r="G188" s="163"/>
      <c r="H188" s="163"/>
      <c r="I188" s="163"/>
      <c r="J188" s="163"/>
      <c r="K188" s="163"/>
      <c r="L188" s="163"/>
      <c r="M188" s="163"/>
      <c r="N188" s="163"/>
      <c r="O188" s="163"/>
      <c r="P188" s="163"/>
      <c r="Q188" s="163"/>
      <c r="R188" s="163"/>
      <c r="S188" s="163"/>
      <c r="T188" s="163"/>
      <c r="U188" s="163"/>
    </row>
    <row r="189" spans="1:21">
      <c r="A189" s="69" t="s">
        <v>1370</v>
      </c>
      <c r="B189" s="48" t="s">
        <v>1371</v>
      </c>
      <c r="C189" s="40" t="s">
        <v>1372</v>
      </c>
      <c r="D189" s="47">
        <v>2</v>
      </c>
      <c r="E189" s="163"/>
      <c r="F189" s="163"/>
      <c r="G189" s="163"/>
      <c r="H189" s="163"/>
      <c r="I189" s="163"/>
      <c r="J189" s="163"/>
      <c r="K189" s="163"/>
      <c r="L189" s="163"/>
      <c r="M189" s="163"/>
      <c r="N189" s="163"/>
      <c r="O189" s="163"/>
      <c r="P189" s="163"/>
      <c r="Q189" s="163"/>
      <c r="R189" s="163"/>
      <c r="S189" s="163"/>
      <c r="T189" s="163"/>
      <c r="U189" s="163"/>
    </row>
    <row r="190" spans="1:21">
      <c r="A190" s="132" t="s">
        <v>1373</v>
      </c>
      <c r="B190" s="230" t="s">
        <v>1374</v>
      </c>
      <c r="C190" s="107" t="s">
        <v>1375</v>
      </c>
      <c r="D190" s="217">
        <v>5</v>
      </c>
      <c r="E190" s="163"/>
      <c r="F190" s="163"/>
      <c r="G190" s="163"/>
      <c r="H190" s="163"/>
      <c r="I190" s="163"/>
      <c r="J190" s="163"/>
      <c r="K190" s="163"/>
      <c r="L190" s="163"/>
      <c r="M190" s="163"/>
      <c r="N190" s="163"/>
      <c r="O190" s="163"/>
      <c r="P190" s="163"/>
      <c r="Q190" s="163"/>
      <c r="R190" s="163"/>
      <c r="S190" s="163"/>
      <c r="T190" s="163"/>
      <c r="U190" s="163"/>
    </row>
    <row r="191" spans="1:21">
      <c r="A191" s="132" t="s">
        <v>1376</v>
      </c>
      <c r="B191" s="230" t="s">
        <v>1377</v>
      </c>
      <c r="C191" s="107" t="s">
        <v>1378</v>
      </c>
      <c r="D191" s="217">
        <v>20</v>
      </c>
      <c r="E191" s="163"/>
      <c r="F191" s="163"/>
      <c r="G191" s="163"/>
      <c r="H191" s="163"/>
      <c r="I191" s="163"/>
      <c r="J191" s="163"/>
      <c r="K191" s="163"/>
      <c r="L191" s="163"/>
      <c r="M191" s="163"/>
      <c r="N191" s="163"/>
      <c r="O191" s="163"/>
      <c r="P191" s="163"/>
      <c r="Q191" s="163"/>
      <c r="R191" s="163"/>
      <c r="S191" s="163"/>
      <c r="T191" s="163"/>
      <c r="U191" s="163"/>
    </row>
    <row r="192" spans="1:21">
      <c r="A192" s="132"/>
      <c r="B192" s="230"/>
      <c r="C192" s="107"/>
      <c r="D192" s="217"/>
      <c r="E192" s="163"/>
      <c r="F192" s="163"/>
      <c r="G192" s="163"/>
      <c r="H192" s="163"/>
      <c r="I192" s="163"/>
      <c r="J192" s="163"/>
      <c r="K192" s="163"/>
      <c r="L192" s="163"/>
      <c r="M192" s="163"/>
      <c r="N192" s="163"/>
      <c r="O192" s="163"/>
      <c r="P192" s="163"/>
      <c r="Q192" s="163"/>
      <c r="R192" s="163"/>
      <c r="S192" s="163"/>
      <c r="T192" s="163"/>
      <c r="U192" s="163"/>
    </row>
    <row r="193" spans="1:21">
      <c r="A193" s="15" t="s">
        <v>1379</v>
      </c>
      <c r="B193" s="41"/>
      <c r="C193" s="41"/>
      <c r="D193" s="125"/>
      <c r="E193" s="163"/>
      <c r="F193" s="163"/>
      <c r="G193" s="163"/>
      <c r="H193" s="163"/>
      <c r="I193" s="163"/>
      <c r="J193" s="163"/>
      <c r="K193" s="163"/>
      <c r="L193" s="163"/>
      <c r="M193" s="163"/>
      <c r="N193" s="163"/>
      <c r="O193" s="163"/>
      <c r="P193" s="163"/>
      <c r="Q193" s="163"/>
      <c r="R193" s="163"/>
      <c r="S193" s="163"/>
      <c r="T193" s="163"/>
      <c r="U193" s="163"/>
    </row>
    <row r="194" spans="1:21">
      <c r="A194" s="129" t="s">
        <v>1380</v>
      </c>
      <c r="B194" s="129" t="s">
        <v>1380</v>
      </c>
      <c r="C194" s="40" t="s">
        <v>1381</v>
      </c>
      <c r="D194" s="47">
        <v>23</v>
      </c>
      <c r="E194" s="163"/>
      <c r="F194" s="163"/>
      <c r="G194" s="163"/>
      <c r="H194" s="163"/>
      <c r="I194" s="163"/>
      <c r="J194" s="163"/>
      <c r="K194" s="163"/>
      <c r="L194" s="163"/>
      <c r="M194" s="163"/>
      <c r="N194" s="163"/>
      <c r="O194" s="163"/>
      <c r="P194" s="163"/>
      <c r="Q194" s="163"/>
      <c r="R194" s="163"/>
      <c r="S194" s="163"/>
      <c r="T194" s="163"/>
      <c r="U194" s="163"/>
    </row>
    <row r="195" spans="1:21">
      <c r="A195" s="129" t="s">
        <v>1382</v>
      </c>
      <c r="B195" s="129" t="s">
        <v>1382</v>
      </c>
      <c r="C195" s="40" t="s">
        <v>1383</v>
      </c>
      <c r="D195" s="47">
        <v>10</v>
      </c>
      <c r="E195" s="163"/>
      <c r="F195" s="163"/>
      <c r="G195" s="163"/>
      <c r="H195" s="163"/>
      <c r="I195" s="163"/>
      <c r="J195" s="163"/>
      <c r="K195" s="163"/>
      <c r="L195" s="163"/>
      <c r="M195" s="163"/>
      <c r="N195" s="163"/>
      <c r="O195" s="163"/>
      <c r="P195" s="163"/>
      <c r="Q195" s="163"/>
      <c r="R195" s="163"/>
      <c r="S195" s="163"/>
      <c r="T195" s="163"/>
      <c r="U195" s="163"/>
    </row>
    <row r="196" spans="1:21">
      <c r="A196" s="129" t="s">
        <v>1384</v>
      </c>
      <c r="B196" s="129" t="s">
        <v>1384</v>
      </c>
      <c r="C196" s="40" t="s">
        <v>1385</v>
      </c>
      <c r="D196" s="47">
        <v>2</v>
      </c>
      <c r="E196" s="163"/>
      <c r="F196" s="163"/>
      <c r="G196" s="163"/>
      <c r="H196" s="163"/>
      <c r="I196" s="163"/>
      <c r="J196" s="163"/>
      <c r="K196" s="163"/>
      <c r="L196" s="163"/>
      <c r="M196" s="163"/>
      <c r="N196" s="163"/>
      <c r="O196" s="163"/>
      <c r="P196" s="163"/>
      <c r="Q196" s="163"/>
      <c r="R196" s="163"/>
      <c r="S196" s="163"/>
      <c r="T196" s="163"/>
      <c r="U196" s="163"/>
    </row>
    <row r="197" spans="1:21">
      <c r="A197" s="129"/>
      <c r="B197" s="129"/>
      <c r="C197" s="40"/>
      <c r="D197" s="47"/>
      <c r="E197" s="163"/>
      <c r="F197" s="163"/>
      <c r="G197" s="163"/>
      <c r="H197" s="163"/>
      <c r="I197" s="163"/>
      <c r="J197" s="163"/>
      <c r="K197" s="163"/>
      <c r="L197" s="163"/>
      <c r="M197" s="163"/>
      <c r="N197" s="163"/>
      <c r="O197" s="163"/>
      <c r="P197" s="163"/>
      <c r="Q197" s="163"/>
      <c r="R197" s="163"/>
      <c r="S197" s="163"/>
      <c r="T197" s="163"/>
      <c r="U197" s="163"/>
    </row>
    <row r="198" spans="1:21" ht="27.6">
      <c r="A198" s="15" t="s">
        <v>1386</v>
      </c>
      <c r="B198" s="41"/>
      <c r="C198" s="41"/>
      <c r="D198" s="125"/>
      <c r="E198" s="163"/>
      <c r="F198" s="163"/>
      <c r="G198" s="163"/>
      <c r="H198" s="163"/>
      <c r="I198" s="163"/>
      <c r="J198" s="163"/>
      <c r="K198" s="163"/>
      <c r="L198" s="163"/>
      <c r="M198" s="163"/>
      <c r="N198" s="163"/>
      <c r="O198" s="163"/>
      <c r="P198" s="163"/>
      <c r="Q198" s="163"/>
      <c r="R198" s="163"/>
      <c r="S198" s="163"/>
      <c r="T198" s="163"/>
      <c r="U198" s="163"/>
    </row>
    <row r="199" spans="1:21">
      <c r="A199" s="129" t="s">
        <v>1387</v>
      </c>
      <c r="B199" s="129" t="s">
        <v>1388</v>
      </c>
      <c r="C199" s="40" t="s">
        <v>1389</v>
      </c>
      <c r="D199" s="47">
        <v>75</v>
      </c>
      <c r="E199" s="163"/>
      <c r="F199" s="163"/>
      <c r="G199" s="163"/>
      <c r="H199" s="163"/>
      <c r="I199" s="163"/>
      <c r="J199" s="163"/>
      <c r="K199" s="163"/>
      <c r="L199" s="163"/>
      <c r="M199" s="163"/>
      <c r="N199" s="163"/>
      <c r="O199" s="163"/>
      <c r="P199" s="163"/>
      <c r="Q199" s="163"/>
      <c r="R199" s="163"/>
      <c r="S199" s="163"/>
      <c r="T199" s="163"/>
      <c r="U199" s="163"/>
    </row>
    <row r="200" spans="1:21">
      <c r="A200" s="129" t="s">
        <v>1390</v>
      </c>
      <c r="B200" s="129" t="s">
        <v>1391</v>
      </c>
      <c r="C200" s="40" t="s">
        <v>1392</v>
      </c>
      <c r="D200" s="47">
        <v>36</v>
      </c>
      <c r="E200" s="163"/>
      <c r="F200" s="163"/>
      <c r="G200" s="163"/>
      <c r="H200" s="163"/>
      <c r="I200" s="163"/>
      <c r="J200" s="163"/>
      <c r="K200" s="163"/>
      <c r="L200" s="163"/>
      <c r="M200" s="163"/>
      <c r="N200" s="163"/>
      <c r="O200" s="163"/>
      <c r="P200" s="163"/>
      <c r="Q200" s="163"/>
      <c r="R200" s="163"/>
      <c r="S200" s="163"/>
      <c r="T200" s="163"/>
      <c r="U200" s="163"/>
    </row>
    <row r="201" spans="1:21">
      <c r="A201" s="129" t="s">
        <v>1393</v>
      </c>
      <c r="B201" s="129" t="s">
        <v>1394</v>
      </c>
      <c r="C201" s="40" t="s">
        <v>1395</v>
      </c>
      <c r="D201" s="47">
        <v>75</v>
      </c>
      <c r="E201" s="163"/>
      <c r="F201" s="163"/>
      <c r="G201" s="163"/>
      <c r="H201" s="163"/>
      <c r="I201" s="163"/>
      <c r="J201" s="163"/>
      <c r="K201" s="163"/>
      <c r="L201" s="163"/>
      <c r="M201" s="163"/>
      <c r="N201" s="163"/>
      <c r="O201" s="163"/>
      <c r="P201" s="163"/>
      <c r="Q201" s="163"/>
      <c r="R201" s="163"/>
      <c r="S201" s="163"/>
      <c r="T201" s="163"/>
      <c r="U201" s="163"/>
    </row>
    <row r="202" spans="1:21">
      <c r="A202" s="129" t="s">
        <v>1396</v>
      </c>
      <c r="B202" s="129" t="s">
        <v>1397</v>
      </c>
      <c r="C202" s="40" t="s">
        <v>1398</v>
      </c>
      <c r="D202" s="47">
        <v>36</v>
      </c>
      <c r="E202" s="163"/>
      <c r="F202" s="163"/>
      <c r="G202" s="163"/>
      <c r="H202" s="163"/>
      <c r="I202" s="163"/>
      <c r="J202" s="163"/>
      <c r="K202" s="163"/>
      <c r="L202" s="163"/>
      <c r="M202" s="163"/>
      <c r="N202" s="163"/>
      <c r="O202" s="163"/>
      <c r="P202" s="163"/>
      <c r="Q202" s="163"/>
      <c r="R202" s="163"/>
      <c r="S202" s="163"/>
      <c r="T202" s="163"/>
      <c r="U202" s="163"/>
    </row>
    <row r="203" spans="1:21">
      <c r="A203" s="129"/>
      <c r="B203" s="129"/>
      <c r="C203" s="40"/>
      <c r="D203" s="47"/>
      <c r="E203" s="163"/>
      <c r="F203" s="163"/>
      <c r="G203" s="163"/>
      <c r="H203" s="163"/>
      <c r="I203" s="163"/>
      <c r="J203" s="163"/>
      <c r="K203" s="163"/>
      <c r="L203" s="163"/>
      <c r="M203" s="163"/>
      <c r="N203" s="163"/>
      <c r="O203" s="163"/>
      <c r="P203" s="163"/>
      <c r="Q203" s="163"/>
      <c r="R203" s="163"/>
      <c r="S203" s="163"/>
      <c r="T203" s="163"/>
      <c r="U203" s="163"/>
    </row>
    <row r="204" spans="1:21" ht="27.6">
      <c r="A204" s="15" t="s">
        <v>1399</v>
      </c>
      <c r="B204" s="41"/>
      <c r="C204" s="41"/>
      <c r="D204" s="125"/>
      <c r="E204" s="163"/>
      <c r="F204" s="163"/>
      <c r="G204" s="163"/>
      <c r="H204" s="163"/>
      <c r="I204" s="163"/>
      <c r="J204" s="163"/>
      <c r="K204" s="163"/>
      <c r="L204" s="163"/>
      <c r="M204" s="163"/>
      <c r="N204" s="163"/>
      <c r="O204" s="163"/>
      <c r="P204" s="163"/>
      <c r="Q204" s="163"/>
      <c r="R204" s="163"/>
      <c r="S204" s="163"/>
      <c r="T204" s="163"/>
      <c r="U204" s="163"/>
    </row>
    <row r="205" spans="1:21">
      <c r="A205" s="96" t="s">
        <v>1400</v>
      </c>
      <c r="B205" s="96" t="s">
        <v>1401</v>
      </c>
      <c r="C205" s="107" t="s">
        <v>1402</v>
      </c>
      <c r="D205" s="217">
        <v>8</v>
      </c>
      <c r="E205" s="163"/>
      <c r="F205" s="163"/>
      <c r="G205" s="163"/>
      <c r="H205" s="163"/>
      <c r="I205" s="163"/>
      <c r="J205" s="163"/>
      <c r="K205" s="163"/>
      <c r="L205" s="163"/>
      <c r="M205" s="163"/>
      <c r="N205" s="163"/>
      <c r="O205" s="163"/>
      <c r="P205" s="163"/>
      <c r="Q205" s="163"/>
      <c r="R205" s="163"/>
      <c r="S205" s="163"/>
      <c r="T205" s="163"/>
      <c r="U205" s="163"/>
    </row>
    <row r="206" spans="1:21">
      <c r="A206" s="96" t="s">
        <v>1403</v>
      </c>
      <c r="B206" s="96" t="s">
        <v>1403</v>
      </c>
      <c r="C206" s="107" t="s">
        <v>1404</v>
      </c>
      <c r="D206" s="217">
        <v>6</v>
      </c>
      <c r="E206" s="163"/>
      <c r="F206" s="163"/>
      <c r="G206" s="163"/>
      <c r="H206" s="163"/>
      <c r="I206" s="163"/>
      <c r="J206" s="163"/>
      <c r="K206" s="163"/>
      <c r="L206" s="163"/>
      <c r="M206" s="163"/>
      <c r="N206" s="163"/>
      <c r="O206" s="163"/>
      <c r="P206" s="163"/>
      <c r="Q206" s="163"/>
      <c r="R206" s="163"/>
      <c r="S206" s="163"/>
      <c r="T206" s="163"/>
      <c r="U206" s="163"/>
    </row>
    <row r="207" spans="1:21">
      <c r="A207" s="96" t="s">
        <v>1405</v>
      </c>
      <c r="B207" s="96" t="s">
        <v>1406</v>
      </c>
      <c r="C207" s="107" t="s">
        <v>1407</v>
      </c>
      <c r="D207" s="217">
        <v>18</v>
      </c>
      <c r="E207" s="163"/>
      <c r="F207" s="163"/>
      <c r="G207" s="163"/>
      <c r="H207" s="163"/>
      <c r="I207" s="163"/>
      <c r="J207" s="163"/>
      <c r="K207" s="163"/>
      <c r="L207" s="163"/>
      <c r="M207" s="163"/>
      <c r="N207" s="163"/>
      <c r="O207" s="163"/>
      <c r="P207" s="163"/>
      <c r="Q207" s="163"/>
      <c r="R207" s="163"/>
      <c r="S207" s="163"/>
      <c r="T207" s="163"/>
      <c r="U207" s="163"/>
    </row>
    <row r="208" spans="1:21">
      <c r="A208" s="96" t="s">
        <v>1408</v>
      </c>
      <c r="B208" s="96" t="s">
        <v>1409</v>
      </c>
      <c r="C208" s="107" t="s">
        <v>1410</v>
      </c>
      <c r="D208" s="217">
        <v>8</v>
      </c>
      <c r="E208" s="163"/>
      <c r="F208" s="163"/>
      <c r="G208" s="163"/>
      <c r="H208" s="163"/>
      <c r="I208" s="163"/>
      <c r="J208" s="163"/>
      <c r="K208" s="163"/>
      <c r="L208" s="163"/>
      <c r="M208" s="163"/>
      <c r="N208" s="163"/>
      <c r="O208" s="163"/>
      <c r="P208" s="163"/>
      <c r="Q208" s="163"/>
      <c r="R208" s="163"/>
      <c r="S208" s="163"/>
      <c r="T208" s="163"/>
      <c r="U208" s="163"/>
    </row>
    <row r="209" spans="1:21">
      <c r="A209" s="96" t="s">
        <v>1411</v>
      </c>
      <c r="B209" s="96" t="s">
        <v>1412</v>
      </c>
      <c r="C209" s="107" t="s">
        <v>1413</v>
      </c>
      <c r="D209" s="217">
        <v>4</v>
      </c>
      <c r="E209" s="163"/>
      <c r="F209" s="163"/>
      <c r="G209" s="163"/>
      <c r="H209" s="163"/>
      <c r="I209" s="163"/>
      <c r="J209" s="163"/>
      <c r="K209" s="163"/>
      <c r="L209" s="163"/>
      <c r="M209" s="163"/>
      <c r="N209" s="163"/>
      <c r="O209" s="163"/>
      <c r="P209" s="163"/>
      <c r="Q209" s="163"/>
      <c r="R209" s="163"/>
      <c r="S209" s="163"/>
      <c r="T209" s="163"/>
      <c r="U209" s="163"/>
    </row>
    <row r="210" spans="1:21">
      <c r="A210" s="96" t="s">
        <v>1414</v>
      </c>
      <c r="B210" s="96" t="s">
        <v>1415</v>
      </c>
      <c r="C210" s="107" t="s">
        <v>1416</v>
      </c>
      <c r="D210" s="217">
        <v>4</v>
      </c>
      <c r="E210" s="163"/>
      <c r="F210" s="163"/>
      <c r="G210" s="163"/>
      <c r="H210" s="163"/>
      <c r="I210" s="163"/>
      <c r="J210" s="163"/>
      <c r="K210" s="163"/>
      <c r="L210" s="163"/>
      <c r="M210" s="163"/>
      <c r="N210" s="163"/>
      <c r="O210" s="163"/>
      <c r="P210" s="163"/>
      <c r="Q210" s="163"/>
      <c r="R210" s="163"/>
      <c r="S210" s="163"/>
      <c r="T210" s="163"/>
      <c r="U210" s="163"/>
    </row>
    <row r="211" spans="1:21">
      <c r="A211" s="96" t="s">
        <v>1417</v>
      </c>
      <c r="B211" s="96" t="s">
        <v>1418</v>
      </c>
      <c r="C211" s="107" t="s">
        <v>1419</v>
      </c>
      <c r="D211" s="217">
        <v>4</v>
      </c>
      <c r="E211" s="163"/>
      <c r="F211" s="163"/>
      <c r="G211" s="163"/>
      <c r="H211" s="163"/>
      <c r="I211" s="163"/>
      <c r="J211" s="163"/>
      <c r="K211" s="163"/>
      <c r="L211" s="163"/>
      <c r="M211" s="163"/>
      <c r="N211" s="163"/>
      <c r="O211" s="163"/>
      <c r="P211" s="163"/>
      <c r="Q211" s="163"/>
      <c r="R211" s="163"/>
      <c r="S211" s="163"/>
      <c r="T211" s="163"/>
      <c r="U211" s="163"/>
    </row>
    <row r="212" spans="1:21">
      <c r="A212" s="96" t="s">
        <v>1420</v>
      </c>
      <c r="B212" s="96" t="s">
        <v>1421</v>
      </c>
      <c r="C212" s="107" t="s">
        <v>1422</v>
      </c>
      <c r="D212" s="217">
        <v>4</v>
      </c>
      <c r="E212" s="163"/>
      <c r="F212" s="163"/>
      <c r="G212" s="163"/>
      <c r="H212" s="163"/>
      <c r="I212" s="163"/>
      <c r="J212" s="163"/>
      <c r="K212" s="163"/>
      <c r="L212" s="163"/>
      <c r="M212" s="163"/>
      <c r="N212" s="163"/>
      <c r="O212" s="163"/>
      <c r="P212" s="163"/>
      <c r="Q212" s="163"/>
      <c r="R212" s="163"/>
      <c r="S212" s="163"/>
      <c r="T212" s="163"/>
      <c r="U212" s="163"/>
    </row>
    <row r="213" spans="1:21">
      <c r="A213" s="96" t="s">
        <v>1423</v>
      </c>
      <c r="B213" s="96" t="s">
        <v>1424</v>
      </c>
      <c r="C213" s="107" t="s">
        <v>1425</v>
      </c>
      <c r="D213" s="217">
        <v>10</v>
      </c>
      <c r="E213" s="163"/>
      <c r="F213" s="163"/>
      <c r="G213" s="163"/>
      <c r="H213" s="163"/>
      <c r="I213" s="163"/>
      <c r="J213" s="163"/>
      <c r="K213" s="163"/>
      <c r="L213" s="163"/>
      <c r="M213" s="163"/>
      <c r="N213" s="163"/>
      <c r="O213" s="163"/>
      <c r="P213" s="163"/>
      <c r="Q213" s="163"/>
      <c r="R213" s="163"/>
      <c r="S213" s="163"/>
      <c r="T213" s="163"/>
      <c r="U213" s="163"/>
    </row>
    <row r="214" spans="1:21">
      <c r="A214" s="96" t="s">
        <v>1426</v>
      </c>
      <c r="B214" s="96" t="s">
        <v>1427</v>
      </c>
      <c r="C214" s="107" t="s">
        <v>1428</v>
      </c>
      <c r="D214" s="217">
        <v>4</v>
      </c>
      <c r="E214" s="163"/>
      <c r="F214" s="163"/>
      <c r="G214" s="163"/>
      <c r="H214" s="163"/>
      <c r="I214" s="163"/>
      <c r="J214" s="163"/>
      <c r="K214" s="163"/>
      <c r="L214" s="163"/>
      <c r="M214" s="163"/>
      <c r="N214" s="163"/>
      <c r="O214" s="163"/>
      <c r="P214" s="163"/>
      <c r="Q214" s="163"/>
      <c r="R214" s="163"/>
      <c r="S214" s="163"/>
      <c r="T214" s="163"/>
      <c r="U214" s="163"/>
    </row>
    <row r="215" spans="1:21">
      <c r="A215" s="96" t="s">
        <v>1429</v>
      </c>
      <c r="B215" s="96" t="s">
        <v>1430</v>
      </c>
      <c r="C215" s="107" t="s">
        <v>1431</v>
      </c>
      <c r="D215" s="217">
        <v>18</v>
      </c>
      <c r="E215" s="163"/>
      <c r="F215" s="163"/>
      <c r="G215" s="163"/>
      <c r="H215" s="163"/>
      <c r="I215" s="163"/>
      <c r="J215" s="163"/>
      <c r="K215" s="163"/>
      <c r="L215" s="163"/>
      <c r="M215" s="163"/>
      <c r="N215" s="163"/>
      <c r="O215" s="163"/>
      <c r="P215" s="163"/>
      <c r="Q215" s="163"/>
      <c r="R215" s="163"/>
      <c r="S215" s="163"/>
      <c r="T215" s="163"/>
      <c r="U215" s="163"/>
    </row>
    <row r="216" spans="1:21" ht="28.2">
      <c r="A216" s="129" t="s">
        <v>1432</v>
      </c>
      <c r="B216" s="129" t="s">
        <v>1433</v>
      </c>
      <c r="C216" s="40" t="s">
        <v>1434</v>
      </c>
      <c r="D216" s="47">
        <v>3</v>
      </c>
      <c r="E216"/>
      <c r="F216" s="163"/>
      <c r="G216" s="163"/>
      <c r="H216" s="163"/>
      <c r="I216" s="163"/>
      <c r="J216" s="163"/>
      <c r="K216" s="163"/>
      <c r="L216" s="163"/>
      <c r="M216" s="163"/>
      <c r="N216" s="163"/>
      <c r="O216" s="163"/>
      <c r="P216" s="163"/>
      <c r="Q216" s="163"/>
      <c r="R216" s="163"/>
      <c r="S216" s="163"/>
      <c r="T216" s="163"/>
      <c r="U216" s="163"/>
    </row>
    <row r="217" spans="1:21">
      <c r="A217" s="129"/>
      <c r="B217" s="129"/>
      <c r="C217" s="129"/>
      <c r="D217" s="193"/>
      <c r="E217" s="163"/>
      <c r="F217" s="163"/>
      <c r="G217" s="163"/>
      <c r="H217" s="163"/>
      <c r="I217" s="163"/>
      <c r="J217" s="163"/>
      <c r="K217" s="163"/>
      <c r="L217" s="163"/>
      <c r="M217" s="163"/>
      <c r="N217" s="163"/>
      <c r="O217" s="163"/>
      <c r="P217" s="163"/>
      <c r="Q217" s="163"/>
      <c r="R217" s="163"/>
      <c r="S217" s="163"/>
      <c r="T217" s="163"/>
      <c r="U217" s="163"/>
    </row>
    <row r="218" spans="1:21">
      <c r="A218" s="15" t="s">
        <v>1435</v>
      </c>
      <c r="B218" s="41"/>
      <c r="C218" s="41"/>
      <c r="D218" s="125"/>
      <c r="E218" s="163"/>
      <c r="F218" s="163"/>
      <c r="G218" s="163"/>
      <c r="H218" s="163"/>
      <c r="I218" s="163"/>
      <c r="J218" s="163"/>
      <c r="K218" s="163"/>
      <c r="L218" s="163"/>
      <c r="M218" s="163"/>
      <c r="N218" s="163"/>
      <c r="O218" s="163"/>
      <c r="P218" s="163"/>
      <c r="Q218" s="163"/>
      <c r="R218" s="163"/>
      <c r="S218" s="163"/>
      <c r="T218" s="163"/>
      <c r="U218" s="163"/>
    </row>
    <row r="219" spans="1:21" ht="27.6">
      <c r="A219" s="48" t="s">
        <v>1436</v>
      </c>
      <c r="B219" s="48" t="s">
        <v>1437</v>
      </c>
      <c r="C219" s="40" t="s">
        <v>1438</v>
      </c>
      <c r="D219" s="123">
        <v>69</v>
      </c>
      <c r="E219" s="163"/>
      <c r="F219" s="163"/>
      <c r="G219" s="163"/>
      <c r="H219" s="163"/>
      <c r="I219" s="163"/>
      <c r="J219" s="163"/>
      <c r="K219" s="163"/>
      <c r="L219" s="163"/>
      <c r="M219" s="163"/>
      <c r="N219" s="163"/>
      <c r="O219" s="163"/>
      <c r="P219" s="163"/>
      <c r="Q219" s="163"/>
      <c r="R219" s="163"/>
      <c r="S219" s="163"/>
      <c r="T219" s="163"/>
      <c r="U219" s="163"/>
    </row>
    <row r="220" spans="1:21" ht="27.6">
      <c r="A220" s="48" t="s">
        <v>1436</v>
      </c>
      <c r="B220" s="48" t="s">
        <v>1439</v>
      </c>
      <c r="C220" s="40" t="s">
        <v>1440</v>
      </c>
      <c r="D220" s="123">
        <v>62</v>
      </c>
      <c r="E220" s="163"/>
      <c r="F220" s="163"/>
      <c r="G220" s="163"/>
      <c r="H220" s="163"/>
      <c r="I220" s="163"/>
      <c r="J220" s="163"/>
      <c r="K220" s="163"/>
      <c r="L220" s="163"/>
      <c r="M220" s="163"/>
      <c r="N220" s="163"/>
      <c r="O220" s="163"/>
      <c r="P220" s="163"/>
      <c r="Q220" s="163"/>
      <c r="R220" s="163"/>
      <c r="S220" s="163"/>
      <c r="T220" s="163"/>
      <c r="U220" s="163"/>
    </row>
    <row r="221" spans="1:21" ht="27.6">
      <c r="A221" s="48" t="s">
        <v>1441</v>
      </c>
      <c r="B221" s="48" t="s">
        <v>1442</v>
      </c>
      <c r="C221" s="40" t="s">
        <v>1443</v>
      </c>
      <c r="D221" s="146">
        <v>48</v>
      </c>
      <c r="E221" s="163"/>
      <c r="F221" s="163"/>
      <c r="G221" s="163"/>
      <c r="H221" s="163"/>
      <c r="I221" s="163"/>
      <c r="J221" s="163"/>
      <c r="K221" s="163"/>
      <c r="L221" s="163"/>
      <c r="M221" s="163"/>
      <c r="N221" s="163"/>
      <c r="O221" s="163"/>
      <c r="P221" s="163"/>
      <c r="Q221" s="163"/>
      <c r="R221" s="163"/>
      <c r="S221" s="163"/>
      <c r="T221" s="163"/>
      <c r="U221" s="163"/>
    </row>
    <row r="222" spans="1:21">
      <c r="A222" s="84"/>
      <c r="B222" s="84"/>
      <c r="C222" s="40"/>
      <c r="D222" s="47"/>
      <c r="E222" s="163"/>
      <c r="F222" s="163"/>
      <c r="G222" s="163"/>
      <c r="H222" s="163"/>
      <c r="I222" s="163"/>
      <c r="J222" s="163"/>
      <c r="K222" s="163"/>
      <c r="L222" s="163"/>
      <c r="M222" s="163"/>
      <c r="N222" s="163"/>
      <c r="O222" s="163"/>
      <c r="P222" s="163"/>
      <c r="Q222" s="163"/>
      <c r="R222" s="163"/>
      <c r="S222" s="163"/>
      <c r="T222" s="163"/>
      <c r="U222" s="163"/>
    </row>
    <row r="223" spans="1:21" ht="27.6">
      <c r="A223" s="15" t="s">
        <v>1444</v>
      </c>
      <c r="B223" s="41"/>
      <c r="C223" s="41"/>
      <c r="D223" s="125"/>
      <c r="E223" s="163"/>
      <c r="F223" s="163"/>
      <c r="G223" s="163"/>
      <c r="H223" s="163"/>
      <c r="I223" s="163"/>
      <c r="J223" s="163"/>
      <c r="K223" s="163"/>
      <c r="L223" s="163"/>
      <c r="M223" s="163"/>
      <c r="N223" s="163"/>
      <c r="O223" s="163"/>
      <c r="P223" s="163"/>
      <c r="Q223" s="163"/>
      <c r="R223" s="163"/>
      <c r="S223" s="163"/>
      <c r="T223" s="163"/>
      <c r="U223" s="163"/>
    </row>
    <row r="224" spans="1:21" ht="27.6">
      <c r="A224" s="230" t="s">
        <v>1445</v>
      </c>
      <c r="B224" s="230" t="s">
        <v>1446</v>
      </c>
      <c r="C224" s="107" t="s">
        <v>1447</v>
      </c>
      <c r="D224" s="147">
        <v>50</v>
      </c>
      <c r="E224" s="163"/>
      <c r="F224" s="163"/>
      <c r="G224" s="163"/>
      <c r="H224" s="163"/>
      <c r="I224" s="163"/>
      <c r="J224" s="163"/>
      <c r="K224" s="163"/>
      <c r="L224" s="163"/>
      <c r="M224" s="163"/>
      <c r="N224" s="163"/>
      <c r="O224" s="163"/>
      <c r="P224" s="163"/>
      <c r="Q224" s="163"/>
      <c r="R224" s="163"/>
      <c r="S224" s="163"/>
      <c r="T224" s="163"/>
      <c r="U224" s="163"/>
    </row>
    <row r="225" spans="1:21" ht="27.6">
      <c r="A225" s="230" t="s">
        <v>1448</v>
      </c>
      <c r="B225" s="230" t="s">
        <v>1446</v>
      </c>
      <c r="C225" s="107" t="s">
        <v>1449</v>
      </c>
      <c r="D225" s="147">
        <v>18</v>
      </c>
      <c r="E225" s="163"/>
      <c r="F225" s="163"/>
      <c r="G225" s="163"/>
      <c r="H225" s="163"/>
      <c r="I225" s="163"/>
      <c r="J225" s="163"/>
      <c r="K225" s="163"/>
      <c r="L225" s="163"/>
      <c r="M225" s="163"/>
      <c r="N225" s="163"/>
      <c r="O225" s="163"/>
      <c r="P225" s="163"/>
      <c r="Q225" s="163"/>
      <c r="R225" s="163"/>
      <c r="S225" s="163"/>
      <c r="T225" s="163"/>
      <c r="U225" s="163"/>
    </row>
    <row r="226" spans="1:21">
      <c r="A226" s="230" t="s">
        <v>1450</v>
      </c>
      <c r="B226" s="230" t="s">
        <v>1446</v>
      </c>
      <c r="C226" s="107" t="s">
        <v>1451</v>
      </c>
      <c r="D226" s="133">
        <v>36</v>
      </c>
      <c r="E226" s="163"/>
      <c r="F226" s="163"/>
      <c r="G226" s="163"/>
      <c r="H226" s="163"/>
      <c r="I226" s="163"/>
      <c r="J226" s="163"/>
      <c r="K226" s="163"/>
      <c r="L226" s="163"/>
      <c r="M226" s="163"/>
      <c r="N226" s="163"/>
      <c r="O226" s="163"/>
      <c r="P226" s="163"/>
      <c r="Q226" s="163"/>
      <c r="R226" s="163"/>
      <c r="S226" s="163"/>
      <c r="T226" s="163"/>
      <c r="U226" s="163"/>
    </row>
    <row r="227" spans="1:21">
      <c r="A227" s="48"/>
      <c r="B227" s="48"/>
      <c r="C227" s="40"/>
      <c r="D227" s="47"/>
      <c r="E227" s="163"/>
      <c r="F227" s="163"/>
      <c r="G227" s="163"/>
      <c r="H227" s="163"/>
      <c r="I227" s="163"/>
      <c r="J227" s="163"/>
      <c r="K227" s="163"/>
      <c r="L227" s="163"/>
      <c r="M227" s="163"/>
      <c r="N227" s="163"/>
      <c r="O227" s="163"/>
      <c r="P227" s="163"/>
      <c r="Q227" s="163"/>
      <c r="R227" s="163"/>
      <c r="S227" s="163"/>
      <c r="T227" s="163"/>
      <c r="U227" s="163"/>
    </row>
    <row r="228" spans="1:21" ht="27.6">
      <c r="A228" s="15" t="s">
        <v>1452</v>
      </c>
      <c r="B228" s="41"/>
      <c r="C228" s="41"/>
      <c r="D228" s="125"/>
      <c r="E228" s="163"/>
      <c r="F228" s="163"/>
      <c r="G228" s="163"/>
      <c r="H228" s="163"/>
      <c r="I228" s="163"/>
      <c r="J228" s="163"/>
      <c r="K228" s="163"/>
      <c r="L228" s="163"/>
      <c r="M228" s="163"/>
      <c r="N228" s="163"/>
      <c r="O228" s="163"/>
      <c r="P228" s="163"/>
      <c r="Q228" s="163"/>
      <c r="R228" s="163"/>
      <c r="S228" s="163"/>
      <c r="T228" s="163"/>
      <c r="U228" s="163"/>
    </row>
    <row r="229" spans="1:21">
      <c r="A229" s="69" t="s">
        <v>1453</v>
      </c>
      <c r="B229" s="48" t="s">
        <v>1446</v>
      </c>
      <c r="C229" s="40" t="s">
        <v>1454</v>
      </c>
      <c r="D229" s="123">
        <v>90</v>
      </c>
      <c r="E229" s="163"/>
      <c r="F229" s="163"/>
      <c r="G229" s="163"/>
      <c r="H229" s="163"/>
      <c r="I229" s="163"/>
      <c r="J229" s="163"/>
      <c r="K229" s="163"/>
      <c r="L229" s="163"/>
      <c r="M229" s="163"/>
      <c r="N229" s="163"/>
      <c r="O229" s="163"/>
      <c r="P229" s="163"/>
      <c r="Q229" s="163"/>
      <c r="R229" s="163"/>
      <c r="S229" s="163"/>
      <c r="T229" s="163"/>
      <c r="U229" s="163"/>
    </row>
    <row r="230" spans="1:21">
      <c r="A230" s="48" t="s">
        <v>1455</v>
      </c>
      <c r="B230" s="48" t="s">
        <v>1446</v>
      </c>
      <c r="C230" s="40" t="s">
        <v>1456</v>
      </c>
      <c r="D230" s="123">
        <v>18</v>
      </c>
      <c r="E230" s="163"/>
      <c r="F230" s="163"/>
      <c r="G230" s="163"/>
      <c r="H230" s="163"/>
      <c r="I230" s="163"/>
      <c r="J230" s="163"/>
      <c r="K230" s="163"/>
      <c r="L230" s="163"/>
      <c r="M230" s="163"/>
      <c r="N230" s="163"/>
      <c r="O230" s="163"/>
      <c r="P230" s="163"/>
      <c r="Q230" s="163"/>
      <c r="R230" s="163"/>
      <c r="S230" s="163"/>
      <c r="T230" s="163"/>
      <c r="U230" s="163"/>
    </row>
    <row r="231" spans="1:21">
      <c r="A231" s="48" t="s">
        <v>1457</v>
      </c>
      <c r="B231" s="48" t="s">
        <v>1446</v>
      </c>
      <c r="C231" s="40" t="s">
        <v>1458</v>
      </c>
      <c r="D231" s="146">
        <v>36</v>
      </c>
      <c r="E231" s="163"/>
      <c r="F231" s="163"/>
      <c r="G231" s="163"/>
      <c r="H231" s="163"/>
      <c r="I231" s="163"/>
      <c r="J231" s="163"/>
      <c r="K231" s="163"/>
      <c r="L231" s="163"/>
      <c r="M231" s="163"/>
      <c r="N231" s="163"/>
      <c r="O231" s="163"/>
      <c r="P231" s="163"/>
      <c r="Q231" s="163"/>
      <c r="R231" s="163"/>
      <c r="S231" s="163"/>
      <c r="T231" s="163"/>
      <c r="U231" s="163"/>
    </row>
    <row r="232" spans="1:21">
      <c r="A232" s="48"/>
      <c r="B232" s="48"/>
      <c r="C232" s="40"/>
      <c r="D232" s="47"/>
      <c r="E232" s="163"/>
      <c r="F232" s="163"/>
      <c r="G232" s="163"/>
      <c r="H232" s="163"/>
      <c r="I232" s="163"/>
      <c r="J232" s="163"/>
      <c r="K232" s="163"/>
      <c r="L232" s="163"/>
      <c r="M232" s="163"/>
      <c r="N232" s="163"/>
      <c r="O232" s="163"/>
      <c r="P232" s="163"/>
      <c r="Q232" s="163"/>
      <c r="R232" s="163"/>
      <c r="S232" s="163"/>
      <c r="T232" s="163"/>
      <c r="U232" s="163"/>
    </row>
    <row r="233" spans="1:21" ht="27.6">
      <c r="A233" s="15" t="s">
        <v>1459</v>
      </c>
      <c r="B233" s="41"/>
      <c r="C233" s="41"/>
      <c r="D233" s="125"/>
      <c r="E233" s="163"/>
      <c r="F233" s="163"/>
      <c r="G233" s="163"/>
      <c r="H233" s="163"/>
      <c r="I233" s="163"/>
      <c r="J233" s="163"/>
      <c r="K233" s="163"/>
      <c r="L233" s="163"/>
      <c r="M233" s="163"/>
      <c r="N233" s="163"/>
      <c r="O233" s="163"/>
      <c r="P233" s="163"/>
      <c r="Q233" s="163"/>
      <c r="R233" s="163"/>
      <c r="S233" s="163"/>
      <c r="T233" s="163"/>
      <c r="U233" s="163"/>
    </row>
    <row r="234" spans="1:21" ht="27.6">
      <c r="A234" s="69" t="s">
        <v>1460</v>
      </c>
      <c r="B234" s="48" t="s">
        <v>1461</v>
      </c>
      <c r="C234" s="40" t="s">
        <v>1462</v>
      </c>
      <c r="D234" s="123">
        <v>11030</v>
      </c>
      <c r="E234" s="163"/>
      <c r="F234" s="163"/>
      <c r="G234" s="163"/>
      <c r="H234" s="163"/>
      <c r="I234" s="163"/>
      <c r="J234" s="163"/>
      <c r="K234" s="163"/>
      <c r="L234" s="163"/>
      <c r="M234" s="163"/>
      <c r="N234" s="163"/>
      <c r="O234" s="163"/>
      <c r="P234" s="163"/>
      <c r="Q234" s="163"/>
      <c r="R234" s="163"/>
      <c r="S234" s="163"/>
      <c r="T234" s="163"/>
      <c r="U234" s="163"/>
    </row>
    <row r="235" spans="1:21" ht="41.4">
      <c r="A235" s="69" t="s">
        <v>1463</v>
      </c>
      <c r="B235" s="48" t="s">
        <v>1464</v>
      </c>
      <c r="C235" s="40" t="s">
        <v>1465</v>
      </c>
      <c r="D235" s="123">
        <v>6</v>
      </c>
      <c r="E235" s="163"/>
      <c r="F235" s="163"/>
      <c r="G235" s="163"/>
      <c r="H235" s="163"/>
      <c r="I235" s="163"/>
      <c r="J235" s="163"/>
      <c r="K235" s="163"/>
      <c r="L235" s="163"/>
      <c r="M235" s="163"/>
      <c r="N235" s="163"/>
      <c r="O235" s="163"/>
      <c r="P235" s="163"/>
      <c r="Q235" s="163"/>
      <c r="R235" s="163"/>
      <c r="S235" s="163"/>
      <c r="T235" s="163"/>
      <c r="U235" s="163"/>
    </row>
    <row r="236" spans="1:21" ht="41.4">
      <c r="A236" s="69" t="s">
        <v>1466</v>
      </c>
      <c r="B236" s="48" t="s">
        <v>1467</v>
      </c>
      <c r="C236" s="40" t="s">
        <v>1468</v>
      </c>
      <c r="D236" s="193">
        <v>5</v>
      </c>
      <c r="E236" s="163"/>
      <c r="F236" s="163"/>
      <c r="G236" s="163"/>
      <c r="H236" s="163"/>
      <c r="I236" s="163"/>
      <c r="J236" s="163"/>
      <c r="K236" s="163"/>
      <c r="L236" s="163"/>
      <c r="M236" s="163"/>
      <c r="N236" s="163"/>
      <c r="O236" s="163"/>
      <c r="P236" s="163"/>
      <c r="Q236" s="163"/>
      <c r="R236" s="163"/>
      <c r="S236" s="163"/>
      <c r="T236" s="163"/>
      <c r="U236" s="163"/>
    </row>
    <row r="237" spans="1:21" ht="41.4">
      <c r="A237" s="69" t="s">
        <v>1469</v>
      </c>
      <c r="B237" s="48" t="s">
        <v>1470</v>
      </c>
      <c r="C237" s="40" t="s">
        <v>1471</v>
      </c>
      <c r="D237" s="193">
        <v>4</v>
      </c>
      <c r="E237" s="163"/>
      <c r="F237" s="163"/>
      <c r="G237" s="163"/>
      <c r="H237" s="163"/>
      <c r="I237" s="163"/>
      <c r="J237" s="163"/>
      <c r="K237" s="163"/>
      <c r="L237" s="163"/>
      <c r="M237" s="163"/>
      <c r="N237" s="163"/>
      <c r="O237" s="163"/>
      <c r="P237" s="163"/>
      <c r="Q237" s="163"/>
      <c r="R237" s="163"/>
      <c r="S237" s="163"/>
      <c r="T237" s="163"/>
      <c r="U237" s="163"/>
    </row>
    <row r="238" spans="1:21" ht="41.4">
      <c r="A238" s="69" t="s">
        <v>1472</v>
      </c>
      <c r="B238" s="48" t="s">
        <v>1473</v>
      </c>
      <c r="C238" s="40" t="s">
        <v>1474</v>
      </c>
      <c r="D238" s="193">
        <v>4</v>
      </c>
      <c r="E238" s="163"/>
      <c r="F238" s="163"/>
      <c r="G238" s="163"/>
      <c r="H238" s="163"/>
      <c r="I238" s="163"/>
      <c r="J238" s="163"/>
      <c r="K238" s="163"/>
      <c r="L238" s="163"/>
      <c r="M238" s="163"/>
      <c r="N238" s="163"/>
      <c r="O238" s="163"/>
      <c r="P238" s="163"/>
      <c r="Q238" s="163"/>
      <c r="R238" s="163"/>
      <c r="S238" s="163"/>
      <c r="T238" s="163"/>
      <c r="U238" s="163"/>
    </row>
    <row r="239" spans="1:21" ht="27.6">
      <c r="A239" s="69" t="s">
        <v>1475</v>
      </c>
      <c r="B239" s="48" t="s">
        <v>1476</v>
      </c>
      <c r="C239" s="40" t="s">
        <v>1477</v>
      </c>
      <c r="D239" s="193">
        <v>3</v>
      </c>
      <c r="E239" s="163"/>
      <c r="F239" s="163"/>
      <c r="G239" s="163"/>
      <c r="H239" s="163"/>
      <c r="I239" s="163"/>
      <c r="J239" s="163"/>
      <c r="K239" s="163"/>
      <c r="L239" s="163"/>
      <c r="M239" s="163"/>
      <c r="N239" s="163"/>
      <c r="O239" s="163"/>
      <c r="P239" s="163"/>
      <c r="Q239" s="163"/>
      <c r="R239" s="163"/>
      <c r="S239" s="163"/>
      <c r="T239" s="163"/>
      <c r="U239" s="163"/>
    </row>
    <row r="240" spans="1:21" ht="27.6">
      <c r="A240" s="69" t="s">
        <v>1478</v>
      </c>
      <c r="B240" s="48" t="s">
        <v>1479</v>
      </c>
      <c r="C240" s="40" t="s">
        <v>1480</v>
      </c>
      <c r="D240" s="193">
        <v>2</v>
      </c>
      <c r="E240" s="163"/>
      <c r="F240" s="163"/>
      <c r="G240" s="163"/>
      <c r="H240" s="163"/>
      <c r="I240" s="163"/>
      <c r="J240" s="163"/>
      <c r="K240" s="163"/>
      <c r="L240" s="163"/>
      <c r="M240" s="163"/>
      <c r="N240" s="163"/>
      <c r="O240" s="163"/>
      <c r="P240" s="163"/>
      <c r="Q240" s="163"/>
      <c r="R240" s="163"/>
      <c r="S240" s="163"/>
      <c r="T240" s="163"/>
      <c r="U240" s="163"/>
    </row>
    <row r="241" spans="1:21" ht="27.6">
      <c r="A241" s="69" t="s">
        <v>1481</v>
      </c>
      <c r="B241" s="48" t="s">
        <v>1482</v>
      </c>
      <c r="C241" s="40" t="s">
        <v>1483</v>
      </c>
      <c r="D241" s="193">
        <v>1</v>
      </c>
      <c r="E241" s="163"/>
      <c r="F241" s="163"/>
      <c r="G241" s="163"/>
      <c r="H241" s="163"/>
      <c r="I241" s="163"/>
      <c r="J241" s="163"/>
      <c r="K241" s="163"/>
      <c r="L241" s="163"/>
      <c r="M241" s="163"/>
      <c r="N241" s="163"/>
      <c r="O241" s="163"/>
      <c r="P241" s="163"/>
      <c r="Q241" s="163"/>
      <c r="R241" s="163"/>
      <c r="S241" s="163"/>
      <c r="T241" s="163"/>
      <c r="U241" s="163"/>
    </row>
    <row r="242" spans="1:21" ht="27.6">
      <c r="A242" s="69" t="s">
        <v>1484</v>
      </c>
      <c r="B242" s="48" t="s">
        <v>1485</v>
      </c>
      <c r="C242" s="40" t="s">
        <v>1486</v>
      </c>
      <c r="D242" s="193">
        <v>1</v>
      </c>
      <c r="E242" s="163"/>
      <c r="F242" s="163"/>
      <c r="G242" s="163"/>
      <c r="H242" s="163"/>
      <c r="I242" s="163"/>
      <c r="J242" s="163"/>
      <c r="K242" s="163"/>
      <c r="L242" s="163"/>
      <c r="M242" s="163"/>
      <c r="N242" s="163"/>
      <c r="O242" s="163"/>
      <c r="P242" s="163"/>
      <c r="Q242" s="163"/>
      <c r="R242" s="163"/>
      <c r="S242" s="163"/>
      <c r="T242" s="163"/>
      <c r="U242" s="163"/>
    </row>
    <row r="243" spans="1:21" ht="27.6">
      <c r="A243" s="69" t="s">
        <v>1487</v>
      </c>
      <c r="B243" s="48" t="s">
        <v>1488</v>
      </c>
      <c r="C243" s="40" t="s">
        <v>1489</v>
      </c>
      <c r="D243" s="193">
        <v>1</v>
      </c>
      <c r="E243" s="163"/>
      <c r="F243" s="163"/>
      <c r="G243" s="163"/>
      <c r="H243" s="163"/>
      <c r="I243" s="163"/>
      <c r="J243" s="163"/>
      <c r="K243" s="163"/>
      <c r="L243" s="163"/>
      <c r="M243" s="163"/>
      <c r="N243" s="163"/>
      <c r="O243" s="163"/>
      <c r="P243" s="163"/>
      <c r="Q243" s="163"/>
      <c r="R243" s="163"/>
      <c r="S243" s="163"/>
      <c r="T243" s="163"/>
      <c r="U243" s="163"/>
    </row>
    <row r="244" spans="1:21">
      <c r="A244" s="69" t="s">
        <v>1490</v>
      </c>
      <c r="B244" s="48" t="s">
        <v>1491</v>
      </c>
      <c r="C244" s="40" t="s">
        <v>1492</v>
      </c>
      <c r="D244" s="193">
        <v>25</v>
      </c>
      <c r="E244" s="163"/>
      <c r="F244" s="163"/>
      <c r="G244" s="163"/>
      <c r="H244" s="163"/>
      <c r="I244" s="163"/>
      <c r="J244" s="163"/>
      <c r="K244" s="163"/>
      <c r="L244" s="163"/>
      <c r="M244" s="163"/>
      <c r="N244" s="163"/>
      <c r="O244" s="163"/>
      <c r="P244" s="163"/>
      <c r="Q244" s="163"/>
      <c r="R244" s="163"/>
      <c r="S244" s="163"/>
      <c r="T244" s="163"/>
      <c r="U244" s="163"/>
    </row>
    <row r="245" spans="1:21">
      <c r="A245" s="69" t="s">
        <v>1493</v>
      </c>
      <c r="B245" s="48" t="s">
        <v>1494</v>
      </c>
      <c r="C245" s="40" t="s">
        <v>1495</v>
      </c>
      <c r="D245" s="193">
        <v>14</v>
      </c>
      <c r="E245" s="163"/>
      <c r="F245" s="163"/>
      <c r="G245" s="163"/>
      <c r="H245" s="163"/>
      <c r="I245" s="163"/>
      <c r="J245" s="163"/>
      <c r="K245" s="163"/>
      <c r="L245" s="163"/>
      <c r="M245" s="163"/>
      <c r="N245" s="163"/>
      <c r="O245" s="163"/>
      <c r="P245" s="163"/>
      <c r="Q245" s="163"/>
      <c r="R245" s="163"/>
      <c r="S245" s="163"/>
      <c r="T245" s="163"/>
      <c r="U245" s="163"/>
    </row>
    <row r="246" spans="1:21">
      <c r="A246" s="69" t="s">
        <v>1496</v>
      </c>
      <c r="B246" s="48" t="s">
        <v>1497</v>
      </c>
      <c r="C246" s="88" t="s">
        <v>1498</v>
      </c>
      <c r="D246" s="193">
        <v>3</v>
      </c>
      <c r="E246" s="163"/>
      <c r="F246" s="163"/>
      <c r="G246" s="163"/>
      <c r="H246" s="163"/>
      <c r="I246" s="163"/>
      <c r="J246" s="163"/>
      <c r="K246" s="163"/>
      <c r="L246" s="163"/>
      <c r="M246" s="163"/>
      <c r="N246" s="163"/>
      <c r="O246" s="163"/>
      <c r="P246" s="163"/>
      <c r="Q246" s="163"/>
      <c r="R246" s="163"/>
      <c r="S246" s="163"/>
      <c r="T246" s="163"/>
      <c r="U246" s="163"/>
    </row>
    <row r="247" spans="1:21">
      <c r="A247" s="69" t="s">
        <v>1499</v>
      </c>
      <c r="B247" s="48" t="s">
        <v>1500</v>
      </c>
      <c r="C247" s="88" t="s">
        <v>1501</v>
      </c>
      <c r="D247" s="193">
        <v>3</v>
      </c>
      <c r="E247" s="163"/>
      <c r="F247" s="163"/>
      <c r="G247" s="163"/>
      <c r="H247" s="163"/>
      <c r="I247" s="163"/>
      <c r="J247" s="163"/>
      <c r="K247" s="163"/>
      <c r="L247" s="163"/>
      <c r="M247" s="163"/>
      <c r="N247" s="163"/>
      <c r="O247" s="163"/>
      <c r="P247" s="163"/>
      <c r="Q247" s="163"/>
      <c r="R247" s="163"/>
      <c r="S247" s="163"/>
      <c r="T247" s="163"/>
      <c r="U247" s="163"/>
    </row>
    <row r="248" spans="1:21">
      <c r="A248" s="69" t="s">
        <v>1502</v>
      </c>
      <c r="B248" s="48" t="s">
        <v>1503</v>
      </c>
      <c r="C248" s="88" t="s">
        <v>1504</v>
      </c>
      <c r="D248" s="193">
        <v>2</v>
      </c>
      <c r="E248" s="163"/>
      <c r="F248" s="163"/>
      <c r="G248" s="163"/>
      <c r="H248" s="163"/>
      <c r="I248" s="163"/>
      <c r="J248" s="163"/>
      <c r="K248" s="163"/>
      <c r="L248" s="163"/>
      <c r="M248" s="163"/>
      <c r="N248" s="163"/>
      <c r="O248" s="163"/>
      <c r="P248" s="163"/>
      <c r="Q248" s="163"/>
      <c r="R248" s="163"/>
      <c r="S248" s="163"/>
      <c r="T248" s="163"/>
      <c r="U248" s="163"/>
    </row>
    <row r="249" spans="1:21">
      <c r="A249" s="69" t="s">
        <v>1505</v>
      </c>
      <c r="B249" s="48" t="s">
        <v>1506</v>
      </c>
      <c r="C249" s="88" t="s">
        <v>1507</v>
      </c>
      <c r="D249" s="193">
        <v>5</v>
      </c>
      <c r="E249" s="163"/>
      <c r="F249" s="163"/>
      <c r="G249" s="163"/>
      <c r="H249" s="163"/>
      <c r="I249" s="163"/>
      <c r="J249" s="163"/>
      <c r="K249" s="163"/>
      <c r="L249" s="163"/>
      <c r="M249" s="163"/>
      <c r="N249" s="163"/>
      <c r="O249" s="163"/>
      <c r="P249" s="163"/>
      <c r="Q249" s="163"/>
      <c r="R249" s="163"/>
      <c r="S249" s="163"/>
      <c r="T249" s="163"/>
      <c r="U249" s="163"/>
    </row>
    <row r="250" spans="1:21">
      <c r="A250" s="69" t="s">
        <v>1508</v>
      </c>
      <c r="B250" s="69" t="s">
        <v>1509</v>
      </c>
      <c r="C250" s="40" t="s">
        <v>1510</v>
      </c>
      <c r="D250" s="193">
        <v>150</v>
      </c>
      <c r="E250" s="163"/>
      <c r="F250" s="163"/>
      <c r="G250" s="163"/>
      <c r="H250" s="163"/>
      <c r="I250" s="163"/>
      <c r="J250" s="163"/>
      <c r="K250" s="163"/>
      <c r="L250" s="163"/>
      <c r="M250" s="163"/>
      <c r="N250" s="163"/>
      <c r="O250" s="163"/>
      <c r="P250" s="163"/>
      <c r="Q250" s="163"/>
      <c r="R250" s="163"/>
      <c r="S250" s="163"/>
      <c r="T250" s="163"/>
      <c r="U250" s="163"/>
    </row>
    <row r="251" spans="1:21">
      <c r="A251" s="69" t="s">
        <v>1511</v>
      </c>
      <c r="B251" s="48" t="s">
        <v>1512</v>
      </c>
      <c r="C251" s="40" t="s">
        <v>1513</v>
      </c>
      <c r="D251" s="193">
        <v>1</v>
      </c>
      <c r="E251" s="163"/>
      <c r="F251" s="163"/>
      <c r="G251" s="163"/>
      <c r="H251" s="163"/>
      <c r="I251" s="163"/>
      <c r="J251" s="163"/>
      <c r="K251" s="163"/>
      <c r="L251" s="163"/>
      <c r="M251" s="163"/>
      <c r="N251" s="163"/>
      <c r="O251" s="163"/>
      <c r="P251" s="163"/>
      <c r="Q251" s="163"/>
      <c r="R251" s="163"/>
      <c r="S251" s="163"/>
      <c r="T251" s="163"/>
      <c r="U251" s="163"/>
    </row>
    <row r="252" spans="1:21">
      <c r="A252" s="69" t="s">
        <v>1514</v>
      </c>
      <c r="B252" s="48" t="s">
        <v>1388</v>
      </c>
      <c r="C252" s="40" t="s">
        <v>1515</v>
      </c>
      <c r="D252" s="193">
        <v>75</v>
      </c>
      <c r="E252" s="163"/>
      <c r="F252" s="163"/>
      <c r="G252" s="163"/>
      <c r="H252" s="163"/>
      <c r="I252" s="163"/>
      <c r="J252" s="163"/>
      <c r="K252" s="163"/>
      <c r="L252" s="163"/>
      <c r="M252" s="163"/>
      <c r="N252" s="163"/>
      <c r="O252" s="163"/>
      <c r="P252" s="163"/>
      <c r="Q252" s="163"/>
      <c r="R252" s="163"/>
      <c r="S252" s="163"/>
      <c r="T252" s="163"/>
      <c r="U252" s="163"/>
    </row>
    <row r="253" spans="1:21">
      <c r="A253" s="69" t="s">
        <v>1516</v>
      </c>
      <c r="B253" s="48" t="s">
        <v>1391</v>
      </c>
      <c r="C253" s="40" t="s">
        <v>1517</v>
      </c>
      <c r="D253" s="193">
        <v>36</v>
      </c>
      <c r="E253" s="163"/>
      <c r="F253" s="163"/>
      <c r="G253" s="163"/>
      <c r="H253" s="163"/>
      <c r="I253" s="163"/>
      <c r="J253" s="163"/>
      <c r="K253" s="163"/>
      <c r="L253" s="163"/>
      <c r="M253" s="163"/>
      <c r="N253" s="163"/>
      <c r="O253" s="163"/>
      <c r="P253" s="163"/>
      <c r="Q253" s="163"/>
      <c r="R253" s="163"/>
      <c r="S253" s="163"/>
      <c r="T253" s="163"/>
      <c r="U253" s="163"/>
    </row>
    <row r="254" spans="1:21">
      <c r="A254" s="69" t="s">
        <v>1518</v>
      </c>
      <c r="B254" s="48" t="s">
        <v>1394</v>
      </c>
      <c r="C254" s="40" t="s">
        <v>1519</v>
      </c>
      <c r="D254" s="193">
        <v>75</v>
      </c>
      <c r="E254" s="163"/>
      <c r="F254" s="163"/>
      <c r="G254" s="163"/>
      <c r="H254" s="163"/>
      <c r="I254" s="163"/>
      <c r="J254" s="163"/>
      <c r="K254" s="163"/>
      <c r="L254" s="163"/>
      <c r="M254" s="163"/>
      <c r="N254" s="163"/>
      <c r="O254" s="163"/>
      <c r="P254" s="163"/>
      <c r="Q254" s="163"/>
      <c r="R254" s="163"/>
      <c r="S254" s="163"/>
      <c r="T254" s="163"/>
      <c r="U254" s="163"/>
    </row>
    <row r="255" spans="1:21">
      <c r="A255" s="69" t="s">
        <v>1520</v>
      </c>
      <c r="B255" s="48" t="s">
        <v>1397</v>
      </c>
      <c r="C255" s="40" t="s">
        <v>1521</v>
      </c>
      <c r="D255" s="193">
        <v>36</v>
      </c>
      <c r="E255" s="163"/>
      <c r="F255" s="163"/>
      <c r="G255" s="163"/>
      <c r="H255" s="163"/>
      <c r="I255" s="163"/>
      <c r="J255" s="163"/>
      <c r="K255" s="163"/>
      <c r="L255" s="163"/>
      <c r="M255" s="163"/>
      <c r="N255" s="163"/>
      <c r="O255" s="163"/>
      <c r="P255" s="163"/>
      <c r="Q255" s="163"/>
      <c r="R255" s="163"/>
      <c r="S255" s="163"/>
      <c r="T255" s="163"/>
      <c r="U255" s="163"/>
    </row>
    <row r="256" spans="1:21">
      <c r="A256" s="69" t="s">
        <v>1522</v>
      </c>
      <c r="B256" s="48" t="s">
        <v>1523</v>
      </c>
      <c r="C256" s="40" t="s">
        <v>1524</v>
      </c>
      <c r="D256" s="193">
        <v>25</v>
      </c>
      <c r="E256" s="163"/>
      <c r="F256" s="163"/>
      <c r="G256" s="163"/>
      <c r="H256" s="163"/>
      <c r="I256" s="163"/>
      <c r="J256" s="163"/>
      <c r="K256" s="163"/>
      <c r="L256" s="163"/>
      <c r="M256" s="163"/>
      <c r="N256" s="163"/>
      <c r="O256" s="163"/>
      <c r="P256" s="163"/>
      <c r="Q256" s="163"/>
      <c r="R256" s="163"/>
      <c r="S256" s="163"/>
      <c r="T256" s="163"/>
      <c r="U256" s="163"/>
    </row>
    <row r="257" spans="1:20">
      <c r="A257" s="69" t="s">
        <v>1525</v>
      </c>
      <c r="B257" s="48" t="s">
        <v>1525</v>
      </c>
      <c r="C257" s="40" t="s">
        <v>1526</v>
      </c>
      <c r="D257" s="193">
        <v>3</v>
      </c>
      <c r="E257" s="163"/>
      <c r="F257" s="163"/>
      <c r="G257" s="163"/>
      <c r="H257" s="163"/>
      <c r="I257" s="163"/>
      <c r="J257" s="163"/>
      <c r="K257" s="163"/>
      <c r="L257" s="163"/>
      <c r="M257" s="163"/>
      <c r="N257" s="163"/>
      <c r="O257" s="163"/>
      <c r="P257" s="163"/>
      <c r="Q257" s="163"/>
      <c r="R257" s="163"/>
      <c r="S257" s="163"/>
      <c r="T257" s="163"/>
    </row>
    <row r="258" spans="1:20">
      <c r="A258" s="69" t="s">
        <v>1527</v>
      </c>
      <c r="B258" s="48" t="s">
        <v>1527</v>
      </c>
      <c r="C258" s="88" t="s">
        <v>1528</v>
      </c>
      <c r="D258" s="193">
        <v>2</v>
      </c>
      <c r="E258" s="163"/>
      <c r="F258" s="163"/>
      <c r="G258" s="163"/>
      <c r="H258" s="163"/>
      <c r="I258" s="163"/>
      <c r="J258" s="163"/>
      <c r="K258" s="163"/>
      <c r="L258" s="163"/>
      <c r="M258" s="163"/>
      <c r="N258" s="163"/>
      <c r="O258" s="163"/>
      <c r="P258" s="163"/>
      <c r="Q258" s="163"/>
      <c r="R258" s="163"/>
      <c r="S258" s="163"/>
      <c r="T258" s="163"/>
    </row>
    <row r="259" spans="1:20">
      <c r="A259" s="69" t="s">
        <v>1529</v>
      </c>
      <c r="B259" s="48" t="s">
        <v>1529</v>
      </c>
      <c r="C259" s="88" t="s">
        <v>1530</v>
      </c>
      <c r="D259" s="193">
        <v>4</v>
      </c>
      <c r="E259" s="163"/>
      <c r="F259" s="163"/>
      <c r="G259" s="163"/>
      <c r="H259" s="163"/>
      <c r="I259" s="163"/>
      <c r="J259" s="163"/>
      <c r="K259" s="163"/>
      <c r="L259" s="163"/>
      <c r="M259" s="163"/>
      <c r="N259" s="163"/>
    </row>
    <row r="260" spans="1:20">
      <c r="A260" s="69" t="s">
        <v>1531</v>
      </c>
      <c r="B260" s="48" t="s">
        <v>1531</v>
      </c>
      <c r="C260" s="88" t="s">
        <v>1532</v>
      </c>
      <c r="D260" s="193">
        <v>4</v>
      </c>
      <c r="E260" s="163"/>
      <c r="F260" s="163"/>
      <c r="G260" s="163"/>
      <c r="H260" s="163"/>
      <c r="I260" s="163"/>
      <c r="J260" s="163"/>
      <c r="K260" s="163"/>
      <c r="L260" s="163"/>
      <c r="M260" s="163"/>
      <c r="N260" s="163"/>
    </row>
    <row r="261" spans="1:20">
      <c r="A261" s="69" t="s">
        <v>1533</v>
      </c>
      <c r="B261" s="48" t="s">
        <v>1533</v>
      </c>
      <c r="C261" s="88" t="s">
        <v>1534</v>
      </c>
      <c r="D261" s="193">
        <v>4</v>
      </c>
      <c r="E261" s="163"/>
      <c r="F261" s="163"/>
      <c r="G261" s="163"/>
      <c r="H261" s="163"/>
      <c r="I261" s="163"/>
      <c r="J261" s="163"/>
      <c r="K261" s="163"/>
      <c r="L261" s="163"/>
      <c r="M261" s="163"/>
      <c r="N261" s="163"/>
    </row>
    <row r="262" spans="1:20">
      <c r="A262" s="69" t="s">
        <v>1535</v>
      </c>
      <c r="B262" s="48" t="s">
        <v>1535</v>
      </c>
      <c r="C262" s="88" t="s">
        <v>1536</v>
      </c>
      <c r="D262" s="193">
        <v>3</v>
      </c>
      <c r="E262" s="163"/>
      <c r="F262" s="163"/>
      <c r="G262" s="163"/>
      <c r="H262" s="163"/>
      <c r="I262" s="163"/>
      <c r="J262" s="163"/>
      <c r="K262" s="163"/>
      <c r="L262" s="163"/>
      <c r="M262" s="163"/>
      <c r="N262" s="163"/>
    </row>
    <row r="263" spans="1:20">
      <c r="A263" s="163"/>
      <c r="B263" s="163"/>
      <c r="C263" s="44"/>
    </row>
    <row r="264" spans="1:20">
      <c r="A264" s="79" t="s">
        <v>931</v>
      </c>
      <c r="B264" s="75" t="s">
        <v>142</v>
      </c>
      <c r="C264" s="75"/>
      <c r="D264" s="221" t="s">
        <v>935</v>
      </c>
    </row>
    <row r="265" spans="1:20">
      <c r="A265" s="15" t="s">
        <v>1537</v>
      </c>
      <c r="B265" s="41"/>
      <c r="C265" s="41"/>
      <c r="D265" s="136"/>
    </row>
    <row r="266" spans="1:20" ht="409.6">
      <c r="A266" s="69" t="s">
        <v>1538</v>
      </c>
      <c r="B266" s="48" t="s">
        <v>1539</v>
      </c>
      <c r="C266" s="362" t="s">
        <v>2021</v>
      </c>
      <c r="D266" s="283">
        <v>110</v>
      </c>
    </row>
    <row r="268" spans="1:20" ht="251.7" customHeight="1"/>
  </sheetData>
  <phoneticPr fontId="10" type="noConversion"/>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762A66-F1D3-4528-8A3D-21497B25F716}">
  <sheetPr>
    <tabColor rgb="FF00B0F0"/>
  </sheetPr>
  <dimension ref="A1:AS439"/>
  <sheetViews>
    <sheetView zoomScaleNormal="100" zoomScaleSheetLayoutView="50" workbookViewId="0">
      <pane xSplit="1" topLeftCell="B1" activePane="topRight" state="frozen"/>
      <selection activeCell="A101" sqref="A101"/>
      <selection pane="topRight" activeCell="A4" sqref="A4"/>
    </sheetView>
  </sheetViews>
  <sheetFormatPr baseColWidth="10" defaultColWidth="51.44140625" defaultRowHeight="13.8"/>
  <cols>
    <col min="1" max="1" width="87" style="171" customWidth="1"/>
    <col min="2" max="2" width="112.6640625" style="171" bestFit="1" customWidth="1"/>
    <col min="3" max="3" width="7.33203125" style="237" customWidth="1"/>
    <col min="4" max="4" width="12.6640625" style="237" customWidth="1"/>
    <col min="5" max="5" width="13.6640625" style="205" customWidth="1"/>
    <col min="6" max="6" width="12.33203125" style="205" customWidth="1"/>
    <col min="7" max="9" width="18.6640625" style="205" customWidth="1"/>
    <col min="10" max="10" width="11" style="205" customWidth="1"/>
    <col min="11" max="12" width="14.33203125" style="205" customWidth="1"/>
    <col min="13" max="13" width="10.5546875" style="205" customWidth="1"/>
    <col min="14" max="15" width="14.33203125" style="205" customWidth="1"/>
    <col min="16" max="16" width="12.5546875" style="205" customWidth="1"/>
    <col min="17" max="17" width="17.33203125" style="205" bestFit="1" customWidth="1"/>
    <col min="18" max="18" width="12.5546875" style="205" customWidth="1"/>
    <col min="19" max="21" width="11.5546875" style="162" customWidth="1"/>
    <col min="22" max="22" width="15.33203125" style="167" bestFit="1" customWidth="1"/>
    <col min="23" max="45" width="51.44140625" style="253"/>
    <col min="46" max="16384" width="51.44140625" style="171"/>
  </cols>
  <sheetData>
    <row r="1" spans="1:45">
      <c r="E1" s="205" t="s">
        <v>137</v>
      </c>
    </row>
    <row r="7" spans="1:45" s="177" customFormat="1" ht="15.6">
      <c r="A7" s="128" t="s">
        <v>138</v>
      </c>
      <c r="B7" s="220"/>
      <c r="C7" s="38"/>
      <c r="D7" s="38"/>
      <c r="E7" s="127"/>
      <c r="F7" s="127"/>
      <c r="G7" s="127"/>
      <c r="H7" s="127"/>
      <c r="I7" s="127"/>
      <c r="J7" s="127"/>
      <c r="K7" s="127"/>
      <c r="L7" s="127"/>
      <c r="M7" s="127"/>
      <c r="N7" s="127"/>
      <c r="O7" s="127"/>
      <c r="P7" s="127"/>
      <c r="Q7" s="127"/>
      <c r="R7" s="127"/>
      <c r="S7" s="127"/>
      <c r="T7" s="127"/>
      <c r="U7" s="127"/>
      <c r="V7" s="173"/>
      <c r="W7" s="91" t="s">
        <v>1541</v>
      </c>
      <c r="X7" s="111"/>
      <c r="Y7" s="111"/>
      <c r="Z7" s="137"/>
      <c r="AA7" s="172"/>
      <c r="AB7" s="172"/>
      <c r="AC7" s="172"/>
      <c r="AD7" s="172"/>
      <c r="AE7" s="172"/>
      <c r="AF7" s="172"/>
      <c r="AG7" s="172"/>
      <c r="AH7" s="172"/>
      <c r="AI7" s="172"/>
      <c r="AJ7" s="172"/>
      <c r="AK7" s="172"/>
      <c r="AL7" s="172"/>
      <c r="AM7" s="172"/>
      <c r="AN7" s="172"/>
      <c r="AO7" s="172"/>
      <c r="AP7" s="172"/>
      <c r="AQ7" s="172"/>
      <c r="AR7" s="172"/>
      <c r="AS7" s="172"/>
    </row>
    <row r="8" spans="1:45" s="177" customFormat="1" ht="31.2">
      <c r="A8" s="128" t="s">
        <v>139</v>
      </c>
      <c r="B8" s="220"/>
      <c r="C8" s="38"/>
      <c r="D8" s="38"/>
      <c r="E8" s="127"/>
      <c r="F8" s="127"/>
      <c r="G8" s="127"/>
      <c r="H8" s="127"/>
      <c r="I8" s="127"/>
      <c r="J8" s="127"/>
      <c r="K8" s="127"/>
      <c r="L8" s="127"/>
      <c r="M8" s="127"/>
      <c r="N8" s="127"/>
      <c r="O8" s="127"/>
      <c r="P8" s="127"/>
      <c r="Q8" s="127"/>
      <c r="R8" s="127"/>
      <c r="S8" s="127"/>
      <c r="T8" s="127"/>
      <c r="U8" s="127"/>
      <c r="V8" s="171"/>
      <c r="W8" s="50" t="s">
        <v>1542</v>
      </c>
      <c r="X8" s="50" t="s">
        <v>1542</v>
      </c>
      <c r="Y8" s="50" t="s">
        <v>1542</v>
      </c>
      <c r="Z8" s="50" t="s">
        <v>1542</v>
      </c>
      <c r="AA8" s="172"/>
      <c r="AB8" s="172"/>
      <c r="AC8" s="172"/>
      <c r="AD8" s="172"/>
      <c r="AE8" s="172"/>
      <c r="AF8" s="172"/>
      <c r="AG8" s="172"/>
      <c r="AH8" s="172"/>
      <c r="AI8" s="172"/>
      <c r="AJ8" s="172"/>
      <c r="AK8" s="172"/>
      <c r="AL8" s="172"/>
      <c r="AM8" s="172"/>
      <c r="AN8" s="172"/>
      <c r="AO8" s="172"/>
      <c r="AP8" s="172"/>
      <c r="AQ8" s="172"/>
      <c r="AR8" s="172"/>
      <c r="AS8" s="172"/>
    </row>
    <row r="9" spans="1:45" s="177" customFormat="1">
      <c r="A9" s="38"/>
      <c r="B9" s="38"/>
      <c r="C9" s="38"/>
      <c r="D9" s="38"/>
      <c r="E9" s="127"/>
      <c r="F9" s="127"/>
      <c r="G9" s="127"/>
      <c r="H9" s="127"/>
      <c r="I9" s="127"/>
      <c r="J9" s="127"/>
      <c r="K9" s="127"/>
      <c r="L9" s="127"/>
      <c r="M9" s="127"/>
      <c r="N9" s="127"/>
      <c r="O9" s="127"/>
      <c r="P9" s="127"/>
      <c r="Q9" s="127"/>
      <c r="R9" s="127"/>
      <c r="S9" s="127"/>
      <c r="T9" s="127"/>
      <c r="U9" s="127"/>
      <c r="V9" s="197"/>
      <c r="W9" s="202">
        <v>0.1983</v>
      </c>
      <c r="X9" s="202">
        <v>0.1099</v>
      </c>
      <c r="Y9" s="202">
        <v>0.20430000000000001</v>
      </c>
      <c r="Z9" s="202">
        <v>0.1159</v>
      </c>
      <c r="AA9" s="172"/>
      <c r="AB9" s="172"/>
      <c r="AC9" s="172"/>
      <c r="AD9" s="172"/>
      <c r="AE9" s="172"/>
      <c r="AF9" s="172"/>
      <c r="AG9" s="172"/>
      <c r="AH9" s="172"/>
      <c r="AI9" s="172"/>
      <c r="AJ9" s="172"/>
      <c r="AK9" s="172"/>
      <c r="AL9" s="172"/>
      <c r="AM9" s="172"/>
      <c r="AN9" s="172"/>
      <c r="AO9" s="172"/>
      <c r="AP9" s="172"/>
      <c r="AQ9" s="172"/>
      <c r="AR9" s="172"/>
      <c r="AS9" s="172"/>
    </row>
    <row r="10" spans="1:45" s="175" customFormat="1">
      <c r="A10" s="210" t="s">
        <v>140</v>
      </c>
      <c r="B10" s="210"/>
      <c r="C10" s="210"/>
      <c r="D10" s="210"/>
      <c r="E10" s="210"/>
      <c r="F10" s="210"/>
      <c r="G10" s="210"/>
      <c r="H10" s="210"/>
      <c r="I10" s="210"/>
      <c r="J10" s="210"/>
      <c r="K10" s="210"/>
      <c r="L10" s="210"/>
      <c r="M10" s="210"/>
      <c r="N10" s="210"/>
      <c r="O10" s="210"/>
      <c r="P10" s="210"/>
      <c r="Q10" s="210"/>
      <c r="R10" s="210"/>
      <c r="S10" s="210"/>
      <c r="T10" s="210"/>
      <c r="U10" s="210"/>
      <c r="V10" s="206"/>
      <c r="W10" s="395" t="s">
        <v>1543</v>
      </c>
      <c r="X10" s="396"/>
      <c r="Y10" s="395" t="s">
        <v>1544</v>
      </c>
      <c r="Z10" s="396"/>
      <c r="AA10" s="174"/>
      <c r="AB10" s="174"/>
      <c r="AC10" s="174"/>
      <c r="AD10" s="174"/>
      <c r="AE10" s="174"/>
      <c r="AF10" s="174"/>
      <c r="AG10" s="174"/>
      <c r="AH10" s="174"/>
      <c r="AI10" s="174"/>
      <c r="AJ10" s="174"/>
      <c r="AK10" s="174"/>
      <c r="AL10" s="174"/>
      <c r="AM10" s="174"/>
      <c r="AN10" s="174"/>
      <c r="AO10" s="174"/>
      <c r="AP10" s="174"/>
      <c r="AQ10" s="174"/>
      <c r="AR10" s="174"/>
      <c r="AS10" s="174"/>
    </row>
    <row r="11" spans="1:45" s="8" customFormat="1" ht="82.8">
      <c r="A11" s="16" t="s">
        <v>141</v>
      </c>
      <c r="B11" s="16" t="s">
        <v>142</v>
      </c>
      <c r="C11" s="16" t="s">
        <v>143</v>
      </c>
      <c r="D11" s="16" t="s">
        <v>144</v>
      </c>
      <c r="E11" s="16"/>
      <c r="F11" s="16"/>
      <c r="G11" s="16"/>
      <c r="H11" s="16"/>
      <c r="I11" s="16"/>
      <c r="J11" s="16"/>
      <c r="K11" s="16"/>
      <c r="L11" s="16"/>
      <c r="M11" s="16"/>
      <c r="N11" s="16"/>
      <c r="O11" s="16"/>
      <c r="P11" s="16"/>
      <c r="Q11" s="16"/>
      <c r="R11" s="16"/>
      <c r="S11" s="16"/>
      <c r="T11" s="16"/>
      <c r="U11" s="16"/>
      <c r="V11" s="204" t="s">
        <v>145</v>
      </c>
      <c r="W11" s="218" t="s">
        <v>1545</v>
      </c>
      <c r="X11" s="83" t="s">
        <v>1546</v>
      </c>
      <c r="Y11" s="89" t="s">
        <v>1545</v>
      </c>
      <c r="Z11" s="152" t="s">
        <v>1546</v>
      </c>
      <c r="AA11" s="7"/>
      <c r="AB11" s="7"/>
      <c r="AC11" s="7"/>
      <c r="AD11" s="7"/>
      <c r="AE11" s="7"/>
      <c r="AF11" s="7"/>
      <c r="AG11" s="7"/>
      <c r="AH11" s="7"/>
      <c r="AI11" s="7"/>
      <c r="AJ11" s="7"/>
      <c r="AK11" s="7"/>
      <c r="AL11" s="7"/>
      <c r="AM11" s="7"/>
      <c r="AN11" s="7"/>
      <c r="AO11" s="7"/>
      <c r="AP11" s="7"/>
      <c r="AQ11" s="7"/>
      <c r="AR11" s="7"/>
      <c r="AS11" s="7"/>
    </row>
    <row r="12" spans="1:45" s="177" customFormat="1" ht="165.6">
      <c r="A12" s="132" t="s">
        <v>146</v>
      </c>
      <c r="B12" s="140" t="s">
        <v>147</v>
      </c>
      <c r="C12" s="134"/>
      <c r="D12" s="134"/>
      <c r="E12" s="45"/>
      <c r="F12" s="45"/>
      <c r="G12" s="45"/>
      <c r="H12" s="45"/>
      <c r="I12" s="45"/>
      <c r="J12" s="45"/>
      <c r="K12" s="45"/>
      <c r="L12" s="45"/>
      <c r="M12" s="45"/>
      <c r="N12" s="45"/>
      <c r="O12" s="45"/>
      <c r="P12" s="45"/>
      <c r="Q12" s="45"/>
      <c r="R12" s="45"/>
      <c r="S12" s="45"/>
      <c r="T12" s="45"/>
      <c r="U12" s="45"/>
      <c r="V12" s="122">
        <v>361</v>
      </c>
      <c r="W12" s="364">
        <f>V12*$W$9</f>
        <v>71.586300000000008</v>
      </c>
      <c r="X12" s="364">
        <f>V12*$X$9</f>
        <v>39.673899999999996</v>
      </c>
      <c r="Y12" s="364">
        <f>V12*$Y$9</f>
        <v>73.752300000000005</v>
      </c>
      <c r="Z12" s="364">
        <f>V12*$Z$9</f>
        <v>41.8399</v>
      </c>
      <c r="AA12" s="172"/>
      <c r="AB12" s="172"/>
      <c r="AC12" s="172"/>
      <c r="AD12" s="172"/>
      <c r="AE12" s="172"/>
      <c r="AF12" s="172"/>
      <c r="AG12" s="172"/>
      <c r="AH12" s="172"/>
      <c r="AI12" s="172"/>
      <c r="AJ12" s="172"/>
      <c r="AK12" s="172"/>
      <c r="AL12" s="172"/>
      <c r="AM12" s="172"/>
      <c r="AN12" s="172"/>
      <c r="AO12" s="172"/>
      <c r="AP12" s="172"/>
      <c r="AQ12" s="172"/>
      <c r="AR12" s="172"/>
      <c r="AS12" s="172"/>
    </row>
    <row r="13" spans="1:45" s="177" customFormat="1">
      <c r="A13" s="235"/>
      <c r="B13" s="140"/>
      <c r="C13" s="134"/>
      <c r="D13" s="134"/>
      <c r="E13" s="45"/>
      <c r="F13" s="45"/>
      <c r="G13" s="45"/>
      <c r="H13" s="45"/>
      <c r="I13" s="45"/>
      <c r="J13" s="45"/>
      <c r="K13" s="45"/>
      <c r="L13" s="45"/>
      <c r="M13" s="45"/>
      <c r="N13" s="45"/>
      <c r="O13" s="45"/>
      <c r="P13" s="45"/>
      <c r="Q13" s="45"/>
      <c r="R13" s="45"/>
      <c r="S13" s="45"/>
      <c r="T13" s="45"/>
      <c r="U13" s="45"/>
      <c r="V13" s="183"/>
      <c r="W13" s="183">
        <f t="shared" ref="W13:W76" si="0">V13*$W$9</f>
        <v>0</v>
      </c>
      <c r="X13" s="183">
        <f t="shared" ref="X13:X76" si="1">V13*$X$9</f>
        <v>0</v>
      </c>
      <c r="Y13" s="183">
        <f t="shared" ref="Y13:Y76" si="2">V13*$Y$9</f>
        <v>0</v>
      </c>
      <c r="Z13" s="183">
        <f t="shared" ref="Z13:Z76" si="3">V13*$Z$9</f>
        <v>0</v>
      </c>
      <c r="AA13" s="172"/>
      <c r="AB13" s="172"/>
      <c r="AC13" s="172"/>
      <c r="AD13" s="172"/>
      <c r="AE13" s="172"/>
      <c r="AF13" s="172"/>
      <c r="AG13" s="172"/>
      <c r="AH13" s="172"/>
      <c r="AI13" s="172"/>
      <c r="AJ13" s="172"/>
      <c r="AK13" s="172"/>
      <c r="AL13" s="172"/>
      <c r="AM13" s="172"/>
      <c r="AN13" s="172"/>
      <c r="AO13" s="172"/>
      <c r="AP13" s="172"/>
      <c r="AQ13" s="172"/>
      <c r="AR13" s="172"/>
      <c r="AS13" s="172"/>
    </row>
    <row r="14" spans="1:45" s="177" customFormat="1" ht="165.6">
      <c r="A14" s="235" t="s">
        <v>148</v>
      </c>
      <c r="B14" s="140" t="s">
        <v>149</v>
      </c>
      <c r="C14" s="134"/>
      <c r="D14" s="134"/>
      <c r="E14" s="45"/>
      <c r="F14" s="45"/>
      <c r="G14" s="45"/>
      <c r="H14" s="45"/>
      <c r="I14" s="45"/>
      <c r="J14" s="45"/>
      <c r="K14" s="45"/>
      <c r="L14" s="45"/>
      <c r="M14" s="45"/>
      <c r="N14" s="45"/>
      <c r="O14" s="45"/>
      <c r="P14" s="45"/>
      <c r="Q14" s="45"/>
      <c r="R14" s="45"/>
      <c r="S14" s="45"/>
      <c r="T14" s="45"/>
      <c r="U14" s="45"/>
      <c r="V14" s="122">
        <v>341</v>
      </c>
      <c r="W14" s="364">
        <f t="shared" si="0"/>
        <v>67.6203</v>
      </c>
      <c r="X14" s="364">
        <f t="shared" si="1"/>
        <v>37.475899999999996</v>
      </c>
      <c r="Y14" s="364">
        <f t="shared" si="2"/>
        <v>69.666300000000007</v>
      </c>
      <c r="Z14" s="364">
        <f t="shared" si="3"/>
        <v>39.521900000000002</v>
      </c>
      <c r="AA14" s="172"/>
      <c r="AB14" s="172"/>
      <c r="AC14" s="172"/>
      <c r="AD14" s="172"/>
      <c r="AE14" s="172"/>
      <c r="AF14" s="172"/>
      <c r="AG14" s="172"/>
      <c r="AH14" s="172"/>
      <c r="AI14" s="172"/>
      <c r="AJ14" s="172"/>
      <c r="AK14" s="172"/>
      <c r="AL14" s="172"/>
      <c r="AM14" s="172"/>
      <c r="AN14" s="172"/>
      <c r="AO14" s="172"/>
      <c r="AP14" s="172"/>
      <c r="AQ14" s="172"/>
      <c r="AR14" s="172"/>
      <c r="AS14" s="172"/>
    </row>
    <row r="15" spans="1:45" s="177" customFormat="1">
      <c r="A15" s="235"/>
      <c r="B15" s="140"/>
      <c r="C15" s="134"/>
      <c r="D15" s="134"/>
      <c r="E15" s="45"/>
      <c r="F15" s="45"/>
      <c r="G15" s="45"/>
      <c r="H15" s="45"/>
      <c r="I15" s="45"/>
      <c r="J15" s="45"/>
      <c r="K15" s="45"/>
      <c r="L15" s="45"/>
      <c r="M15" s="45"/>
      <c r="N15" s="45"/>
      <c r="O15" s="45"/>
      <c r="P15" s="45"/>
      <c r="Q15" s="45"/>
      <c r="R15" s="45"/>
      <c r="S15" s="45"/>
      <c r="T15" s="45"/>
      <c r="U15" s="45"/>
      <c r="V15" s="180"/>
      <c r="W15" s="180">
        <f t="shared" si="0"/>
        <v>0</v>
      </c>
      <c r="X15" s="180">
        <f t="shared" si="1"/>
        <v>0</v>
      </c>
      <c r="Y15" s="180">
        <f t="shared" si="2"/>
        <v>0</v>
      </c>
      <c r="Z15" s="180">
        <f t="shared" si="3"/>
        <v>0</v>
      </c>
      <c r="AA15" s="172"/>
      <c r="AB15" s="172"/>
      <c r="AC15" s="172"/>
      <c r="AD15" s="172"/>
      <c r="AE15" s="172"/>
      <c r="AF15" s="172"/>
      <c r="AG15" s="172"/>
      <c r="AH15" s="172"/>
      <c r="AI15" s="172"/>
      <c r="AJ15" s="172"/>
      <c r="AK15" s="172"/>
      <c r="AL15" s="172"/>
      <c r="AM15" s="172"/>
      <c r="AN15" s="172"/>
      <c r="AO15" s="172"/>
      <c r="AP15" s="172"/>
      <c r="AQ15" s="172"/>
      <c r="AR15" s="172"/>
      <c r="AS15" s="172"/>
    </row>
    <row r="16" spans="1:45" s="177" customFormat="1" ht="165.6">
      <c r="A16" s="132" t="s">
        <v>150</v>
      </c>
      <c r="B16" s="140" t="s">
        <v>151</v>
      </c>
      <c r="C16" s="134"/>
      <c r="D16" s="134"/>
      <c r="E16" s="45"/>
      <c r="F16" s="45"/>
      <c r="G16" s="45"/>
      <c r="H16" s="45"/>
      <c r="I16" s="45"/>
      <c r="J16" s="45"/>
      <c r="K16" s="45"/>
      <c r="L16" s="45"/>
      <c r="M16" s="45"/>
      <c r="N16" s="45"/>
      <c r="O16" s="45"/>
      <c r="P16" s="45"/>
      <c r="Q16" s="45"/>
      <c r="R16" s="45"/>
      <c r="S16" s="45"/>
      <c r="T16" s="45"/>
      <c r="U16" s="45"/>
      <c r="V16" s="122">
        <v>361</v>
      </c>
      <c r="W16" s="364">
        <f t="shared" si="0"/>
        <v>71.586300000000008</v>
      </c>
      <c r="X16" s="364">
        <f t="shared" si="1"/>
        <v>39.673899999999996</v>
      </c>
      <c r="Y16" s="364">
        <f t="shared" si="2"/>
        <v>73.752300000000005</v>
      </c>
      <c r="Z16" s="364">
        <f t="shared" si="3"/>
        <v>41.8399</v>
      </c>
      <c r="AA16" s="172"/>
      <c r="AB16" s="172"/>
      <c r="AC16" s="172"/>
      <c r="AD16" s="172"/>
      <c r="AE16" s="172"/>
      <c r="AF16" s="172"/>
      <c r="AG16" s="172"/>
      <c r="AH16" s="172"/>
      <c r="AI16" s="172"/>
      <c r="AJ16" s="172"/>
      <c r="AK16" s="172"/>
      <c r="AL16" s="172"/>
      <c r="AM16" s="172"/>
      <c r="AN16" s="172"/>
      <c r="AO16" s="172"/>
      <c r="AP16" s="172"/>
      <c r="AQ16" s="172"/>
      <c r="AR16" s="172"/>
      <c r="AS16" s="172"/>
    </row>
    <row r="17" spans="1:45">
      <c r="A17" s="235"/>
      <c r="B17" s="140"/>
      <c r="C17" s="134"/>
      <c r="D17" s="134"/>
      <c r="E17" s="45"/>
      <c r="F17" s="45"/>
      <c r="G17" s="45"/>
      <c r="H17" s="45"/>
      <c r="I17" s="45"/>
      <c r="J17" s="45"/>
      <c r="K17" s="45"/>
      <c r="L17" s="45"/>
      <c r="M17" s="45"/>
      <c r="N17" s="45"/>
      <c r="O17" s="45"/>
      <c r="P17" s="45"/>
      <c r="Q17" s="45"/>
      <c r="R17" s="45"/>
      <c r="S17" s="45"/>
      <c r="T17" s="45"/>
      <c r="U17" s="45"/>
      <c r="V17" s="181"/>
      <c r="W17" s="181">
        <f t="shared" si="0"/>
        <v>0</v>
      </c>
      <c r="X17" s="181">
        <f t="shared" si="1"/>
        <v>0</v>
      </c>
      <c r="Y17" s="181">
        <f t="shared" si="2"/>
        <v>0</v>
      </c>
      <c r="Z17" s="181">
        <f t="shared" si="3"/>
        <v>0</v>
      </c>
    </row>
    <row r="18" spans="1:45" ht="165.6">
      <c r="A18" s="209" t="s">
        <v>152</v>
      </c>
      <c r="B18" s="140" t="s">
        <v>153</v>
      </c>
      <c r="C18" s="134"/>
      <c r="D18" s="134"/>
      <c r="E18" s="45"/>
      <c r="F18" s="45"/>
      <c r="G18" s="45"/>
      <c r="H18" s="45"/>
      <c r="I18" s="45"/>
      <c r="J18" s="45"/>
      <c r="K18" s="45"/>
      <c r="L18" s="45"/>
      <c r="M18" s="45"/>
      <c r="N18" s="45"/>
      <c r="O18" s="45"/>
      <c r="P18" s="45"/>
      <c r="Q18" s="45"/>
      <c r="R18" s="45"/>
      <c r="S18" s="45"/>
      <c r="T18" s="45"/>
      <c r="U18" s="45"/>
      <c r="V18" s="122">
        <v>341</v>
      </c>
      <c r="W18" s="364">
        <f t="shared" si="0"/>
        <v>67.6203</v>
      </c>
      <c r="X18" s="364">
        <f t="shared" si="1"/>
        <v>37.475899999999996</v>
      </c>
      <c r="Y18" s="364">
        <f t="shared" si="2"/>
        <v>69.666300000000007</v>
      </c>
      <c r="Z18" s="364">
        <f t="shared" si="3"/>
        <v>39.521900000000002</v>
      </c>
    </row>
    <row r="19" spans="1:45">
      <c r="A19" s="235"/>
      <c r="B19" s="140"/>
      <c r="C19" s="134"/>
      <c r="D19" s="134"/>
      <c r="E19" s="45"/>
      <c r="F19" s="45"/>
      <c r="G19" s="45"/>
      <c r="H19" s="45"/>
      <c r="I19" s="45"/>
      <c r="J19" s="45"/>
      <c r="K19" s="45"/>
      <c r="L19" s="45"/>
      <c r="M19" s="45"/>
      <c r="N19" s="45"/>
      <c r="O19" s="45"/>
      <c r="P19" s="45"/>
      <c r="Q19" s="45"/>
      <c r="R19" s="45"/>
      <c r="S19" s="45"/>
      <c r="T19" s="45"/>
      <c r="U19" s="45"/>
      <c r="V19" s="181"/>
      <c r="W19" s="181">
        <f t="shared" si="0"/>
        <v>0</v>
      </c>
      <c r="X19" s="181">
        <f t="shared" si="1"/>
        <v>0</v>
      </c>
      <c r="Y19" s="181">
        <f t="shared" si="2"/>
        <v>0</v>
      </c>
      <c r="Z19" s="181">
        <f t="shared" si="3"/>
        <v>0</v>
      </c>
    </row>
    <row r="20" spans="1:45" ht="151.80000000000001">
      <c r="A20" s="109" t="s">
        <v>154</v>
      </c>
      <c r="B20" s="140" t="s">
        <v>155</v>
      </c>
      <c r="C20" s="134"/>
      <c r="D20" s="134"/>
      <c r="E20" s="45"/>
      <c r="F20" s="45"/>
      <c r="G20" s="45"/>
      <c r="H20" s="45"/>
      <c r="I20" s="45"/>
      <c r="J20" s="45"/>
      <c r="K20" s="45"/>
      <c r="L20" s="45"/>
      <c r="M20" s="45"/>
      <c r="N20" s="45"/>
      <c r="O20" s="45"/>
      <c r="P20" s="45"/>
      <c r="Q20" s="45"/>
      <c r="R20" s="45"/>
      <c r="S20" s="45"/>
      <c r="T20" s="45"/>
      <c r="U20" s="45"/>
      <c r="V20" s="122">
        <v>449</v>
      </c>
      <c r="W20" s="364">
        <f t="shared" si="0"/>
        <v>89.036699999999996</v>
      </c>
      <c r="X20" s="364">
        <f t="shared" si="1"/>
        <v>49.345100000000002</v>
      </c>
      <c r="Y20" s="364">
        <f t="shared" si="2"/>
        <v>91.730699999999999</v>
      </c>
      <c r="Z20" s="364">
        <f t="shared" si="3"/>
        <v>52.039100000000005</v>
      </c>
    </row>
    <row r="21" spans="1:45">
      <c r="A21" s="235"/>
      <c r="B21" s="140"/>
      <c r="C21" s="134"/>
      <c r="D21" s="134"/>
      <c r="E21" s="45"/>
      <c r="F21" s="45"/>
      <c r="G21" s="45"/>
      <c r="H21" s="45"/>
      <c r="I21" s="45"/>
      <c r="J21" s="45"/>
      <c r="K21" s="45"/>
      <c r="L21" s="45"/>
      <c r="M21" s="45"/>
      <c r="N21" s="45"/>
      <c r="O21" s="45"/>
      <c r="P21" s="45"/>
      <c r="Q21" s="45"/>
      <c r="R21" s="45"/>
      <c r="S21" s="45"/>
      <c r="T21" s="45"/>
      <c r="U21" s="45"/>
      <c r="V21" s="181"/>
      <c r="W21" s="181"/>
      <c r="X21" s="181"/>
      <c r="Y21" s="181"/>
      <c r="Z21" s="181"/>
    </row>
    <row r="22" spans="1:45" s="10" customFormat="1" ht="27.6">
      <c r="A22" s="304" t="s">
        <v>156</v>
      </c>
      <c r="B22" s="303" t="s">
        <v>142</v>
      </c>
      <c r="C22" s="303" t="s">
        <v>143</v>
      </c>
      <c r="D22" s="303" t="s">
        <v>144</v>
      </c>
      <c r="E22" s="303" t="s">
        <v>157</v>
      </c>
      <c r="F22" s="303"/>
      <c r="G22" s="303" t="s">
        <v>158</v>
      </c>
      <c r="H22" s="303"/>
      <c r="I22" s="303"/>
      <c r="J22" s="303" t="s">
        <v>159</v>
      </c>
      <c r="K22" s="303"/>
      <c r="L22" s="303"/>
      <c r="M22" s="303" t="s">
        <v>160</v>
      </c>
      <c r="N22" s="303"/>
      <c r="O22" s="303"/>
      <c r="P22" s="303" t="s">
        <v>161</v>
      </c>
      <c r="Q22" s="303"/>
      <c r="R22" s="303"/>
      <c r="S22" s="303"/>
      <c r="T22" s="303"/>
      <c r="U22" s="303"/>
      <c r="V22" s="305"/>
      <c r="W22" s="365"/>
      <c r="X22" s="365"/>
      <c r="Y22" s="365"/>
      <c r="Z22" s="365"/>
      <c r="AA22" s="9"/>
      <c r="AB22" s="9"/>
      <c r="AC22" s="9"/>
      <c r="AD22" s="9"/>
      <c r="AE22" s="9"/>
      <c r="AF22" s="9"/>
      <c r="AG22" s="9"/>
      <c r="AH22" s="9"/>
      <c r="AI22" s="9"/>
      <c r="AJ22" s="9"/>
      <c r="AK22" s="9"/>
      <c r="AL22" s="9"/>
      <c r="AM22" s="9"/>
      <c r="AN22" s="9"/>
      <c r="AO22" s="9"/>
      <c r="AP22" s="9"/>
      <c r="AQ22" s="9"/>
      <c r="AR22" s="9"/>
      <c r="AS22" s="9"/>
    </row>
    <row r="23" spans="1:45">
      <c r="A23" s="98" t="s">
        <v>162</v>
      </c>
      <c r="B23" s="108"/>
      <c r="C23" s="108"/>
      <c r="D23" s="108"/>
      <c r="E23" s="223"/>
      <c r="F23" s="223"/>
      <c r="G23" s="223"/>
      <c r="H23" s="223"/>
      <c r="I23" s="223"/>
      <c r="J23" s="223"/>
      <c r="K23" s="223"/>
      <c r="L23" s="223"/>
      <c r="M23" s="223"/>
      <c r="N23" s="223"/>
      <c r="O23" s="223"/>
      <c r="P23" s="223"/>
      <c r="Q23" s="223"/>
      <c r="R23" s="223"/>
      <c r="S23" s="226"/>
      <c r="T23" s="226"/>
      <c r="U23" s="226"/>
      <c r="V23" s="182"/>
      <c r="W23" s="182"/>
      <c r="X23" s="182"/>
      <c r="Y23" s="182"/>
      <c r="Z23" s="182"/>
    </row>
    <row r="24" spans="1:45">
      <c r="A24" s="132" t="s">
        <v>163</v>
      </c>
      <c r="B24" s="132" t="s">
        <v>164</v>
      </c>
      <c r="C24" s="107"/>
      <c r="D24" s="107"/>
      <c r="E24" s="230"/>
      <c r="F24" s="230"/>
      <c r="G24" s="230" t="s">
        <v>165</v>
      </c>
      <c r="H24" s="230"/>
      <c r="I24" s="230"/>
      <c r="J24" s="230"/>
      <c r="K24" s="230"/>
      <c r="L24" s="230"/>
      <c r="M24" s="230" t="s">
        <v>166</v>
      </c>
      <c r="N24" s="230"/>
      <c r="O24" s="230"/>
      <c r="P24" s="230" t="s">
        <v>167</v>
      </c>
      <c r="Q24" s="230"/>
      <c r="R24" s="230"/>
      <c r="S24" s="230"/>
      <c r="T24" s="230"/>
      <c r="U24" s="230"/>
      <c r="V24" s="122">
        <v>64</v>
      </c>
      <c r="W24" s="364">
        <f t="shared" si="0"/>
        <v>12.6912</v>
      </c>
      <c r="X24" s="364">
        <f t="shared" si="1"/>
        <v>7.0335999999999999</v>
      </c>
      <c r="Y24" s="364">
        <f t="shared" si="2"/>
        <v>13.075200000000001</v>
      </c>
      <c r="Z24" s="364">
        <f t="shared" si="3"/>
        <v>7.4176000000000002</v>
      </c>
    </row>
    <row r="25" spans="1:45" ht="14.7" customHeight="1">
      <c r="A25" s="132" t="s">
        <v>168</v>
      </c>
      <c r="B25" s="132" t="s">
        <v>169</v>
      </c>
      <c r="C25" s="107"/>
      <c r="D25" s="107"/>
      <c r="E25" s="230"/>
      <c r="F25" s="230"/>
      <c r="G25" s="230" t="s">
        <v>170</v>
      </c>
      <c r="H25" s="230"/>
      <c r="I25" s="230"/>
      <c r="J25" s="230"/>
      <c r="K25" s="230"/>
      <c r="L25" s="230"/>
      <c r="M25" s="230" t="s">
        <v>171</v>
      </c>
      <c r="N25" s="298"/>
      <c r="O25" s="298"/>
      <c r="P25" s="65"/>
      <c r="Q25" s="65"/>
      <c r="R25" s="65"/>
      <c r="S25" s="72"/>
      <c r="T25" s="72"/>
      <c r="U25" s="72"/>
      <c r="V25" s="122">
        <v>64</v>
      </c>
      <c r="W25" s="364">
        <f t="shared" si="0"/>
        <v>12.6912</v>
      </c>
      <c r="X25" s="364">
        <f t="shared" si="1"/>
        <v>7.0335999999999999</v>
      </c>
      <c r="Y25" s="364">
        <f t="shared" si="2"/>
        <v>13.075200000000001</v>
      </c>
      <c r="Z25" s="364">
        <f t="shared" si="3"/>
        <v>7.4176000000000002</v>
      </c>
    </row>
    <row r="26" spans="1:45">
      <c r="A26" s="99" t="s">
        <v>172</v>
      </c>
      <c r="B26" s="132" t="s">
        <v>173</v>
      </c>
      <c r="C26" s="107"/>
      <c r="D26" s="107"/>
      <c r="E26" s="230"/>
      <c r="F26" s="230"/>
      <c r="G26" s="230"/>
      <c r="H26" s="230"/>
      <c r="I26" s="230"/>
      <c r="J26" s="230"/>
      <c r="K26" s="230"/>
      <c r="L26" s="230"/>
      <c r="M26" s="230"/>
      <c r="N26" s="230"/>
      <c r="O26" s="230"/>
      <c r="P26" s="230" t="s">
        <v>174</v>
      </c>
      <c r="Q26" s="230"/>
      <c r="R26" s="230"/>
      <c r="S26" s="230"/>
      <c r="T26" s="230"/>
      <c r="U26" s="230"/>
      <c r="V26" s="122">
        <v>64</v>
      </c>
      <c r="W26" s="364">
        <f t="shared" si="0"/>
        <v>12.6912</v>
      </c>
      <c r="X26" s="364">
        <f t="shared" si="1"/>
        <v>7.0335999999999999</v>
      </c>
      <c r="Y26" s="364">
        <f t="shared" si="2"/>
        <v>13.075200000000001</v>
      </c>
      <c r="Z26" s="364">
        <f t="shared" si="3"/>
        <v>7.4176000000000002</v>
      </c>
    </row>
    <row r="27" spans="1:45">
      <c r="A27" s="132" t="s">
        <v>175</v>
      </c>
      <c r="B27" s="132" t="s">
        <v>176</v>
      </c>
      <c r="C27" s="107"/>
      <c r="D27" s="107"/>
      <c r="E27" s="230" t="s">
        <v>177</v>
      </c>
      <c r="F27" s="230"/>
      <c r="G27" s="230"/>
      <c r="H27" s="230"/>
      <c r="I27" s="230"/>
      <c r="J27" s="230" t="s">
        <v>178</v>
      </c>
      <c r="K27" s="230"/>
      <c r="L27" s="230"/>
      <c r="M27" s="230"/>
      <c r="N27" s="230"/>
      <c r="O27" s="230"/>
      <c r="P27" s="230"/>
      <c r="Q27" s="230"/>
      <c r="R27" s="230"/>
      <c r="S27" s="72"/>
      <c r="T27" s="72"/>
      <c r="U27" s="72"/>
      <c r="V27" s="122">
        <v>82</v>
      </c>
      <c r="W27" s="364">
        <f t="shared" si="0"/>
        <v>16.2606</v>
      </c>
      <c r="X27" s="364">
        <f t="shared" si="1"/>
        <v>9.0117999999999991</v>
      </c>
      <c r="Y27" s="364">
        <f t="shared" si="2"/>
        <v>16.752600000000001</v>
      </c>
      <c r="Z27" s="364">
        <f t="shared" si="3"/>
        <v>9.5038</v>
      </c>
    </row>
    <row r="28" spans="1:45">
      <c r="A28" s="132" t="s">
        <v>179</v>
      </c>
      <c r="B28" s="132" t="s">
        <v>180</v>
      </c>
      <c r="C28" s="107"/>
      <c r="D28" s="107"/>
      <c r="E28" s="230" t="s">
        <v>181</v>
      </c>
      <c r="F28" s="230"/>
      <c r="G28" s="230"/>
      <c r="H28" s="230"/>
      <c r="I28" s="230"/>
      <c r="J28" s="230"/>
      <c r="K28" s="230"/>
      <c r="L28" s="230"/>
      <c r="M28" s="230"/>
      <c r="N28" s="230"/>
      <c r="O28" s="230"/>
      <c r="P28" s="230"/>
      <c r="Q28" s="230"/>
      <c r="R28" s="230"/>
      <c r="S28" s="72"/>
      <c r="T28" s="72"/>
      <c r="U28" s="72"/>
      <c r="V28" s="122">
        <v>209</v>
      </c>
      <c r="W28" s="364">
        <f t="shared" si="0"/>
        <v>41.444699999999997</v>
      </c>
      <c r="X28" s="364">
        <f t="shared" si="1"/>
        <v>22.969100000000001</v>
      </c>
      <c r="Y28" s="364">
        <f t="shared" si="2"/>
        <v>42.698700000000002</v>
      </c>
      <c r="Z28" s="364">
        <f t="shared" si="3"/>
        <v>24.223100000000002</v>
      </c>
    </row>
    <row r="29" spans="1:45">
      <c r="A29" s="235"/>
      <c r="B29" s="140"/>
      <c r="C29" s="134"/>
      <c r="D29" s="134"/>
      <c r="E29" s="45"/>
      <c r="F29" s="45"/>
      <c r="G29" s="45"/>
      <c r="H29" s="45"/>
      <c r="I29" s="45"/>
      <c r="J29" s="45"/>
      <c r="K29" s="45"/>
      <c r="L29" s="45"/>
      <c r="M29" s="45"/>
      <c r="N29" s="45"/>
      <c r="O29" s="45"/>
      <c r="P29" s="45"/>
      <c r="Q29" s="45"/>
      <c r="R29" s="45"/>
      <c r="S29" s="45"/>
      <c r="T29" s="45"/>
      <c r="U29" s="45"/>
      <c r="V29" s="122"/>
      <c r="W29" s="364"/>
      <c r="X29" s="364"/>
      <c r="Y29" s="364"/>
      <c r="Z29" s="364"/>
    </row>
    <row r="30" spans="1:45">
      <c r="A30" s="98" t="s">
        <v>182</v>
      </c>
      <c r="B30" s="108"/>
      <c r="C30" s="108"/>
      <c r="D30" s="108"/>
      <c r="E30" s="223"/>
      <c r="F30" s="223"/>
      <c r="G30" s="223"/>
      <c r="H30" s="223"/>
      <c r="I30" s="223"/>
      <c r="J30" s="223"/>
      <c r="K30" s="223"/>
      <c r="L30" s="223"/>
      <c r="M30" s="223"/>
      <c r="N30" s="223"/>
      <c r="O30" s="223"/>
      <c r="P30" s="223"/>
      <c r="Q30" s="223"/>
      <c r="R30" s="223"/>
      <c r="S30" s="226"/>
      <c r="T30" s="226"/>
      <c r="U30" s="226"/>
      <c r="V30" s="182"/>
      <c r="W30" s="182"/>
      <c r="X30" s="182"/>
      <c r="Y30" s="182"/>
      <c r="Z30" s="182"/>
    </row>
    <row r="31" spans="1:45">
      <c r="A31" s="132" t="s">
        <v>183</v>
      </c>
      <c r="B31" s="132" t="s">
        <v>183</v>
      </c>
      <c r="C31" s="107"/>
      <c r="D31" s="107"/>
      <c r="E31" s="230" t="s">
        <v>184</v>
      </c>
      <c r="F31" s="230"/>
      <c r="G31" s="230" t="s">
        <v>185</v>
      </c>
      <c r="H31" s="230"/>
      <c r="I31" s="230"/>
      <c r="J31" s="230" t="s">
        <v>186</v>
      </c>
      <c r="K31" s="230"/>
      <c r="L31" s="230"/>
      <c r="M31" s="230" t="s">
        <v>187</v>
      </c>
      <c r="N31" s="230"/>
      <c r="O31" s="230"/>
      <c r="P31" s="230" t="s">
        <v>188</v>
      </c>
      <c r="Q31" s="230"/>
      <c r="R31" s="230"/>
      <c r="S31" s="230"/>
      <c r="T31" s="230"/>
      <c r="U31" s="230"/>
      <c r="V31" s="122">
        <v>41</v>
      </c>
      <c r="W31" s="364">
        <f t="shared" si="0"/>
        <v>8.1303000000000001</v>
      </c>
      <c r="X31" s="364">
        <f t="shared" si="1"/>
        <v>4.5058999999999996</v>
      </c>
      <c r="Y31" s="364">
        <f t="shared" si="2"/>
        <v>8.3763000000000005</v>
      </c>
      <c r="Z31" s="364">
        <f t="shared" si="3"/>
        <v>4.7519</v>
      </c>
    </row>
    <row r="32" spans="1:45">
      <c r="A32" s="132" t="s">
        <v>189</v>
      </c>
      <c r="B32" s="132" t="s">
        <v>189</v>
      </c>
      <c r="C32" s="107"/>
      <c r="D32" s="107"/>
      <c r="E32" s="230" t="s">
        <v>190</v>
      </c>
      <c r="F32" s="230"/>
      <c r="G32" s="230"/>
      <c r="H32" s="230"/>
      <c r="I32" s="230"/>
      <c r="J32" s="230" t="s">
        <v>191</v>
      </c>
      <c r="K32" s="230"/>
      <c r="L32" s="230"/>
      <c r="M32" s="230"/>
      <c r="N32" s="230"/>
      <c r="O32" s="230"/>
      <c r="P32" s="230" t="s">
        <v>192</v>
      </c>
      <c r="Q32" s="230"/>
      <c r="R32" s="230"/>
      <c r="S32" s="230"/>
      <c r="T32" s="230"/>
      <c r="U32" s="230"/>
      <c r="V32" s="122">
        <v>128</v>
      </c>
      <c r="W32" s="364">
        <f t="shared" si="0"/>
        <v>25.382400000000001</v>
      </c>
      <c r="X32" s="364">
        <f t="shared" si="1"/>
        <v>14.0672</v>
      </c>
      <c r="Y32" s="364">
        <f t="shared" si="2"/>
        <v>26.150400000000001</v>
      </c>
      <c r="Z32" s="364">
        <f t="shared" si="3"/>
        <v>14.8352</v>
      </c>
    </row>
    <row r="33" spans="1:26">
      <c r="A33" s="235"/>
      <c r="B33" s="140"/>
      <c r="C33" s="134"/>
      <c r="D33" s="134"/>
      <c r="E33" s="45"/>
      <c r="F33" s="45"/>
      <c r="G33" s="45"/>
      <c r="H33" s="45"/>
      <c r="I33" s="45"/>
      <c r="J33" s="45"/>
      <c r="K33" s="45"/>
      <c r="L33" s="45"/>
      <c r="M33" s="45"/>
      <c r="N33" s="45"/>
      <c r="O33" s="45"/>
      <c r="P33" s="45"/>
      <c r="Q33" s="45"/>
      <c r="R33" s="45"/>
      <c r="S33" s="45"/>
      <c r="T33" s="45"/>
      <c r="U33" s="45"/>
      <c r="V33" s="122"/>
      <c r="W33" s="364"/>
      <c r="X33" s="364"/>
      <c r="Y33" s="364"/>
      <c r="Z33" s="364"/>
    </row>
    <row r="34" spans="1:26">
      <c r="A34" s="113" t="s">
        <v>193</v>
      </c>
      <c r="B34" s="232"/>
      <c r="C34" s="232"/>
      <c r="D34" s="232"/>
      <c r="E34" s="208"/>
      <c r="F34" s="208"/>
      <c r="G34" s="208"/>
      <c r="H34" s="208"/>
      <c r="I34" s="208"/>
      <c r="J34" s="208"/>
      <c r="K34" s="208"/>
      <c r="L34" s="208"/>
      <c r="M34" s="208"/>
      <c r="N34" s="208"/>
      <c r="O34" s="208"/>
      <c r="P34" s="208"/>
      <c r="Q34" s="208"/>
      <c r="R34" s="208"/>
      <c r="S34" s="208"/>
      <c r="T34" s="208"/>
      <c r="U34" s="208"/>
      <c r="V34" s="182"/>
      <c r="W34" s="182"/>
      <c r="X34" s="182"/>
      <c r="Y34" s="182"/>
      <c r="Z34" s="182"/>
    </row>
    <row r="35" spans="1:26">
      <c r="A35" s="132" t="s">
        <v>194</v>
      </c>
      <c r="B35" s="132" t="s">
        <v>195</v>
      </c>
      <c r="C35" s="107"/>
      <c r="D35" s="107"/>
      <c r="E35" s="230"/>
      <c r="F35" s="230"/>
      <c r="G35" s="230"/>
      <c r="H35" s="230"/>
      <c r="I35" s="230"/>
      <c r="J35" s="230"/>
      <c r="K35" s="230"/>
      <c r="L35" s="230"/>
      <c r="M35" s="230"/>
      <c r="N35" s="230"/>
      <c r="O35" s="230"/>
      <c r="P35" s="230" t="s">
        <v>196</v>
      </c>
      <c r="Q35" s="230"/>
      <c r="R35" s="230"/>
      <c r="S35" s="230"/>
      <c r="T35" s="230"/>
      <c r="U35" s="230"/>
      <c r="V35" s="122">
        <v>41</v>
      </c>
      <c r="W35" s="364">
        <f t="shared" si="0"/>
        <v>8.1303000000000001</v>
      </c>
      <c r="X35" s="364">
        <f t="shared" si="1"/>
        <v>4.5058999999999996</v>
      </c>
      <c r="Y35" s="364">
        <f t="shared" si="2"/>
        <v>8.3763000000000005</v>
      </c>
      <c r="Z35" s="364">
        <f t="shared" si="3"/>
        <v>4.7519</v>
      </c>
    </row>
    <row r="36" spans="1:26">
      <c r="A36" s="235"/>
      <c r="B36" s="140"/>
      <c r="C36" s="134"/>
      <c r="D36" s="134"/>
      <c r="E36" s="45"/>
      <c r="F36" s="45"/>
      <c r="G36" s="45"/>
      <c r="H36" s="45"/>
      <c r="I36" s="45"/>
      <c r="J36" s="45"/>
      <c r="K36" s="45"/>
      <c r="L36" s="45"/>
      <c r="M36" s="45"/>
      <c r="N36" s="45"/>
      <c r="O36" s="45"/>
      <c r="P36" s="45"/>
      <c r="Q36" s="45"/>
      <c r="R36" s="45"/>
      <c r="S36" s="45"/>
      <c r="T36" s="45"/>
      <c r="U36" s="45"/>
      <c r="V36" s="122"/>
      <c r="W36" s="364"/>
      <c r="X36" s="364"/>
      <c r="Y36" s="364"/>
      <c r="Z36" s="364"/>
    </row>
    <row r="37" spans="1:26">
      <c r="A37" s="113" t="s">
        <v>197</v>
      </c>
      <c r="B37" s="232"/>
      <c r="C37" s="232"/>
      <c r="D37" s="232"/>
      <c r="E37" s="208"/>
      <c r="F37" s="208"/>
      <c r="G37" s="208"/>
      <c r="H37" s="208"/>
      <c r="I37" s="208"/>
      <c r="J37" s="208"/>
      <c r="K37" s="208"/>
      <c r="L37" s="208"/>
      <c r="M37" s="208"/>
      <c r="N37" s="208"/>
      <c r="O37" s="208"/>
      <c r="P37" s="208"/>
      <c r="Q37" s="208"/>
      <c r="R37" s="208"/>
      <c r="S37" s="208"/>
      <c r="T37" s="208"/>
      <c r="U37" s="208"/>
      <c r="V37" s="182"/>
      <c r="W37" s="182"/>
      <c r="X37" s="182"/>
      <c r="Y37" s="182"/>
      <c r="Z37" s="182"/>
    </row>
    <row r="38" spans="1:26">
      <c r="A38" s="132" t="s">
        <v>198</v>
      </c>
      <c r="B38" s="132" t="s">
        <v>199</v>
      </c>
      <c r="C38" s="107"/>
      <c r="D38" s="107"/>
      <c r="E38" s="230" t="s">
        <v>200</v>
      </c>
      <c r="F38" s="230"/>
      <c r="G38" s="230" t="s">
        <v>201</v>
      </c>
      <c r="H38" s="230"/>
      <c r="I38" s="230"/>
      <c r="J38" s="230"/>
      <c r="K38" s="230"/>
      <c r="L38" s="230"/>
      <c r="M38" s="230"/>
      <c r="N38" s="230"/>
      <c r="O38" s="230"/>
      <c r="P38" s="230"/>
      <c r="Q38" s="230"/>
      <c r="R38" s="230"/>
      <c r="S38" s="72"/>
      <c r="T38" s="72"/>
      <c r="U38" s="72"/>
      <c r="V38" s="122">
        <v>16</v>
      </c>
      <c r="W38" s="364">
        <f t="shared" si="0"/>
        <v>3.1728000000000001</v>
      </c>
      <c r="X38" s="364">
        <f t="shared" si="1"/>
        <v>1.7584</v>
      </c>
      <c r="Y38" s="364">
        <f t="shared" si="2"/>
        <v>3.2688000000000001</v>
      </c>
      <c r="Z38" s="364">
        <f t="shared" si="3"/>
        <v>1.8544</v>
      </c>
    </row>
    <row r="39" spans="1:26">
      <c r="A39" s="69" t="s">
        <v>202</v>
      </c>
      <c r="B39" s="132" t="s">
        <v>203</v>
      </c>
      <c r="C39" s="107"/>
      <c r="D39" s="107"/>
      <c r="E39" s="230" t="s">
        <v>204</v>
      </c>
      <c r="F39" s="230"/>
      <c r="G39" s="230" t="s">
        <v>205</v>
      </c>
      <c r="H39" s="230"/>
      <c r="I39" s="230"/>
      <c r="J39" s="230"/>
      <c r="K39" s="230"/>
      <c r="L39" s="230"/>
      <c r="M39" s="230"/>
      <c r="N39" s="230"/>
      <c r="O39" s="230"/>
      <c r="P39" s="230"/>
      <c r="Q39" s="230"/>
      <c r="R39" s="230"/>
      <c r="S39" s="72"/>
      <c r="T39" s="72"/>
      <c r="U39" s="72"/>
      <c r="V39" s="122">
        <v>16</v>
      </c>
      <c r="W39" s="364">
        <f t="shared" si="0"/>
        <v>3.1728000000000001</v>
      </c>
      <c r="X39" s="364">
        <f t="shared" si="1"/>
        <v>1.7584</v>
      </c>
      <c r="Y39" s="364">
        <f t="shared" si="2"/>
        <v>3.2688000000000001</v>
      </c>
      <c r="Z39" s="364">
        <f t="shared" si="3"/>
        <v>1.8544</v>
      </c>
    </row>
    <row r="40" spans="1:26">
      <c r="A40" s="132" t="s">
        <v>206</v>
      </c>
      <c r="B40" s="132" t="s">
        <v>207</v>
      </c>
      <c r="C40" s="107"/>
      <c r="D40" s="107"/>
      <c r="E40" s="230" t="s">
        <v>208</v>
      </c>
      <c r="F40" s="230"/>
      <c r="G40" s="230"/>
      <c r="H40" s="230"/>
      <c r="I40" s="230"/>
      <c r="J40" s="230"/>
      <c r="K40" s="230"/>
      <c r="L40" s="230"/>
      <c r="M40" s="230"/>
      <c r="N40" s="230"/>
      <c r="O40" s="230"/>
      <c r="P40" s="230"/>
      <c r="Q40" s="230"/>
      <c r="R40" s="230"/>
      <c r="S40" s="72"/>
      <c r="T40" s="72"/>
      <c r="U40" s="72"/>
      <c r="V40" s="122">
        <v>41</v>
      </c>
      <c r="W40" s="364">
        <f t="shared" si="0"/>
        <v>8.1303000000000001</v>
      </c>
      <c r="X40" s="364">
        <f t="shared" si="1"/>
        <v>4.5058999999999996</v>
      </c>
      <c r="Y40" s="364">
        <f t="shared" si="2"/>
        <v>8.3763000000000005</v>
      </c>
      <c r="Z40" s="364">
        <f t="shared" si="3"/>
        <v>4.7519</v>
      </c>
    </row>
    <row r="41" spans="1:26">
      <c r="A41" s="132" t="s">
        <v>209</v>
      </c>
      <c r="B41" s="132" t="s">
        <v>210</v>
      </c>
      <c r="C41" s="107"/>
      <c r="D41" s="107"/>
      <c r="E41" s="230" t="s">
        <v>211</v>
      </c>
      <c r="F41" s="230"/>
      <c r="G41" s="230"/>
      <c r="H41" s="230"/>
      <c r="I41" s="230"/>
      <c r="J41" s="230"/>
      <c r="K41" s="230"/>
      <c r="L41" s="230"/>
      <c r="M41" s="230"/>
      <c r="N41" s="230"/>
      <c r="O41" s="230"/>
      <c r="P41" s="230"/>
      <c r="Q41" s="230"/>
      <c r="R41" s="230"/>
      <c r="S41" s="72"/>
      <c r="T41" s="72"/>
      <c r="U41" s="72"/>
      <c r="V41" s="122">
        <v>82</v>
      </c>
      <c r="W41" s="364">
        <f t="shared" si="0"/>
        <v>16.2606</v>
      </c>
      <c r="X41" s="364">
        <f t="shared" si="1"/>
        <v>9.0117999999999991</v>
      </c>
      <c r="Y41" s="364">
        <f t="shared" si="2"/>
        <v>16.752600000000001</v>
      </c>
      <c r="Z41" s="364">
        <f t="shared" si="3"/>
        <v>9.5038</v>
      </c>
    </row>
    <row r="42" spans="1:26">
      <c r="A42" s="132" t="s">
        <v>212</v>
      </c>
      <c r="B42" s="132" t="s">
        <v>213</v>
      </c>
      <c r="C42" s="107"/>
      <c r="D42" s="107"/>
      <c r="E42" s="230" t="s">
        <v>214</v>
      </c>
      <c r="F42" s="230"/>
      <c r="G42" s="230" t="s">
        <v>215</v>
      </c>
      <c r="H42" s="230"/>
      <c r="I42" s="230"/>
      <c r="J42" s="230"/>
      <c r="K42" s="230"/>
      <c r="L42" s="230"/>
      <c r="M42" s="230"/>
      <c r="N42" s="230"/>
      <c r="O42" s="230"/>
      <c r="P42" s="230"/>
      <c r="Q42" s="230"/>
      <c r="R42" s="230"/>
      <c r="S42" s="72"/>
      <c r="T42" s="72"/>
      <c r="U42" s="72"/>
      <c r="V42" s="122">
        <v>82</v>
      </c>
      <c r="W42" s="364">
        <f t="shared" si="0"/>
        <v>16.2606</v>
      </c>
      <c r="X42" s="364">
        <f t="shared" si="1"/>
        <v>9.0117999999999991</v>
      </c>
      <c r="Y42" s="364">
        <f t="shared" si="2"/>
        <v>16.752600000000001</v>
      </c>
      <c r="Z42" s="364">
        <f t="shared" si="3"/>
        <v>9.5038</v>
      </c>
    </row>
    <row r="43" spans="1:26">
      <c r="A43" s="235"/>
      <c r="B43" s="140"/>
      <c r="C43" s="134"/>
      <c r="D43" s="134"/>
      <c r="E43" s="45"/>
      <c r="F43" s="45"/>
      <c r="G43" s="45"/>
      <c r="H43" s="45"/>
      <c r="I43" s="45"/>
      <c r="J43" s="45"/>
      <c r="K43" s="45"/>
      <c r="L43" s="45"/>
      <c r="M43" s="45"/>
      <c r="N43" s="45"/>
      <c r="O43" s="45"/>
      <c r="P43" s="45"/>
      <c r="Q43" s="45"/>
      <c r="R43" s="45"/>
      <c r="S43" s="45"/>
      <c r="T43" s="45"/>
      <c r="U43" s="45"/>
      <c r="V43" s="122"/>
      <c r="W43" s="364"/>
      <c r="X43" s="364"/>
      <c r="Y43" s="364"/>
      <c r="Z43" s="364"/>
    </row>
    <row r="44" spans="1:26">
      <c r="A44" s="113" t="s">
        <v>216</v>
      </c>
      <c r="B44" s="232"/>
      <c r="C44" s="232"/>
      <c r="D44" s="232"/>
      <c r="E44" s="212"/>
      <c r="F44" s="212"/>
      <c r="G44" s="212"/>
      <c r="H44" s="212"/>
      <c r="I44" s="212"/>
      <c r="J44" s="212"/>
      <c r="K44" s="212"/>
      <c r="L44" s="212"/>
      <c r="M44" s="212"/>
      <c r="N44" s="212"/>
      <c r="O44" s="212"/>
      <c r="P44" s="212"/>
      <c r="Q44" s="212"/>
      <c r="R44" s="212"/>
      <c r="S44" s="208"/>
      <c r="T44" s="208"/>
      <c r="U44" s="208"/>
      <c r="V44" s="182"/>
      <c r="W44" s="182">
        <f t="shared" si="0"/>
        <v>0</v>
      </c>
      <c r="X44" s="182">
        <f t="shared" si="1"/>
        <v>0</v>
      </c>
      <c r="Y44" s="182">
        <f t="shared" si="2"/>
        <v>0</v>
      </c>
      <c r="Z44" s="182">
        <f t="shared" si="3"/>
        <v>0</v>
      </c>
    </row>
    <row r="45" spans="1:26">
      <c r="A45" s="132" t="s">
        <v>217</v>
      </c>
      <c r="B45" s="132" t="s">
        <v>218</v>
      </c>
      <c r="C45" s="107"/>
      <c r="D45" s="107"/>
      <c r="E45" s="230"/>
      <c r="F45" s="230"/>
      <c r="G45" s="230"/>
      <c r="H45" s="230"/>
      <c r="I45" s="230"/>
      <c r="J45" s="230" t="s">
        <v>219</v>
      </c>
      <c r="K45" s="230"/>
      <c r="L45" s="230"/>
      <c r="M45" s="230" t="s">
        <v>220</v>
      </c>
      <c r="N45" s="230"/>
      <c r="O45" s="230"/>
      <c r="P45" s="230"/>
      <c r="Q45" s="230"/>
      <c r="R45" s="230"/>
      <c r="S45" s="72"/>
      <c r="T45" s="72"/>
      <c r="U45" s="72"/>
      <c r="V45" s="122">
        <v>13</v>
      </c>
      <c r="W45" s="364">
        <f t="shared" si="0"/>
        <v>2.5779000000000001</v>
      </c>
      <c r="X45" s="364">
        <f t="shared" si="1"/>
        <v>1.4287000000000001</v>
      </c>
      <c r="Y45" s="364">
        <f t="shared" si="2"/>
        <v>2.6558999999999999</v>
      </c>
      <c r="Z45" s="364">
        <f t="shared" si="3"/>
        <v>1.5066999999999999</v>
      </c>
    </row>
    <row r="46" spans="1:26">
      <c r="A46" s="132" t="s">
        <v>221</v>
      </c>
      <c r="B46" s="132" t="s">
        <v>222</v>
      </c>
      <c r="C46" s="107"/>
      <c r="D46" s="107"/>
      <c r="E46" s="230"/>
      <c r="F46" s="230"/>
      <c r="G46" s="230"/>
      <c r="H46" s="230"/>
      <c r="I46" s="230"/>
      <c r="J46" s="230" t="s">
        <v>223</v>
      </c>
      <c r="K46" s="230"/>
      <c r="L46" s="230"/>
      <c r="M46" s="230" t="s">
        <v>224</v>
      </c>
      <c r="N46" s="230"/>
      <c r="O46" s="230"/>
      <c r="P46" s="230"/>
      <c r="Q46" s="230"/>
      <c r="R46" s="230"/>
      <c r="S46" s="72"/>
      <c r="T46" s="72"/>
      <c r="U46" s="72"/>
      <c r="V46" s="122">
        <v>13</v>
      </c>
      <c r="W46" s="364">
        <f t="shared" si="0"/>
        <v>2.5779000000000001</v>
      </c>
      <c r="X46" s="364">
        <f t="shared" si="1"/>
        <v>1.4287000000000001</v>
      </c>
      <c r="Y46" s="364">
        <f t="shared" si="2"/>
        <v>2.6558999999999999</v>
      </c>
      <c r="Z46" s="364">
        <f t="shared" si="3"/>
        <v>1.5066999999999999</v>
      </c>
    </row>
    <row r="47" spans="1:26">
      <c r="A47" s="132" t="s">
        <v>225</v>
      </c>
      <c r="B47" s="132" t="s">
        <v>226</v>
      </c>
      <c r="C47" s="107"/>
      <c r="D47" s="107"/>
      <c r="E47" s="230"/>
      <c r="F47" s="230"/>
      <c r="G47" s="230"/>
      <c r="H47" s="230"/>
      <c r="I47" s="230"/>
      <c r="J47" s="230" t="s">
        <v>227</v>
      </c>
      <c r="K47" s="230"/>
      <c r="L47" s="230"/>
      <c r="M47" s="230"/>
      <c r="N47" s="230"/>
      <c r="O47" s="230"/>
      <c r="P47" s="230"/>
      <c r="Q47" s="230"/>
      <c r="R47" s="230"/>
      <c r="S47" s="72"/>
      <c r="T47" s="72"/>
      <c r="U47" s="72"/>
      <c r="V47" s="122">
        <v>46</v>
      </c>
      <c r="W47" s="364">
        <f t="shared" si="0"/>
        <v>9.1218000000000004</v>
      </c>
      <c r="X47" s="364">
        <f t="shared" si="1"/>
        <v>5.0553999999999997</v>
      </c>
      <c r="Y47" s="364">
        <f t="shared" si="2"/>
        <v>9.3978000000000002</v>
      </c>
      <c r="Z47" s="364">
        <f t="shared" si="3"/>
        <v>5.3314000000000004</v>
      </c>
    </row>
    <row r="48" spans="1:26">
      <c r="A48" s="235"/>
      <c r="B48" s="140"/>
      <c r="C48" s="134"/>
      <c r="D48" s="134"/>
      <c r="E48" s="45"/>
      <c r="F48" s="45"/>
      <c r="G48" s="45"/>
      <c r="H48" s="45"/>
      <c r="I48" s="45"/>
      <c r="J48" s="45"/>
      <c r="K48" s="45"/>
      <c r="L48" s="45"/>
      <c r="M48" s="45"/>
      <c r="N48" s="45"/>
      <c r="O48" s="45"/>
      <c r="P48" s="45"/>
      <c r="Q48" s="45"/>
      <c r="R48" s="45"/>
      <c r="S48" s="45"/>
      <c r="T48" s="45"/>
      <c r="U48" s="45"/>
      <c r="V48" s="122"/>
      <c r="W48" s="364"/>
      <c r="X48" s="364"/>
      <c r="Y48" s="364"/>
      <c r="Z48" s="364"/>
    </row>
    <row r="49" spans="1:45">
      <c r="A49" s="113" t="s">
        <v>228</v>
      </c>
      <c r="B49" s="232"/>
      <c r="C49" s="232"/>
      <c r="D49" s="232"/>
      <c r="E49" s="208"/>
      <c r="F49" s="208"/>
      <c r="G49" s="208"/>
      <c r="H49" s="208"/>
      <c r="I49" s="208"/>
      <c r="J49" s="208"/>
      <c r="K49" s="208"/>
      <c r="L49" s="208"/>
      <c r="M49" s="208"/>
      <c r="N49" s="208"/>
      <c r="O49" s="208"/>
      <c r="P49" s="208"/>
      <c r="Q49" s="208"/>
      <c r="R49" s="208"/>
      <c r="S49" s="208"/>
      <c r="T49" s="208"/>
      <c r="U49" s="208"/>
      <c r="V49" s="182"/>
      <c r="W49" s="182"/>
      <c r="X49" s="182"/>
      <c r="Y49" s="182"/>
      <c r="Z49" s="182"/>
    </row>
    <row r="50" spans="1:45">
      <c r="A50" s="132" t="s">
        <v>229</v>
      </c>
      <c r="B50" s="132" t="s">
        <v>230</v>
      </c>
      <c r="C50" s="107"/>
      <c r="D50" s="107"/>
      <c r="E50" s="230" t="s">
        <v>231</v>
      </c>
      <c r="F50" s="230"/>
      <c r="G50" s="230" t="s">
        <v>232</v>
      </c>
      <c r="H50" s="230"/>
      <c r="I50" s="230"/>
      <c r="J50" s="230" t="s">
        <v>233</v>
      </c>
      <c r="K50" s="230"/>
      <c r="L50" s="230"/>
      <c r="M50" s="230" t="s">
        <v>234</v>
      </c>
      <c r="N50" s="230"/>
      <c r="O50" s="230"/>
      <c r="P50" s="230" t="s">
        <v>235</v>
      </c>
      <c r="Q50" s="230"/>
      <c r="R50" s="230"/>
      <c r="S50" s="230"/>
      <c r="T50" s="230"/>
      <c r="U50" s="230"/>
      <c r="V50" s="122">
        <v>30</v>
      </c>
      <c r="W50" s="364">
        <f t="shared" si="0"/>
        <v>5.9489999999999998</v>
      </c>
      <c r="X50" s="364">
        <f t="shared" si="1"/>
        <v>3.2969999999999997</v>
      </c>
      <c r="Y50" s="364">
        <f t="shared" si="2"/>
        <v>6.1290000000000004</v>
      </c>
      <c r="Z50" s="364">
        <f t="shared" si="3"/>
        <v>3.4770000000000003</v>
      </c>
    </row>
    <row r="51" spans="1:45">
      <c r="A51" s="132" t="s">
        <v>236</v>
      </c>
      <c r="B51" s="132" t="s">
        <v>237</v>
      </c>
      <c r="C51" s="107"/>
      <c r="D51" s="107"/>
      <c r="E51" s="230" t="s">
        <v>238</v>
      </c>
      <c r="F51" s="230"/>
      <c r="G51" s="230" t="s">
        <v>239</v>
      </c>
      <c r="H51" s="230"/>
      <c r="I51" s="230"/>
      <c r="J51" s="230" t="s">
        <v>240</v>
      </c>
      <c r="K51" s="230"/>
      <c r="L51" s="230"/>
      <c r="M51" s="230" t="s">
        <v>241</v>
      </c>
      <c r="N51" s="230"/>
      <c r="O51" s="230"/>
      <c r="P51" s="230" t="s">
        <v>242</v>
      </c>
      <c r="Q51" s="230"/>
      <c r="R51" s="230"/>
      <c r="S51" s="230"/>
      <c r="T51" s="230"/>
      <c r="U51" s="230"/>
      <c r="V51" s="122">
        <v>104</v>
      </c>
      <c r="W51" s="364">
        <f t="shared" si="0"/>
        <v>20.623200000000001</v>
      </c>
      <c r="X51" s="364">
        <f t="shared" si="1"/>
        <v>11.429600000000001</v>
      </c>
      <c r="Y51" s="364">
        <f t="shared" si="2"/>
        <v>21.247199999999999</v>
      </c>
      <c r="Z51" s="364">
        <f t="shared" si="3"/>
        <v>12.053599999999999</v>
      </c>
    </row>
    <row r="52" spans="1:45" s="177" customFormat="1">
      <c r="A52" s="69" t="s">
        <v>243</v>
      </c>
      <c r="B52" s="132" t="s">
        <v>244</v>
      </c>
      <c r="C52" s="107"/>
      <c r="D52" s="107"/>
      <c r="E52" s="230"/>
      <c r="F52" s="230"/>
      <c r="G52" s="230"/>
      <c r="H52" s="230"/>
      <c r="I52" s="230"/>
      <c r="J52" s="230" t="s">
        <v>245</v>
      </c>
      <c r="K52" s="230"/>
      <c r="L52" s="230"/>
      <c r="M52" s="230"/>
      <c r="N52" s="230"/>
      <c r="O52" s="230"/>
      <c r="P52" s="230"/>
      <c r="Q52" s="230"/>
      <c r="R52" s="230"/>
      <c r="S52" s="72"/>
      <c r="T52" s="72"/>
      <c r="U52" s="72"/>
      <c r="V52" s="122">
        <v>40</v>
      </c>
      <c r="W52" s="364">
        <f t="shared" si="0"/>
        <v>7.9320000000000004</v>
      </c>
      <c r="X52" s="364">
        <f t="shared" si="1"/>
        <v>4.3959999999999999</v>
      </c>
      <c r="Y52" s="364">
        <f t="shared" si="2"/>
        <v>8.1720000000000006</v>
      </c>
      <c r="Z52" s="364">
        <f t="shared" si="3"/>
        <v>4.6360000000000001</v>
      </c>
      <c r="AA52" s="172"/>
      <c r="AB52" s="172"/>
      <c r="AC52" s="172"/>
      <c r="AD52" s="172"/>
      <c r="AE52" s="172"/>
      <c r="AF52" s="172"/>
      <c r="AG52" s="172"/>
      <c r="AH52" s="172"/>
      <c r="AI52" s="172"/>
      <c r="AJ52" s="172"/>
      <c r="AK52" s="172"/>
      <c r="AL52" s="172"/>
      <c r="AM52" s="172"/>
      <c r="AN52" s="172"/>
      <c r="AO52" s="172"/>
      <c r="AP52" s="172"/>
      <c r="AQ52" s="172"/>
      <c r="AR52" s="172"/>
      <c r="AS52" s="172"/>
    </row>
    <row r="53" spans="1:45" s="177" customFormat="1">
      <c r="A53" s="235"/>
      <c r="B53" s="140"/>
      <c r="C53" s="134"/>
      <c r="D53" s="134"/>
      <c r="E53" s="45"/>
      <c r="F53" s="45"/>
      <c r="G53" s="45"/>
      <c r="H53" s="45"/>
      <c r="I53" s="45"/>
      <c r="J53" s="45"/>
      <c r="K53" s="45"/>
      <c r="L53" s="45"/>
      <c r="M53" s="45"/>
      <c r="N53" s="45"/>
      <c r="O53" s="45"/>
      <c r="P53" s="45"/>
      <c r="Q53" s="45"/>
      <c r="R53" s="45"/>
      <c r="S53" s="45"/>
      <c r="T53" s="45"/>
      <c r="U53" s="45"/>
      <c r="V53" s="122"/>
      <c r="W53" s="364"/>
      <c r="X53" s="364"/>
      <c r="Y53" s="364"/>
      <c r="Z53" s="364"/>
      <c r="AA53" s="172"/>
      <c r="AB53" s="172"/>
      <c r="AC53" s="172"/>
      <c r="AD53" s="172"/>
      <c r="AE53" s="172"/>
      <c r="AF53" s="172"/>
      <c r="AG53" s="172"/>
      <c r="AH53" s="172"/>
      <c r="AI53" s="172"/>
      <c r="AJ53" s="172"/>
      <c r="AK53" s="172"/>
      <c r="AL53" s="172"/>
      <c r="AM53" s="172"/>
      <c r="AN53" s="172"/>
      <c r="AO53" s="172"/>
      <c r="AP53" s="172"/>
      <c r="AQ53" s="172"/>
      <c r="AR53" s="172"/>
      <c r="AS53" s="172"/>
    </row>
    <row r="54" spans="1:45" s="177" customFormat="1">
      <c r="A54" s="113" t="s">
        <v>246</v>
      </c>
      <c r="B54" s="232"/>
      <c r="C54" s="232"/>
      <c r="D54" s="232"/>
      <c r="E54" s="208"/>
      <c r="F54" s="208"/>
      <c r="G54" s="208"/>
      <c r="H54" s="208"/>
      <c r="I54" s="208"/>
      <c r="J54" s="208"/>
      <c r="K54" s="208"/>
      <c r="L54" s="208"/>
      <c r="M54" s="208"/>
      <c r="N54" s="208"/>
      <c r="O54" s="208"/>
      <c r="P54" s="208"/>
      <c r="Q54" s="208"/>
      <c r="R54" s="208"/>
      <c r="S54" s="208"/>
      <c r="T54" s="208"/>
      <c r="U54" s="208"/>
      <c r="V54" s="182"/>
      <c r="W54" s="182"/>
      <c r="X54" s="182"/>
      <c r="Y54" s="182"/>
      <c r="Z54" s="182"/>
      <c r="AA54" s="172"/>
      <c r="AB54" s="172"/>
      <c r="AC54" s="172"/>
      <c r="AD54" s="172"/>
      <c r="AE54" s="172"/>
      <c r="AF54" s="172"/>
      <c r="AG54" s="172"/>
      <c r="AH54" s="172"/>
      <c r="AI54" s="172"/>
      <c r="AJ54" s="172"/>
      <c r="AK54" s="172"/>
      <c r="AL54" s="172"/>
      <c r="AM54" s="172"/>
      <c r="AN54" s="172"/>
      <c r="AO54" s="172"/>
      <c r="AP54" s="172"/>
      <c r="AQ54" s="172"/>
      <c r="AR54" s="172"/>
      <c r="AS54" s="172"/>
    </row>
    <row r="55" spans="1:45" s="177" customFormat="1">
      <c r="A55" s="69" t="s">
        <v>247</v>
      </c>
      <c r="B55" s="132" t="s">
        <v>248</v>
      </c>
      <c r="C55" s="107"/>
      <c r="D55" s="107"/>
      <c r="E55" s="48" t="s">
        <v>249</v>
      </c>
      <c r="F55" s="230"/>
      <c r="G55" s="230" t="s">
        <v>250</v>
      </c>
      <c r="H55" s="230"/>
      <c r="I55" s="230"/>
      <c r="J55" s="230" t="s">
        <v>251</v>
      </c>
      <c r="K55" s="230"/>
      <c r="L55" s="230"/>
      <c r="M55" s="230" t="s">
        <v>252</v>
      </c>
      <c r="N55" s="230"/>
      <c r="O55" s="230"/>
      <c r="P55" s="230"/>
      <c r="Q55" s="230"/>
      <c r="R55" s="230"/>
      <c r="S55" s="72"/>
      <c r="T55" s="72"/>
      <c r="U55" s="72"/>
      <c r="V55" s="122">
        <v>5</v>
      </c>
      <c r="W55" s="364">
        <f t="shared" si="0"/>
        <v>0.99150000000000005</v>
      </c>
      <c r="X55" s="364">
        <f t="shared" si="1"/>
        <v>0.54949999999999999</v>
      </c>
      <c r="Y55" s="364">
        <f t="shared" si="2"/>
        <v>1.0215000000000001</v>
      </c>
      <c r="Z55" s="364">
        <f t="shared" si="3"/>
        <v>0.57950000000000002</v>
      </c>
      <c r="AA55" s="172"/>
      <c r="AB55" s="172"/>
      <c r="AC55" s="172"/>
      <c r="AD55" s="172"/>
      <c r="AE55" s="172"/>
      <c r="AF55" s="172"/>
      <c r="AG55" s="172"/>
      <c r="AH55" s="172"/>
      <c r="AI55" s="172"/>
      <c r="AJ55" s="172"/>
      <c r="AK55" s="172"/>
      <c r="AL55" s="172"/>
      <c r="AM55" s="172"/>
      <c r="AN55" s="172"/>
      <c r="AO55" s="172"/>
      <c r="AP55" s="172"/>
      <c r="AQ55" s="172"/>
      <c r="AR55" s="172"/>
      <c r="AS55" s="172"/>
    </row>
    <row r="56" spans="1:45" s="177" customFormat="1">
      <c r="A56" s="235"/>
      <c r="B56" s="140"/>
      <c r="C56" s="134"/>
      <c r="D56" s="134"/>
      <c r="E56" s="45"/>
      <c r="F56" s="45"/>
      <c r="G56" s="45"/>
      <c r="H56" s="45"/>
      <c r="I56" s="45"/>
      <c r="J56" s="45"/>
      <c r="K56" s="45"/>
      <c r="L56" s="45"/>
      <c r="M56" s="45"/>
      <c r="N56" s="45"/>
      <c r="O56" s="45"/>
      <c r="P56" s="45"/>
      <c r="Q56" s="45"/>
      <c r="R56" s="45"/>
      <c r="S56" s="45"/>
      <c r="T56" s="45"/>
      <c r="U56" s="45"/>
      <c r="V56" s="122"/>
      <c r="W56" s="364"/>
      <c r="X56" s="364"/>
      <c r="Y56" s="364"/>
      <c r="Z56" s="364"/>
      <c r="AA56" s="172"/>
      <c r="AB56" s="172"/>
      <c r="AC56" s="172"/>
      <c r="AD56" s="172"/>
      <c r="AE56" s="172"/>
      <c r="AF56" s="172"/>
      <c r="AG56" s="172"/>
      <c r="AH56" s="172"/>
      <c r="AI56" s="172"/>
      <c r="AJ56" s="172"/>
      <c r="AK56" s="172"/>
      <c r="AL56" s="172"/>
      <c r="AM56" s="172"/>
      <c r="AN56" s="172"/>
      <c r="AO56" s="172"/>
      <c r="AP56" s="172"/>
      <c r="AQ56" s="172"/>
      <c r="AR56" s="172"/>
      <c r="AS56" s="172"/>
    </row>
    <row r="57" spans="1:45" s="177" customFormat="1">
      <c r="A57" s="113" t="s">
        <v>253</v>
      </c>
      <c r="B57" s="232" t="s">
        <v>254</v>
      </c>
      <c r="C57" s="232"/>
      <c r="D57" s="232"/>
      <c r="E57" s="212" t="s">
        <v>254</v>
      </c>
      <c r="F57" s="212"/>
      <c r="G57" s="212"/>
      <c r="H57" s="212"/>
      <c r="I57" s="212"/>
      <c r="J57" s="212"/>
      <c r="K57" s="212"/>
      <c r="L57" s="212"/>
      <c r="M57" s="212"/>
      <c r="N57" s="212"/>
      <c r="O57" s="212"/>
      <c r="P57" s="212"/>
      <c r="Q57" s="212"/>
      <c r="R57" s="212"/>
      <c r="S57" s="208"/>
      <c r="T57" s="208"/>
      <c r="U57" s="208"/>
      <c r="V57" s="182"/>
      <c r="W57" s="182"/>
      <c r="X57" s="182"/>
      <c r="Y57" s="182"/>
      <c r="Z57" s="182"/>
      <c r="AA57" s="172"/>
      <c r="AB57" s="172"/>
      <c r="AC57" s="172"/>
      <c r="AD57" s="172"/>
      <c r="AE57" s="172"/>
      <c r="AF57" s="172"/>
      <c r="AG57" s="172"/>
      <c r="AH57" s="172"/>
      <c r="AI57" s="172"/>
      <c r="AJ57" s="172"/>
      <c r="AK57" s="172"/>
      <c r="AL57" s="172"/>
      <c r="AM57" s="172"/>
      <c r="AN57" s="172"/>
      <c r="AO57" s="172"/>
      <c r="AP57" s="172"/>
      <c r="AQ57" s="172"/>
      <c r="AR57" s="172"/>
      <c r="AS57" s="172"/>
    </row>
    <row r="58" spans="1:45" s="177" customFormat="1">
      <c r="A58" s="132" t="s">
        <v>255</v>
      </c>
      <c r="B58" s="132" t="s">
        <v>256</v>
      </c>
      <c r="C58" s="107"/>
      <c r="D58" s="107"/>
      <c r="E58" s="230" t="s">
        <v>257</v>
      </c>
      <c r="F58" s="230"/>
      <c r="G58" s="230" t="s">
        <v>258</v>
      </c>
      <c r="H58" s="230"/>
      <c r="I58" s="230"/>
      <c r="J58" s="230" t="s">
        <v>259</v>
      </c>
      <c r="K58" s="230"/>
      <c r="L58" s="230"/>
      <c r="M58" s="230" t="s">
        <v>260</v>
      </c>
      <c r="N58" s="230"/>
      <c r="O58" s="230"/>
      <c r="P58" s="230"/>
      <c r="Q58" s="230"/>
      <c r="R58" s="230"/>
      <c r="S58" s="72"/>
      <c r="T58" s="72"/>
      <c r="U58" s="72"/>
      <c r="V58" s="122">
        <v>15</v>
      </c>
      <c r="W58" s="364">
        <f t="shared" si="0"/>
        <v>2.9744999999999999</v>
      </c>
      <c r="X58" s="364">
        <f t="shared" si="1"/>
        <v>1.6484999999999999</v>
      </c>
      <c r="Y58" s="364">
        <f t="shared" si="2"/>
        <v>3.0645000000000002</v>
      </c>
      <c r="Z58" s="364">
        <f t="shared" si="3"/>
        <v>1.7385000000000002</v>
      </c>
      <c r="AA58" s="172"/>
      <c r="AB58" s="172"/>
      <c r="AC58" s="172"/>
      <c r="AD58" s="172"/>
      <c r="AE58" s="172"/>
      <c r="AF58" s="172"/>
      <c r="AG58" s="172"/>
      <c r="AH58" s="172"/>
      <c r="AI58" s="172"/>
      <c r="AJ58" s="172"/>
      <c r="AK58" s="172"/>
      <c r="AL58" s="172"/>
      <c r="AM58" s="172"/>
      <c r="AN58" s="172"/>
      <c r="AO58" s="172"/>
      <c r="AP58" s="172"/>
      <c r="AQ58" s="172"/>
      <c r="AR58" s="172"/>
      <c r="AS58" s="172"/>
    </row>
    <row r="59" spans="1:45" s="177" customFormat="1">
      <c r="A59" s="132" t="s">
        <v>255</v>
      </c>
      <c r="B59" s="132" t="s">
        <v>261</v>
      </c>
      <c r="C59" s="107"/>
      <c r="D59" s="107"/>
      <c r="E59" s="230"/>
      <c r="F59" s="230"/>
      <c r="G59" s="230"/>
      <c r="H59" s="230"/>
      <c r="I59" s="230"/>
      <c r="J59" s="230"/>
      <c r="K59" s="230"/>
      <c r="L59" s="230"/>
      <c r="M59" s="230"/>
      <c r="N59" s="230"/>
      <c r="O59" s="230"/>
      <c r="P59" s="230" t="s">
        <v>262</v>
      </c>
      <c r="Q59" s="230"/>
      <c r="R59" s="230"/>
      <c r="S59" s="230"/>
      <c r="T59" s="230"/>
      <c r="U59" s="230"/>
      <c r="V59" s="122">
        <v>0</v>
      </c>
      <c r="W59" s="364"/>
      <c r="X59" s="364"/>
      <c r="Y59" s="364"/>
      <c r="Z59" s="364"/>
      <c r="AA59" s="172"/>
      <c r="AB59" s="172"/>
      <c r="AC59" s="172"/>
      <c r="AD59" s="172"/>
      <c r="AE59" s="172"/>
      <c r="AF59" s="172"/>
      <c r="AG59" s="172"/>
      <c r="AH59" s="172"/>
      <c r="AI59" s="172"/>
      <c r="AJ59" s="172"/>
      <c r="AK59" s="172"/>
      <c r="AL59" s="172"/>
      <c r="AM59" s="172"/>
      <c r="AN59" s="172"/>
      <c r="AO59" s="172"/>
      <c r="AP59" s="172"/>
      <c r="AQ59" s="172"/>
      <c r="AR59" s="172"/>
      <c r="AS59" s="172"/>
    </row>
    <row r="60" spans="1:45" s="177" customFormat="1">
      <c r="A60" s="235"/>
      <c r="B60" s="140"/>
      <c r="C60" s="134"/>
      <c r="D60" s="134"/>
      <c r="E60" s="45"/>
      <c r="F60" s="45"/>
      <c r="G60" s="45"/>
      <c r="H60" s="45"/>
      <c r="I60" s="45"/>
      <c r="J60" s="45"/>
      <c r="K60" s="45"/>
      <c r="L60" s="45"/>
      <c r="M60" s="45"/>
      <c r="N60" s="45"/>
      <c r="O60" s="45"/>
      <c r="P60" s="45"/>
      <c r="Q60" s="45"/>
      <c r="R60" s="45"/>
      <c r="S60" s="45"/>
      <c r="T60" s="45"/>
      <c r="U60" s="45"/>
      <c r="V60" s="122"/>
      <c r="W60" s="364"/>
      <c r="X60" s="364"/>
      <c r="Y60" s="364"/>
      <c r="Z60" s="364"/>
      <c r="AA60" s="172"/>
      <c r="AB60" s="172"/>
      <c r="AC60" s="172"/>
      <c r="AD60" s="172"/>
      <c r="AE60" s="172"/>
      <c r="AF60" s="172"/>
      <c r="AG60" s="172"/>
      <c r="AH60" s="172"/>
      <c r="AI60" s="172"/>
      <c r="AJ60" s="172"/>
      <c r="AK60" s="172"/>
      <c r="AL60" s="172"/>
      <c r="AM60" s="172"/>
      <c r="AN60" s="172"/>
      <c r="AO60" s="172"/>
      <c r="AP60" s="172"/>
      <c r="AQ60" s="172"/>
      <c r="AR60" s="172"/>
      <c r="AS60" s="172"/>
    </row>
    <row r="61" spans="1:45" s="177" customFormat="1">
      <c r="A61" s="113" t="s">
        <v>263</v>
      </c>
      <c r="B61" s="232"/>
      <c r="C61" s="232"/>
      <c r="D61" s="232"/>
      <c r="E61" s="208"/>
      <c r="F61" s="208"/>
      <c r="G61" s="208"/>
      <c r="H61" s="208"/>
      <c r="I61" s="208"/>
      <c r="J61" s="208"/>
      <c r="K61" s="208"/>
      <c r="L61" s="208"/>
      <c r="M61" s="208"/>
      <c r="N61" s="208"/>
      <c r="O61" s="208"/>
      <c r="P61" s="208"/>
      <c r="Q61" s="208"/>
      <c r="R61" s="208"/>
      <c r="S61" s="208"/>
      <c r="T61" s="208"/>
      <c r="U61" s="208"/>
      <c r="V61" s="182"/>
      <c r="W61" s="182"/>
      <c r="X61" s="182"/>
      <c r="Y61" s="182"/>
      <c r="Z61" s="182"/>
      <c r="AA61" s="172"/>
      <c r="AB61" s="172"/>
      <c r="AC61" s="172"/>
      <c r="AD61" s="172"/>
      <c r="AE61" s="172"/>
      <c r="AF61" s="172"/>
      <c r="AG61" s="172"/>
      <c r="AH61" s="172"/>
      <c r="AI61" s="172"/>
      <c r="AJ61" s="172"/>
      <c r="AK61" s="172"/>
      <c r="AL61" s="172"/>
      <c r="AM61" s="172"/>
      <c r="AN61" s="172"/>
      <c r="AO61" s="172"/>
      <c r="AP61" s="172"/>
      <c r="AQ61" s="172"/>
      <c r="AR61" s="172"/>
      <c r="AS61" s="172"/>
    </row>
    <row r="62" spans="1:45" s="177" customFormat="1">
      <c r="A62" s="132" t="s">
        <v>113</v>
      </c>
      <c r="B62" s="132" t="s">
        <v>264</v>
      </c>
      <c r="C62" s="107"/>
      <c r="D62" s="107"/>
      <c r="E62" s="230" t="s">
        <v>265</v>
      </c>
      <c r="F62" s="230"/>
      <c r="G62" s="230" t="s">
        <v>266</v>
      </c>
      <c r="H62" s="230"/>
      <c r="I62" s="230"/>
      <c r="J62" s="230" t="s">
        <v>267</v>
      </c>
      <c r="K62" s="230"/>
      <c r="L62" s="230"/>
      <c r="M62" s="230" t="s">
        <v>268</v>
      </c>
      <c r="N62" s="230"/>
      <c r="O62" s="230"/>
      <c r="P62" s="230" t="s">
        <v>269</v>
      </c>
      <c r="Q62" s="230"/>
      <c r="R62" s="230"/>
      <c r="S62" s="230"/>
      <c r="T62" s="230"/>
      <c r="U62" s="230"/>
      <c r="V62" s="122">
        <v>6</v>
      </c>
      <c r="W62" s="364">
        <f t="shared" si="0"/>
        <v>1.1898</v>
      </c>
      <c r="X62" s="364">
        <f t="shared" si="1"/>
        <v>0.65939999999999999</v>
      </c>
      <c r="Y62" s="364">
        <f t="shared" si="2"/>
        <v>1.2258</v>
      </c>
      <c r="Z62" s="364">
        <f t="shared" si="3"/>
        <v>0.69540000000000002</v>
      </c>
      <c r="AA62" s="172"/>
      <c r="AB62" s="172"/>
      <c r="AC62" s="172"/>
      <c r="AD62" s="172"/>
      <c r="AE62" s="172"/>
      <c r="AF62" s="172"/>
      <c r="AG62" s="172"/>
      <c r="AH62" s="172"/>
      <c r="AI62" s="172"/>
      <c r="AJ62" s="172"/>
      <c r="AK62" s="172"/>
      <c r="AL62" s="172"/>
      <c r="AM62" s="172"/>
      <c r="AN62" s="172"/>
      <c r="AO62" s="172"/>
      <c r="AP62" s="172"/>
      <c r="AQ62" s="172"/>
      <c r="AR62" s="172"/>
      <c r="AS62" s="172"/>
    </row>
    <row r="63" spans="1:45" s="177" customFormat="1">
      <c r="A63" s="235"/>
      <c r="B63" s="140"/>
      <c r="C63" s="134"/>
      <c r="D63" s="134"/>
      <c r="E63" s="45"/>
      <c r="F63" s="45"/>
      <c r="G63" s="45"/>
      <c r="H63" s="45"/>
      <c r="I63" s="45"/>
      <c r="J63" s="45"/>
      <c r="K63" s="45"/>
      <c r="L63" s="45"/>
      <c r="M63" s="45"/>
      <c r="N63" s="45"/>
      <c r="O63" s="45"/>
      <c r="P63" s="45"/>
      <c r="Q63" s="45"/>
      <c r="R63" s="45"/>
      <c r="S63" s="45"/>
      <c r="T63" s="45"/>
      <c r="U63" s="45"/>
      <c r="V63" s="122"/>
      <c r="W63" s="364"/>
      <c r="X63" s="364"/>
      <c r="Y63" s="364"/>
      <c r="Z63" s="364"/>
      <c r="AA63" s="172"/>
      <c r="AB63" s="172"/>
      <c r="AC63" s="172"/>
      <c r="AD63" s="172"/>
      <c r="AE63" s="172"/>
      <c r="AF63" s="172"/>
      <c r="AG63" s="172"/>
      <c r="AH63" s="172"/>
      <c r="AI63" s="172"/>
      <c r="AJ63" s="172"/>
      <c r="AK63" s="172"/>
      <c r="AL63" s="172"/>
      <c r="AM63" s="172"/>
      <c r="AN63" s="172"/>
      <c r="AO63" s="172"/>
      <c r="AP63" s="172"/>
      <c r="AQ63" s="172"/>
      <c r="AR63" s="172"/>
      <c r="AS63" s="172"/>
    </row>
    <row r="64" spans="1:45" s="177" customFormat="1">
      <c r="A64" s="113" t="s">
        <v>270</v>
      </c>
      <c r="B64" s="232"/>
      <c r="C64" s="232"/>
      <c r="D64" s="232"/>
      <c r="E64" s="208"/>
      <c r="F64" s="208"/>
      <c r="G64" s="208"/>
      <c r="H64" s="208"/>
      <c r="I64" s="208"/>
      <c r="J64" s="208"/>
      <c r="K64" s="208"/>
      <c r="L64" s="208"/>
      <c r="M64" s="208"/>
      <c r="N64" s="208"/>
      <c r="O64" s="208"/>
      <c r="P64" s="208"/>
      <c r="Q64" s="208"/>
      <c r="R64" s="208"/>
      <c r="S64" s="208"/>
      <c r="T64" s="208"/>
      <c r="U64" s="208"/>
      <c r="V64" s="182"/>
      <c r="W64" s="182"/>
      <c r="X64" s="182"/>
      <c r="Y64" s="182"/>
      <c r="Z64" s="182"/>
      <c r="AA64" s="172"/>
      <c r="AB64" s="172"/>
      <c r="AC64" s="172"/>
      <c r="AD64" s="172"/>
      <c r="AE64" s="172"/>
      <c r="AF64" s="172"/>
      <c r="AG64" s="172"/>
      <c r="AH64" s="172"/>
      <c r="AI64" s="172"/>
      <c r="AJ64" s="172"/>
      <c r="AK64" s="172"/>
      <c r="AL64" s="172"/>
      <c r="AM64" s="172"/>
      <c r="AN64" s="172"/>
      <c r="AO64" s="172"/>
      <c r="AP64" s="172"/>
      <c r="AQ64" s="172"/>
      <c r="AR64" s="172"/>
      <c r="AS64" s="172"/>
    </row>
    <row r="65" spans="1:45" s="177" customFormat="1" ht="27.6">
      <c r="A65" s="132" t="s">
        <v>271</v>
      </c>
      <c r="B65" s="132" t="s">
        <v>272</v>
      </c>
      <c r="C65" s="107"/>
      <c r="D65" s="107"/>
      <c r="E65" s="230" t="s">
        <v>273</v>
      </c>
      <c r="F65" s="230"/>
      <c r="G65" s="230"/>
      <c r="H65" s="230"/>
      <c r="I65" s="230"/>
      <c r="J65" s="230"/>
      <c r="K65" s="230"/>
      <c r="L65" s="230"/>
      <c r="M65" s="230"/>
      <c r="N65" s="230"/>
      <c r="O65" s="230"/>
      <c r="P65" s="230"/>
      <c r="Q65" s="230"/>
      <c r="R65" s="230"/>
      <c r="S65" s="72"/>
      <c r="T65" s="72"/>
      <c r="U65" s="72"/>
      <c r="V65" s="122">
        <v>10</v>
      </c>
      <c r="W65" s="364">
        <f t="shared" si="0"/>
        <v>1.9830000000000001</v>
      </c>
      <c r="X65" s="364">
        <f t="shared" si="1"/>
        <v>1.099</v>
      </c>
      <c r="Y65" s="364">
        <f t="shared" si="2"/>
        <v>2.0430000000000001</v>
      </c>
      <c r="Z65" s="364">
        <f t="shared" si="3"/>
        <v>1.159</v>
      </c>
      <c r="AA65" s="172"/>
      <c r="AB65" s="172"/>
      <c r="AC65" s="172"/>
      <c r="AD65" s="172"/>
      <c r="AE65" s="172"/>
      <c r="AF65" s="172"/>
      <c r="AG65" s="172"/>
      <c r="AH65" s="172"/>
      <c r="AI65" s="172"/>
      <c r="AJ65" s="172"/>
      <c r="AK65" s="172"/>
      <c r="AL65" s="172"/>
      <c r="AM65" s="172"/>
      <c r="AN65" s="172"/>
      <c r="AO65" s="172"/>
      <c r="AP65" s="172"/>
      <c r="AQ65" s="172"/>
      <c r="AR65" s="172"/>
      <c r="AS65" s="172"/>
    </row>
    <row r="66" spans="1:45" s="177" customFormat="1">
      <c r="A66" s="235"/>
      <c r="B66" s="140"/>
      <c r="C66" s="134"/>
      <c r="D66" s="134"/>
      <c r="E66" s="45"/>
      <c r="F66" s="45"/>
      <c r="G66" s="45"/>
      <c r="H66" s="45"/>
      <c r="I66" s="45"/>
      <c r="J66" s="45"/>
      <c r="K66" s="45"/>
      <c r="L66" s="45"/>
      <c r="M66" s="45"/>
      <c r="N66" s="45"/>
      <c r="O66" s="45"/>
      <c r="P66" s="45"/>
      <c r="Q66" s="45"/>
      <c r="R66" s="45"/>
      <c r="S66" s="45"/>
      <c r="T66" s="45"/>
      <c r="U66" s="45"/>
      <c r="V66" s="122"/>
      <c r="W66" s="364"/>
      <c r="X66" s="364"/>
      <c r="Y66" s="364"/>
      <c r="Z66" s="364"/>
      <c r="AA66" s="172"/>
      <c r="AB66" s="172"/>
      <c r="AC66" s="172"/>
      <c r="AD66" s="172"/>
      <c r="AE66" s="172"/>
      <c r="AF66" s="172"/>
      <c r="AG66" s="172"/>
      <c r="AH66" s="172"/>
      <c r="AI66" s="172"/>
      <c r="AJ66" s="172"/>
      <c r="AK66" s="172"/>
      <c r="AL66" s="172"/>
      <c r="AM66" s="172"/>
      <c r="AN66" s="172"/>
      <c r="AO66" s="172"/>
      <c r="AP66" s="172"/>
      <c r="AQ66" s="172"/>
      <c r="AR66" s="172"/>
      <c r="AS66" s="172"/>
    </row>
    <row r="67" spans="1:45" s="177" customFormat="1">
      <c r="A67" s="113" t="s">
        <v>274</v>
      </c>
      <c r="B67" s="232"/>
      <c r="C67" s="232"/>
      <c r="D67" s="232"/>
      <c r="E67" s="208"/>
      <c r="F67" s="208"/>
      <c r="G67" s="208"/>
      <c r="H67" s="208"/>
      <c r="I67" s="208"/>
      <c r="J67" s="208"/>
      <c r="K67" s="208"/>
      <c r="L67" s="208"/>
      <c r="M67" s="208"/>
      <c r="N67" s="208"/>
      <c r="O67" s="208"/>
      <c r="P67" s="208"/>
      <c r="Q67" s="208"/>
      <c r="R67" s="208"/>
      <c r="S67" s="208"/>
      <c r="T67" s="208"/>
      <c r="U67" s="208"/>
      <c r="V67" s="182"/>
      <c r="W67" s="182"/>
      <c r="X67" s="182"/>
      <c r="Y67" s="182"/>
      <c r="Z67" s="182"/>
      <c r="AA67" s="172"/>
      <c r="AB67" s="172"/>
      <c r="AC67" s="172"/>
      <c r="AD67" s="172"/>
      <c r="AE67" s="172"/>
      <c r="AF67" s="172"/>
      <c r="AG67" s="172"/>
      <c r="AH67" s="172"/>
      <c r="AI67" s="172"/>
      <c r="AJ67" s="172"/>
      <c r="AK67" s="172"/>
      <c r="AL67" s="172"/>
      <c r="AM67" s="172"/>
      <c r="AN67" s="172"/>
      <c r="AO67" s="172"/>
      <c r="AP67" s="172"/>
      <c r="AQ67" s="172"/>
      <c r="AR67" s="172"/>
      <c r="AS67" s="172"/>
    </row>
    <row r="68" spans="1:45" s="177" customFormat="1">
      <c r="A68" s="132" t="s">
        <v>275</v>
      </c>
      <c r="B68" s="132" t="s">
        <v>276</v>
      </c>
      <c r="C68" s="107"/>
      <c r="D68" s="107"/>
      <c r="E68" s="230" t="s">
        <v>277</v>
      </c>
      <c r="F68" s="230"/>
      <c r="G68" s="230" t="s">
        <v>278</v>
      </c>
      <c r="H68" s="230"/>
      <c r="I68" s="230"/>
      <c r="J68" s="230" t="s">
        <v>279</v>
      </c>
      <c r="K68" s="230"/>
      <c r="L68" s="230"/>
      <c r="M68" s="230" t="s">
        <v>280</v>
      </c>
      <c r="N68" s="230"/>
      <c r="O68" s="230"/>
      <c r="P68" s="230" t="s">
        <v>281</v>
      </c>
      <c r="Q68" s="230"/>
      <c r="R68" s="230"/>
      <c r="S68" s="230"/>
      <c r="T68" s="230"/>
      <c r="U68" s="230"/>
      <c r="V68" s="122">
        <v>0</v>
      </c>
      <c r="W68" s="364">
        <f t="shared" si="0"/>
        <v>0</v>
      </c>
      <c r="X68" s="364">
        <f t="shared" si="1"/>
        <v>0</v>
      </c>
      <c r="Y68" s="364">
        <f t="shared" si="2"/>
        <v>0</v>
      </c>
      <c r="Z68" s="364">
        <f t="shared" si="3"/>
        <v>0</v>
      </c>
      <c r="AA68" s="172"/>
      <c r="AB68" s="172"/>
      <c r="AC68" s="172"/>
      <c r="AD68" s="172"/>
      <c r="AE68" s="172"/>
      <c r="AF68" s="172"/>
      <c r="AG68" s="172"/>
      <c r="AH68" s="172"/>
      <c r="AI68" s="172"/>
      <c r="AJ68" s="172"/>
      <c r="AK68" s="172"/>
      <c r="AL68" s="172"/>
      <c r="AM68" s="172"/>
      <c r="AN68" s="172"/>
      <c r="AO68" s="172"/>
      <c r="AP68" s="172"/>
      <c r="AQ68" s="172"/>
      <c r="AR68" s="172"/>
      <c r="AS68" s="172"/>
    </row>
    <row r="69" spans="1:45" s="177" customFormat="1">
      <c r="A69" s="235"/>
      <c r="B69" s="140"/>
      <c r="C69" s="134"/>
      <c r="D69" s="134"/>
      <c r="E69" s="45"/>
      <c r="F69" s="45"/>
      <c r="G69" s="45"/>
      <c r="H69" s="45"/>
      <c r="I69" s="45"/>
      <c r="J69" s="45"/>
      <c r="K69" s="45"/>
      <c r="L69" s="45"/>
      <c r="M69" s="45"/>
      <c r="N69" s="45"/>
      <c r="O69" s="45"/>
      <c r="P69" s="45"/>
      <c r="Q69" s="45"/>
      <c r="R69" s="45"/>
      <c r="S69" s="45"/>
      <c r="T69" s="45"/>
      <c r="U69" s="45"/>
      <c r="V69" s="122"/>
      <c r="W69" s="364"/>
      <c r="X69" s="364"/>
      <c r="Y69" s="364"/>
      <c r="Z69" s="364"/>
      <c r="AA69" s="172"/>
      <c r="AB69" s="172"/>
      <c r="AC69" s="172"/>
      <c r="AD69" s="172"/>
      <c r="AE69" s="172"/>
      <c r="AF69" s="172"/>
      <c r="AG69" s="172"/>
      <c r="AH69" s="172"/>
      <c r="AI69" s="172"/>
      <c r="AJ69" s="172"/>
      <c r="AK69" s="172"/>
      <c r="AL69" s="172"/>
      <c r="AM69" s="172"/>
      <c r="AN69" s="172"/>
      <c r="AO69" s="172"/>
      <c r="AP69" s="172"/>
      <c r="AQ69" s="172"/>
      <c r="AR69" s="172"/>
      <c r="AS69" s="172"/>
    </row>
    <row r="70" spans="1:45" s="177" customFormat="1">
      <c r="A70" s="113" t="s">
        <v>282</v>
      </c>
      <c r="B70" s="232"/>
      <c r="C70" s="232"/>
      <c r="D70" s="232"/>
      <c r="E70" s="208"/>
      <c r="F70" s="208"/>
      <c r="G70" s="208"/>
      <c r="H70" s="208"/>
      <c r="I70" s="208"/>
      <c r="J70" s="208"/>
      <c r="K70" s="208"/>
      <c r="L70" s="208"/>
      <c r="M70" s="208"/>
      <c r="N70" s="208"/>
      <c r="O70" s="208"/>
      <c r="P70" s="208"/>
      <c r="Q70" s="208"/>
      <c r="R70" s="208"/>
      <c r="S70" s="208"/>
      <c r="T70" s="208"/>
      <c r="U70" s="208"/>
      <c r="V70" s="182"/>
      <c r="W70" s="182">
        <f t="shared" si="0"/>
        <v>0</v>
      </c>
      <c r="X70" s="182">
        <f t="shared" si="1"/>
        <v>0</v>
      </c>
      <c r="Y70" s="182">
        <f t="shared" si="2"/>
        <v>0</v>
      </c>
      <c r="Z70" s="182">
        <f t="shared" si="3"/>
        <v>0</v>
      </c>
      <c r="AA70" s="172"/>
      <c r="AB70" s="172"/>
      <c r="AC70" s="172"/>
      <c r="AD70" s="172"/>
      <c r="AE70" s="172"/>
      <c r="AF70" s="172"/>
      <c r="AG70" s="172"/>
      <c r="AH70" s="172"/>
      <c r="AI70" s="172"/>
      <c r="AJ70" s="172"/>
      <c r="AK70" s="172"/>
      <c r="AL70" s="172"/>
      <c r="AM70" s="172"/>
      <c r="AN70" s="172"/>
      <c r="AO70" s="172"/>
      <c r="AP70" s="172"/>
      <c r="AQ70" s="172"/>
      <c r="AR70" s="172"/>
      <c r="AS70" s="172"/>
    </row>
    <row r="71" spans="1:45" s="177" customFormat="1">
      <c r="A71" s="132" t="s">
        <v>283</v>
      </c>
      <c r="B71" s="132" t="s">
        <v>284</v>
      </c>
      <c r="C71" s="107"/>
      <c r="D71" s="107"/>
      <c r="E71" s="230"/>
      <c r="F71" s="230"/>
      <c r="G71" s="230"/>
      <c r="H71" s="230"/>
      <c r="I71" s="230"/>
      <c r="J71" s="230"/>
      <c r="K71" s="230"/>
      <c r="L71" s="230"/>
      <c r="M71" s="230"/>
      <c r="N71" s="230"/>
      <c r="O71" s="230"/>
      <c r="P71" s="48" t="s">
        <v>995</v>
      </c>
      <c r="Q71" s="230"/>
      <c r="R71" s="230"/>
      <c r="S71" s="72"/>
      <c r="T71" s="72"/>
      <c r="U71" s="72"/>
      <c r="V71" s="122">
        <v>33</v>
      </c>
      <c r="W71" s="364">
        <f t="shared" si="0"/>
        <v>6.5438999999999998</v>
      </c>
      <c r="X71" s="364">
        <f t="shared" si="1"/>
        <v>3.6267</v>
      </c>
      <c r="Y71" s="364">
        <f t="shared" si="2"/>
        <v>6.7419000000000002</v>
      </c>
      <c r="Z71" s="364">
        <f t="shared" si="3"/>
        <v>3.8247</v>
      </c>
      <c r="AA71" s="172"/>
      <c r="AB71" s="172"/>
      <c r="AC71" s="172"/>
      <c r="AD71" s="172"/>
      <c r="AE71" s="172"/>
      <c r="AF71" s="172"/>
      <c r="AG71" s="172"/>
      <c r="AH71" s="172"/>
      <c r="AI71" s="172"/>
      <c r="AJ71" s="172"/>
      <c r="AK71" s="172"/>
      <c r="AL71" s="172"/>
      <c r="AM71" s="172"/>
      <c r="AN71" s="172"/>
      <c r="AO71" s="172"/>
      <c r="AP71" s="172"/>
      <c r="AQ71" s="172"/>
      <c r="AR71" s="172"/>
      <c r="AS71" s="172"/>
    </row>
    <row r="72" spans="1:45">
      <c r="A72" s="235"/>
      <c r="B72" s="140"/>
      <c r="C72" s="134"/>
      <c r="D72" s="134"/>
      <c r="E72" s="45"/>
      <c r="F72" s="45"/>
      <c r="G72" s="45"/>
      <c r="H72" s="45"/>
      <c r="I72" s="45"/>
      <c r="J72" s="45"/>
      <c r="K72" s="45"/>
      <c r="L72" s="45"/>
      <c r="M72" s="45"/>
      <c r="N72" s="45"/>
      <c r="O72" s="45"/>
      <c r="P72" s="45"/>
      <c r="Q72" s="45"/>
      <c r="R72" s="45"/>
      <c r="S72" s="45"/>
      <c r="T72" s="45"/>
      <c r="U72" s="45"/>
      <c r="V72" s="122"/>
      <c r="W72" s="364"/>
      <c r="X72" s="364"/>
      <c r="Y72" s="364"/>
      <c r="Z72" s="364"/>
    </row>
    <row r="73" spans="1:45">
      <c r="A73" s="98" t="s">
        <v>285</v>
      </c>
      <c r="B73" s="108"/>
      <c r="C73" s="108"/>
      <c r="D73" s="108"/>
      <c r="E73" s="226"/>
      <c r="F73" s="226"/>
      <c r="G73" s="226"/>
      <c r="H73" s="226"/>
      <c r="I73" s="226"/>
      <c r="J73" s="226"/>
      <c r="K73" s="226"/>
      <c r="L73" s="226"/>
      <c r="M73" s="226"/>
      <c r="N73" s="226"/>
      <c r="O73" s="226"/>
      <c r="P73" s="226"/>
      <c r="Q73" s="226"/>
      <c r="R73" s="226"/>
      <c r="S73" s="226"/>
      <c r="T73" s="226"/>
      <c r="U73" s="226"/>
      <c r="V73" s="182"/>
      <c r="W73" s="182"/>
      <c r="X73" s="182"/>
      <c r="Y73" s="182"/>
      <c r="Z73" s="182"/>
    </row>
    <row r="74" spans="1:45">
      <c r="A74" s="132" t="s">
        <v>286</v>
      </c>
      <c r="B74" s="132" t="s">
        <v>287</v>
      </c>
      <c r="C74" s="107"/>
      <c r="D74" s="107"/>
      <c r="E74" s="230" t="s">
        <v>288</v>
      </c>
      <c r="F74" s="230"/>
      <c r="G74" s="230" t="s">
        <v>288</v>
      </c>
      <c r="H74" s="230"/>
      <c r="I74" s="230"/>
      <c r="J74" s="230" t="s">
        <v>288</v>
      </c>
      <c r="K74" s="230"/>
      <c r="L74" s="230"/>
      <c r="M74" s="230" t="s">
        <v>288</v>
      </c>
      <c r="N74" s="230"/>
      <c r="O74" s="230"/>
      <c r="P74" s="230" t="s">
        <v>288</v>
      </c>
      <c r="Q74" s="230"/>
      <c r="R74" s="230"/>
      <c r="S74" s="72"/>
      <c r="T74" s="72"/>
      <c r="U74" s="72"/>
      <c r="V74" s="122">
        <v>10</v>
      </c>
      <c r="W74" s="364">
        <f t="shared" si="0"/>
        <v>1.9830000000000001</v>
      </c>
      <c r="X74" s="364">
        <f t="shared" si="1"/>
        <v>1.099</v>
      </c>
      <c r="Y74" s="364">
        <f t="shared" si="2"/>
        <v>2.0430000000000001</v>
      </c>
      <c r="Z74" s="364">
        <f t="shared" si="3"/>
        <v>1.159</v>
      </c>
    </row>
    <row r="75" spans="1:45" ht="27.6">
      <c r="A75" s="132" t="s">
        <v>289</v>
      </c>
      <c r="B75" s="99" t="s">
        <v>290</v>
      </c>
      <c r="C75" s="222"/>
      <c r="D75" s="222"/>
      <c r="E75" s="230" t="s">
        <v>291</v>
      </c>
      <c r="F75" s="230"/>
      <c r="G75" s="230" t="s">
        <v>291</v>
      </c>
      <c r="H75" s="230"/>
      <c r="I75" s="230"/>
      <c r="J75" s="230" t="s">
        <v>291</v>
      </c>
      <c r="K75" s="230"/>
      <c r="L75" s="230"/>
      <c r="M75" s="230" t="s">
        <v>291</v>
      </c>
      <c r="N75" s="230"/>
      <c r="O75" s="230"/>
      <c r="P75" s="230" t="s">
        <v>291</v>
      </c>
      <c r="Q75" s="230"/>
      <c r="R75" s="230"/>
      <c r="S75" s="72"/>
      <c r="T75" s="72"/>
      <c r="U75" s="72"/>
      <c r="V75" s="122">
        <v>30</v>
      </c>
      <c r="W75" s="364">
        <f t="shared" si="0"/>
        <v>5.9489999999999998</v>
      </c>
      <c r="X75" s="364">
        <f t="shared" si="1"/>
        <v>3.2969999999999997</v>
      </c>
      <c r="Y75" s="364">
        <f t="shared" si="2"/>
        <v>6.1290000000000004</v>
      </c>
      <c r="Z75" s="364">
        <f t="shared" si="3"/>
        <v>3.4770000000000003</v>
      </c>
    </row>
    <row r="76" spans="1:45">
      <c r="A76" s="132" t="s">
        <v>292</v>
      </c>
      <c r="B76" s="132" t="s">
        <v>293</v>
      </c>
      <c r="C76" s="107"/>
      <c r="D76" s="107"/>
      <c r="E76" s="230" t="s">
        <v>294</v>
      </c>
      <c r="F76" s="230"/>
      <c r="G76" s="230" t="s">
        <v>294</v>
      </c>
      <c r="H76" s="230"/>
      <c r="I76" s="230"/>
      <c r="J76" s="230" t="s">
        <v>294</v>
      </c>
      <c r="K76" s="230"/>
      <c r="L76" s="230"/>
      <c r="M76" s="230" t="s">
        <v>294</v>
      </c>
      <c r="N76" s="230"/>
      <c r="O76" s="230"/>
      <c r="P76" s="230" t="s">
        <v>294</v>
      </c>
      <c r="Q76" s="230"/>
      <c r="R76" s="230"/>
      <c r="S76" s="72"/>
      <c r="T76" s="72"/>
      <c r="U76" s="72"/>
      <c r="V76" s="122">
        <v>158</v>
      </c>
      <c r="W76" s="364">
        <f t="shared" si="0"/>
        <v>31.331400000000002</v>
      </c>
      <c r="X76" s="364">
        <f t="shared" si="1"/>
        <v>17.3642</v>
      </c>
      <c r="Y76" s="364">
        <f t="shared" si="2"/>
        <v>32.279400000000003</v>
      </c>
      <c r="Z76" s="364">
        <f t="shared" si="3"/>
        <v>18.312200000000001</v>
      </c>
    </row>
    <row r="77" spans="1:45">
      <c r="A77" s="132" t="s">
        <v>295</v>
      </c>
      <c r="B77" s="132" t="s">
        <v>296</v>
      </c>
      <c r="C77" s="107"/>
      <c r="D77" s="107"/>
      <c r="E77" s="230" t="s">
        <v>297</v>
      </c>
      <c r="F77" s="230"/>
      <c r="G77" s="230" t="s">
        <v>297</v>
      </c>
      <c r="H77" s="230"/>
      <c r="I77" s="230"/>
      <c r="J77" s="230" t="s">
        <v>297</v>
      </c>
      <c r="K77" s="230"/>
      <c r="L77" s="230"/>
      <c r="M77" s="230" t="s">
        <v>297</v>
      </c>
      <c r="N77" s="230"/>
      <c r="O77" s="230"/>
      <c r="P77" s="230" t="s">
        <v>298</v>
      </c>
      <c r="Q77" s="230"/>
      <c r="R77" s="230"/>
      <c r="S77" s="72"/>
      <c r="T77" s="72"/>
      <c r="U77" s="72"/>
      <c r="V77" s="122">
        <v>22</v>
      </c>
      <c r="W77" s="364">
        <f t="shared" ref="W77:W140" si="4">V77*$W$9</f>
        <v>4.3626000000000005</v>
      </c>
      <c r="X77" s="364">
        <f t="shared" ref="X77:X140" si="5">V77*$X$9</f>
        <v>2.4177999999999997</v>
      </c>
      <c r="Y77" s="364">
        <f t="shared" ref="Y77:Y140" si="6">V77*$Y$9</f>
        <v>4.4946000000000002</v>
      </c>
      <c r="Z77" s="364">
        <f t="shared" ref="Z77:Z140" si="7">V77*$Z$9</f>
        <v>2.5498000000000003</v>
      </c>
    </row>
    <row r="78" spans="1:45" ht="27.6">
      <c r="A78" s="132" t="s">
        <v>299</v>
      </c>
      <c r="B78" s="142" t="s">
        <v>300</v>
      </c>
      <c r="C78" s="107"/>
      <c r="D78" s="107"/>
      <c r="E78" s="48" t="s">
        <v>301</v>
      </c>
      <c r="F78" s="48"/>
      <c r="G78" s="48" t="s">
        <v>301</v>
      </c>
      <c r="H78" s="48"/>
      <c r="I78" s="48"/>
      <c r="J78" s="48" t="s">
        <v>301</v>
      </c>
      <c r="K78" s="48"/>
      <c r="L78" s="48"/>
      <c r="M78" s="48" t="s">
        <v>301</v>
      </c>
      <c r="N78" s="48"/>
      <c r="O78" s="48"/>
      <c r="P78" s="48" t="s">
        <v>302</v>
      </c>
      <c r="Q78" s="48"/>
      <c r="R78" s="48"/>
      <c r="S78" s="30"/>
      <c r="T78" s="30"/>
      <c r="U78" s="30"/>
      <c r="V78" s="228">
        <v>52</v>
      </c>
      <c r="W78" s="366">
        <f t="shared" si="4"/>
        <v>10.3116</v>
      </c>
      <c r="X78" s="366">
        <f t="shared" si="5"/>
        <v>5.7148000000000003</v>
      </c>
      <c r="Y78" s="366">
        <f t="shared" si="6"/>
        <v>10.6236</v>
      </c>
      <c r="Z78" s="366">
        <f t="shared" si="7"/>
        <v>6.0267999999999997</v>
      </c>
    </row>
    <row r="79" spans="1:45">
      <c r="A79" s="235"/>
      <c r="B79" s="140"/>
      <c r="C79" s="134"/>
      <c r="D79" s="134"/>
      <c r="E79" s="45"/>
      <c r="F79" s="45"/>
      <c r="G79" s="45"/>
      <c r="H79" s="45"/>
      <c r="I79" s="45"/>
      <c r="J79" s="45"/>
      <c r="K79" s="45"/>
      <c r="L79" s="45"/>
      <c r="M79" s="45"/>
      <c r="N79" s="45"/>
      <c r="O79" s="45"/>
      <c r="P79" s="45"/>
      <c r="Q79" s="45"/>
      <c r="R79" s="45"/>
      <c r="S79" s="45"/>
      <c r="T79" s="45"/>
      <c r="U79" s="45"/>
      <c r="V79" s="181"/>
      <c r="W79" s="181"/>
      <c r="X79" s="181"/>
      <c r="Y79" s="181"/>
      <c r="Z79" s="181"/>
    </row>
    <row r="80" spans="1:45" s="237" customFormat="1">
      <c r="A80" s="85" t="s">
        <v>303</v>
      </c>
      <c r="B80" s="85"/>
      <c r="C80" s="85"/>
      <c r="D80" s="85"/>
      <c r="E80" s="85"/>
      <c r="F80" s="85"/>
      <c r="G80" s="85"/>
      <c r="H80" s="85"/>
      <c r="I80" s="85"/>
      <c r="J80" s="85"/>
      <c r="K80" s="85"/>
      <c r="L80" s="85"/>
      <c r="M80" s="85"/>
      <c r="N80" s="85"/>
      <c r="O80" s="85"/>
      <c r="P80" s="85"/>
      <c r="Q80" s="85"/>
      <c r="R80" s="85"/>
      <c r="S80" s="85"/>
      <c r="T80" s="85"/>
      <c r="U80" s="85"/>
      <c r="V80" s="184"/>
      <c r="W80" s="184"/>
      <c r="X80" s="184"/>
      <c r="Y80" s="184"/>
      <c r="Z80" s="184"/>
      <c r="AA80" s="169"/>
      <c r="AB80" s="169"/>
      <c r="AC80" s="169"/>
      <c r="AD80" s="169"/>
      <c r="AE80" s="169"/>
      <c r="AF80" s="169"/>
      <c r="AG80" s="169"/>
      <c r="AH80" s="169"/>
      <c r="AI80" s="169"/>
      <c r="AJ80" s="169"/>
      <c r="AK80" s="169"/>
      <c r="AL80" s="169"/>
      <c r="AM80" s="169"/>
      <c r="AN80" s="169"/>
      <c r="AO80" s="169"/>
      <c r="AP80" s="169"/>
      <c r="AQ80" s="169"/>
      <c r="AR80" s="169"/>
      <c r="AS80" s="169"/>
    </row>
    <row r="81" spans="1:45" s="10" customFormat="1" ht="82.8">
      <c r="A81" s="100" t="s">
        <v>141</v>
      </c>
      <c r="B81" s="100" t="s">
        <v>142</v>
      </c>
      <c r="C81" s="100" t="s">
        <v>143</v>
      </c>
      <c r="D81" s="100" t="s">
        <v>144</v>
      </c>
      <c r="E81" s="100"/>
      <c r="F81" s="100"/>
      <c r="G81" s="100"/>
      <c r="H81" s="100"/>
      <c r="I81" s="100"/>
      <c r="J81" s="100"/>
      <c r="K81" s="100"/>
      <c r="L81" s="100"/>
      <c r="M81" s="100"/>
      <c r="N81" s="100"/>
      <c r="O81" s="100"/>
      <c r="P81" s="100"/>
      <c r="Q81" s="100"/>
      <c r="R81" s="100"/>
      <c r="S81" s="100"/>
      <c r="T81" s="100"/>
      <c r="U81" s="100"/>
      <c r="V81" s="73" t="s">
        <v>145</v>
      </c>
      <c r="W81" s="367"/>
      <c r="X81" s="367"/>
      <c r="Y81" s="367"/>
      <c r="Z81" s="367"/>
      <c r="AA81" s="9"/>
      <c r="AB81" s="9"/>
      <c r="AC81" s="9"/>
      <c r="AD81" s="9"/>
      <c r="AE81" s="9"/>
      <c r="AF81" s="9"/>
      <c r="AG81" s="9"/>
      <c r="AH81" s="9"/>
      <c r="AI81" s="9"/>
      <c r="AJ81" s="9"/>
      <c r="AK81" s="9"/>
      <c r="AL81" s="9"/>
      <c r="AM81" s="9"/>
      <c r="AN81" s="9"/>
      <c r="AO81" s="9"/>
      <c r="AP81" s="9"/>
      <c r="AQ81" s="9"/>
      <c r="AR81" s="9"/>
      <c r="AS81" s="9"/>
    </row>
    <row r="82" spans="1:45">
      <c r="A82" s="235"/>
      <c r="B82" s="140"/>
      <c r="C82" s="134"/>
      <c r="D82" s="134"/>
      <c r="E82" s="45"/>
      <c r="F82" s="45"/>
      <c r="G82" s="45"/>
      <c r="H82" s="45"/>
      <c r="I82" s="45"/>
      <c r="J82" s="45"/>
      <c r="K82" s="45"/>
      <c r="L82" s="45"/>
      <c r="M82" s="45"/>
      <c r="N82" s="45"/>
      <c r="O82" s="45"/>
      <c r="P82" s="45"/>
      <c r="Q82" s="45"/>
      <c r="R82" s="45"/>
      <c r="S82" s="45"/>
      <c r="T82" s="45"/>
      <c r="U82" s="45"/>
      <c r="V82" s="181"/>
      <c r="W82" s="181"/>
      <c r="X82" s="181"/>
      <c r="Y82" s="181"/>
      <c r="Z82" s="181"/>
    </row>
    <row r="83" spans="1:45" ht="151.80000000000001">
      <c r="A83" s="142" t="s">
        <v>1995</v>
      </c>
      <c r="B83" s="52" t="s">
        <v>1711</v>
      </c>
      <c r="C83" s="150"/>
      <c r="D83" s="150"/>
      <c r="E83" s="104"/>
      <c r="F83" s="104"/>
      <c r="G83" s="104"/>
      <c r="H83" s="104"/>
      <c r="I83" s="104"/>
      <c r="J83" s="104"/>
      <c r="K83" s="104"/>
      <c r="L83" s="104"/>
      <c r="M83" s="104"/>
      <c r="N83" s="104"/>
      <c r="O83" s="104"/>
      <c r="P83" s="104"/>
      <c r="Q83" s="104"/>
      <c r="R83" s="104"/>
      <c r="S83" s="104"/>
      <c r="T83" s="104"/>
      <c r="U83" s="104"/>
      <c r="V83" s="228">
        <v>466</v>
      </c>
      <c r="W83" s="366">
        <f t="shared" si="4"/>
        <v>92.407800000000009</v>
      </c>
      <c r="X83" s="366">
        <f t="shared" si="5"/>
        <v>51.2134</v>
      </c>
      <c r="Y83" s="366">
        <f t="shared" si="6"/>
        <v>95.203800000000001</v>
      </c>
      <c r="Z83" s="366">
        <f t="shared" si="7"/>
        <v>54.009399999999999</v>
      </c>
      <c r="AA83" s="171"/>
      <c r="AB83" s="171"/>
      <c r="AC83" s="171"/>
      <c r="AD83" s="171"/>
      <c r="AE83" s="171"/>
      <c r="AF83" s="171"/>
      <c r="AG83" s="171"/>
      <c r="AH83" s="171"/>
      <c r="AI83" s="171"/>
      <c r="AJ83" s="171"/>
      <c r="AK83" s="171"/>
      <c r="AL83" s="171"/>
      <c r="AM83" s="171"/>
      <c r="AN83" s="171"/>
      <c r="AO83" s="171"/>
      <c r="AP83" s="171"/>
      <c r="AQ83" s="171"/>
      <c r="AR83" s="171"/>
      <c r="AS83" s="171"/>
    </row>
    <row r="84" spans="1:45">
      <c r="A84" s="235"/>
      <c r="B84" s="140"/>
      <c r="C84" s="134"/>
      <c r="D84" s="134"/>
      <c r="E84" s="45"/>
      <c r="F84" s="45"/>
      <c r="G84" s="45"/>
      <c r="H84" s="45"/>
      <c r="I84" s="45"/>
      <c r="J84" s="45"/>
      <c r="K84" s="45"/>
      <c r="L84" s="45"/>
      <c r="M84" s="45"/>
      <c r="N84" s="45"/>
      <c r="O84" s="45"/>
      <c r="P84" s="45"/>
      <c r="Q84" s="45"/>
      <c r="R84" s="45"/>
      <c r="S84" s="45"/>
      <c r="T84" s="45"/>
      <c r="U84" s="45"/>
      <c r="V84" s="122"/>
      <c r="W84" s="364"/>
      <c r="X84" s="364"/>
      <c r="Y84" s="364"/>
      <c r="Z84" s="364"/>
    </row>
    <row r="85" spans="1:45" ht="151.80000000000001">
      <c r="A85" s="142" t="s">
        <v>1892</v>
      </c>
      <c r="B85" s="52" t="s">
        <v>1712</v>
      </c>
      <c r="C85" s="150"/>
      <c r="D85" s="150"/>
      <c r="E85" s="104"/>
      <c r="F85" s="104"/>
      <c r="G85" s="104"/>
      <c r="H85" s="104"/>
      <c r="I85" s="104"/>
      <c r="J85" s="104"/>
      <c r="K85" s="104"/>
      <c r="L85" s="104"/>
      <c r="M85" s="104"/>
      <c r="N85" s="104"/>
      <c r="O85" s="104"/>
      <c r="P85" s="104"/>
      <c r="Q85" s="104"/>
      <c r="R85" s="104"/>
      <c r="S85" s="104"/>
      <c r="T85" s="104"/>
      <c r="U85" s="104"/>
      <c r="V85" s="228">
        <v>463</v>
      </c>
      <c r="W85" s="366">
        <f t="shared" si="4"/>
        <v>91.812899999999999</v>
      </c>
      <c r="X85" s="366">
        <f t="shared" si="5"/>
        <v>50.883699999999997</v>
      </c>
      <c r="Y85" s="366">
        <f t="shared" si="6"/>
        <v>94.590900000000005</v>
      </c>
      <c r="Z85" s="366">
        <f t="shared" si="7"/>
        <v>53.661700000000003</v>
      </c>
      <c r="AA85" s="171"/>
      <c r="AB85" s="171"/>
      <c r="AC85" s="171"/>
      <c r="AD85" s="171"/>
      <c r="AE85" s="171"/>
      <c r="AF85" s="171"/>
      <c r="AG85" s="171"/>
      <c r="AH85" s="171"/>
      <c r="AI85" s="171"/>
      <c r="AJ85" s="171"/>
      <c r="AK85" s="171"/>
      <c r="AL85" s="171"/>
      <c r="AM85" s="171"/>
      <c r="AN85" s="171"/>
      <c r="AO85" s="171"/>
      <c r="AP85" s="171"/>
      <c r="AQ85" s="171"/>
      <c r="AR85" s="171"/>
      <c r="AS85" s="171"/>
    </row>
    <row r="86" spans="1:45">
      <c r="A86" s="71"/>
      <c r="B86" s="52"/>
      <c r="C86" s="150"/>
      <c r="D86" s="150"/>
      <c r="E86" s="104"/>
      <c r="F86" s="104"/>
      <c r="G86" s="104"/>
      <c r="H86" s="104"/>
      <c r="I86" s="104"/>
      <c r="J86" s="104"/>
      <c r="K86" s="104"/>
      <c r="L86" s="104"/>
      <c r="M86" s="104"/>
      <c r="N86" s="104"/>
      <c r="O86" s="104"/>
      <c r="P86" s="104"/>
      <c r="Q86" s="104"/>
      <c r="R86" s="104"/>
      <c r="S86" s="104"/>
      <c r="T86" s="104"/>
      <c r="U86" s="104"/>
      <c r="V86" s="181"/>
      <c r="W86" s="181"/>
      <c r="X86" s="181"/>
      <c r="Y86" s="181"/>
      <c r="Z86" s="181"/>
    </row>
    <row r="87" spans="1:45" ht="151.80000000000001">
      <c r="A87" s="142" t="s">
        <v>1894</v>
      </c>
      <c r="B87" s="52" t="s">
        <v>1713</v>
      </c>
      <c r="C87" s="150"/>
      <c r="D87" s="150"/>
      <c r="E87" s="104"/>
      <c r="F87" s="104"/>
      <c r="G87" s="104"/>
      <c r="H87" s="104"/>
      <c r="I87" s="104"/>
      <c r="J87" s="104"/>
      <c r="K87" s="104"/>
      <c r="L87" s="104"/>
      <c r="M87" s="104"/>
      <c r="N87" s="104"/>
      <c r="O87" s="104"/>
      <c r="P87" s="104"/>
      <c r="Q87" s="104"/>
      <c r="R87" s="104"/>
      <c r="S87" s="104"/>
      <c r="T87" s="104"/>
      <c r="U87" s="104"/>
      <c r="V87" s="228">
        <v>445</v>
      </c>
      <c r="W87" s="366">
        <f t="shared" si="4"/>
        <v>88.243499999999997</v>
      </c>
      <c r="X87" s="366">
        <f t="shared" si="5"/>
        <v>48.905499999999996</v>
      </c>
      <c r="Y87" s="366">
        <f t="shared" si="6"/>
        <v>90.913499999999999</v>
      </c>
      <c r="Z87" s="366">
        <f t="shared" si="7"/>
        <v>51.575499999999998</v>
      </c>
      <c r="AA87" s="171"/>
      <c r="AB87" s="171"/>
      <c r="AC87" s="171"/>
      <c r="AD87" s="171"/>
      <c r="AE87" s="171"/>
      <c r="AF87" s="171"/>
      <c r="AG87" s="171"/>
      <c r="AH87" s="171"/>
      <c r="AI87" s="171"/>
      <c r="AJ87" s="171"/>
      <c r="AK87" s="171"/>
      <c r="AL87" s="171"/>
      <c r="AM87" s="171"/>
      <c r="AN87" s="171"/>
      <c r="AO87" s="171"/>
      <c r="AP87" s="171"/>
      <c r="AQ87" s="171"/>
      <c r="AR87" s="171"/>
      <c r="AS87" s="171"/>
    </row>
    <row r="88" spans="1:45">
      <c r="A88" s="69"/>
      <c r="B88" s="52"/>
      <c r="C88" s="150"/>
      <c r="D88" s="150"/>
      <c r="E88" s="104"/>
      <c r="F88" s="104"/>
      <c r="G88" s="104"/>
      <c r="H88" s="104"/>
      <c r="I88" s="104"/>
      <c r="J88" s="104"/>
      <c r="K88" s="104"/>
      <c r="L88" s="104"/>
      <c r="M88" s="104"/>
      <c r="N88" s="104"/>
      <c r="O88" s="104"/>
      <c r="P88" s="104"/>
      <c r="Q88" s="104"/>
      <c r="R88" s="104"/>
      <c r="S88" s="104"/>
      <c r="T88" s="104"/>
      <c r="U88" s="104"/>
      <c r="V88" s="122"/>
      <c r="W88" s="364"/>
      <c r="X88" s="364"/>
      <c r="Y88" s="364"/>
      <c r="Z88" s="364"/>
    </row>
    <row r="89" spans="1:45" ht="157.94999999999999" customHeight="1">
      <c r="A89" s="142" t="s">
        <v>1893</v>
      </c>
      <c r="B89" s="52" t="s">
        <v>1714</v>
      </c>
      <c r="C89" s="150"/>
      <c r="D89" s="150"/>
      <c r="E89" s="104"/>
      <c r="F89" s="104"/>
      <c r="G89" s="104"/>
      <c r="H89" s="104"/>
      <c r="I89" s="104"/>
      <c r="J89" s="104"/>
      <c r="K89" s="104"/>
      <c r="L89" s="104"/>
      <c r="M89" s="104"/>
      <c r="N89" s="104"/>
      <c r="O89" s="104"/>
      <c r="P89" s="104"/>
      <c r="Q89" s="104"/>
      <c r="R89" s="104"/>
      <c r="S89" s="104"/>
      <c r="T89" s="104"/>
      <c r="U89" s="104"/>
      <c r="V89" s="228">
        <v>465</v>
      </c>
      <c r="W89" s="366">
        <f t="shared" si="4"/>
        <v>92.209500000000006</v>
      </c>
      <c r="X89" s="366">
        <f t="shared" si="5"/>
        <v>51.103499999999997</v>
      </c>
      <c r="Y89" s="366">
        <f t="shared" si="6"/>
        <v>94.999499999999998</v>
      </c>
      <c r="Z89" s="366">
        <f t="shared" si="7"/>
        <v>53.893500000000003</v>
      </c>
      <c r="AA89" s="171"/>
      <c r="AB89" s="171"/>
      <c r="AC89" s="171"/>
      <c r="AD89" s="171"/>
      <c r="AE89" s="171"/>
      <c r="AF89" s="171"/>
      <c r="AG89" s="171"/>
      <c r="AH89" s="171"/>
      <c r="AI89" s="171"/>
      <c r="AJ89" s="171"/>
      <c r="AK89" s="171"/>
      <c r="AL89" s="171"/>
      <c r="AM89" s="171"/>
      <c r="AN89" s="171"/>
      <c r="AO89" s="171"/>
      <c r="AP89" s="171"/>
      <c r="AQ89" s="171"/>
      <c r="AR89" s="171"/>
      <c r="AS89" s="171"/>
    </row>
    <row r="90" spans="1:45">
      <c r="A90" s="71"/>
      <c r="B90" s="52"/>
      <c r="C90" s="150"/>
      <c r="D90" s="150"/>
      <c r="E90" s="104"/>
      <c r="F90" s="104"/>
      <c r="G90" s="104"/>
      <c r="H90" s="104"/>
      <c r="I90" s="104"/>
      <c r="J90" s="104"/>
      <c r="K90" s="104"/>
      <c r="L90" s="104"/>
      <c r="M90" s="104"/>
      <c r="N90" s="104"/>
      <c r="O90" s="104"/>
      <c r="P90" s="104"/>
      <c r="Q90" s="104"/>
      <c r="R90" s="104"/>
      <c r="S90" s="104"/>
      <c r="T90" s="104"/>
      <c r="U90" s="104"/>
      <c r="V90" s="122"/>
      <c r="W90" s="364"/>
      <c r="X90" s="364"/>
      <c r="Y90" s="364"/>
      <c r="Z90" s="364"/>
    </row>
    <row r="91" spans="1:45" ht="160.94999999999999" customHeight="1">
      <c r="A91" s="142" t="s">
        <v>1895</v>
      </c>
      <c r="B91" s="52" t="s">
        <v>1715</v>
      </c>
      <c r="C91" s="150"/>
      <c r="D91" s="150"/>
      <c r="E91" s="104"/>
      <c r="F91" s="104"/>
      <c r="G91" s="104"/>
      <c r="H91" s="104"/>
      <c r="I91" s="104"/>
      <c r="J91" s="104"/>
      <c r="K91" s="104"/>
      <c r="L91" s="104"/>
      <c r="M91" s="104"/>
      <c r="N91" s="104"/>
      <c r="O91" s="104"/>
      <c r="P91" s="104"/>
      <c r="Q91" s="104"/>
      <c r="R91" s="104"/>
      <c r="S91" s="104"/>
      <c r="T91" s="104"/>
      <c r="U91" s="104"/>
      <c r="V91" s="228">
        <v>447</v>
      </c>
      <c r="W91" s="366">
        <f t="shared" si="4"/>
        <v>88.640100000000004</v>
      </c>
      <c r="X91" s="366">
        <f t="shared" si="5"/>
        <v>49.125299999999996</v>
      </c>
      <c r="Y91" s="366">
        <f t="shared" si="6"/>
        <v>91.322100000000006</v>
      </c>
      <c r="Z91" s="366">
        <f t="shared" si="7"/>
        <v>51.807299999999998</v>
      </c>
      <c r="AA91" s="171"/>
      <c r="AB91" s="171"/>
      <c r="AC91" s="171"/>
      <c r="AD91" s="171"/>
      <c r="AE91" s="171"/>
      <c r="AF91" s="171"/>
      <c r="AG91" s="171"/>
      <c r="AH91" s="171"/>
      <c r="AI91" s="171"/>
      <c r="AJ91" s="171"/>
      <c r="AK91" s="171"/>
      <c r="AL91" s="171"/>
      <c r="AM91" s="171"/>
      <c r="AN91" s="171"/>
      <c r="AO91" s="171"/>
      <c r="AP91" s="171"/>
      <c r="AQ91" s="171"/>
      <c r="AR91" s="171"/>
      <c r="AS91" s="171"/>
    </row>
    <row r="92" spans="1:45">
      <c r="A92" s="71"/>
      <c r="B92" s="52"/>
      <c r="C92" s="150"/>
      <c r="D92" s="150"/>
      <c r="E92" s="104"/>
      <c r="F92" s="104"/>
      <c r="G92" s="104"/>
      <c r="H92" s="104"/>
      <c r="I92" s="104"/>
      <c r="J92" s="104"/>
      <c r="K92" s="104"/>
      <c r="L92" s="104"/>
      <c r="M92" s="104"/>
      <c r="N92" s="104"/>
      <c r="O92" s="104"/>
      <c r="P92" s="104"/>
      <c r="Q92" s="104"/>
      <c r="R92" s="104"/>
      <c r="S92" s="104"/>
      <c r="T92" s="104"/>
      <c r="U92" s="104"/>
      <c r="V92" s="122"/>
      <c r="W92" s="364"/>
      <c r="X92" s="364"/>
      <c r="Y92" s="364"/>
      <c r="Z92" s="364"/>
    </row>
    <row r="93" spans="1:45" s="10" customFormat="1" ht="27.6">
      <c r="A93" s="19" t="s">
        <v>304</v>
      </c>
      <c r="B93" s="100" t="s">
        <v>305</v>
      </c>
      <c r="C93" s="100" t="s">
        <v>143</v>
      </c>
      <c r="D93" s="100" t="s">
        <v>144</v>
      </c>
      <c r="E93" s="100" t="s">
        <v>306</v>
      </c>
      <c r="F93" s="100" t="s">
        <v>1716</v>
      </c>
      <c r="G93" s="100" t="s">
        <v>307</v>
      </c>
      <c r="H93" s="100" t="s">
        <v>1719</v>
      </c>
      <c r="I93" s="100"/>
      <c r="J93" s="100" t="s">
        <v>308</v>
      </c>
      <c r="K93" s="100" t="s">
        <v>1723</v>
      </c>
      <c r="L93" s="100"/>
      <c r="M93" s="100" t="s">
        <v>309</v>
      </c>
      <c r="N93" s="100" t="s">
        <v>1726</v>
      </c>
      <c r="O93" s="100"/>
      <c r="P93" s="100" t="s">
        <v>310</v>
      </c>
      <c r="Q93" s="100" t="s">
        <v>1730</v>
      </c>
      <c r="R93" s="100"/>
      <c r="S93" s="100"/>
      <c r="T93" s="100"/>
      <c r="U93" s="100"/>
      <c r="V93" s="11"/>
      <c r="W93" s="184"/>
      <c r="X93" s="184"/>
      <c r="Y93" s="184"/>
      <c r="Z93" s="184"/>
      <c r="AA93" s="9"/>
      <c r="AB93" s="9"/>
      <c r="AC93" s="9"/>
      <c r="AD93" s="9"/>
      <c r="AE93" s="9"/>
      <c r="AF93" s="9"/>
      <c r="AG93" s="9"/>
      <c r="AH93" s="9"/>
      <c r="AI93" s="9"/>
      <c r="AJ93" s="9"/>
      <c r="AK93" s="9"/>
      <c r="AL93" s="9"/>
      <c r="AM93" s="9"/>
      <c r="AN93" s="9"/>
      <c r="AO93" s="9"/>
      <c r="AP93" s="9"/>
      <c r="AQ93" s="9"/>
      <c r="AR93" s="9"/>
      <c r="AS93" s="9"/>
    </row>
    <row r="94" spans="1:45">
      <c r="A94" s="98" t="s">
        <v>162</v>
      </c>
      <c r="B94" s="108" t="s">
        <v>311</v>
      </c>
      <c r="C94" s="108"/>
      <c r="D94" s="108"/>
      <c r="E94" s="223"/>
      <c r="F94" s="223"/>
      <c r="G94" s="223"/>
      <c r="H94" s="223"/>
      <c r="I94" s="223"/>
      <c r="J94" s="223"/>
      <c r="K94" s="223"/>
      <c r="L94" s="223"/>
      <c r="M94" s="223"/>
      <c r="N94" s="223"/>
      <c r="O94" s="223"/>
      <c r="P94" s="223"/>
      <c r="Q94" s="223"/>
      <c r="R94" s="223"/>
      <c r="S94" s="226"/>
      <c r="T94" s="226"/>
      <c r="U94" s="226"/>
      <c r="V94" s="182"/>
      <c r="W94" s="182"/>
      <c r="X94" s="182"/>
      <c r="Y94" s="182"/>
      <c r="Z94" s="182"/>
    </row>
    <row r="95" spans="1:45" s="177" customFormat="1" ht="41.4">
      <c r="A95" s="95" t="s">
        <v>1942</v>
      </c>
      <c r="B95" s="129" t="s">
        <v>1851</v>
      </c>
      <c r="C95" s="351"/>
      <c r="D95" s="191" t="s">
        <v>1639</v>
      </c>
      <c r="E95" s="104"/>
      <c r="F95" s="306" t="s">
        <v>1836</v>
      </c>
      <c r="G95" s="104"/>
      <c r="H95" s="306" t="s">
        <v>1843</v>
      </c>
      <c r="I95" s="104"/>
      <c r="J95" s="104"/>
      <c r="K95" s="104"/>
      <c r="L95" s="104"/>
      <c r="M95" s="138"/>
      <c r="N95" s="306" t="s">
        <v>1850</v>
      </c>
      <c r="O95" s="48"/>
      <c r="P95" s="104"/>
      <c r="Q95" s="104"/>
      <c r="R95" s="104"/>
      <c r="S95" s="104"/>
      <c r="T95" s="104"/>
      <c r="U95" s="104"/>
      <c r="V95" s="23">
        <v>0</v>
      </c>
      <c r="W95" s="368">
        <f t="shared" si="4"/>
        <v>0</v>
      </c>
      <c r="X95" s="368">
        <f t="shared" si="5"/>
        <v>0</v>
      </c>
      <c r="Y95" s="368">
        <f t="shared" si="6"/>
        <v>0</v>
      </c>
      <c r="Z95" s="368">
        <f t="shared" si="7"/>
        <v>0</v>
      </c>
    </row>
    <row r="96" spans="1:45" s="177" customFormat="1" ht="41.4">
      <c r="A96" s="95" t="s">
        <v>1640</v>
      </c>
      <c r="B96" s="76" t="s">
        <v>1853</v>
      </c>
      <c r="C96" s="344" t="s">
        <v>312</v>
      </c>
      <c r="D96" s="191" t="s">
        <v>1639</v>
      </c>
      <c r="E96" s="104"/>
      <c r="F96" s="306" t="s">
        <v>1835</v>
      </c>
      <c r="G96" s="104"/>
      <c r="H96" s="306" t="s">
        <v>1844</v>
      </c>
      <c r="I96" s="104"/>
      <c r="J96" s="104"/>
      <c r="K96" s="104"/>
      <c r="L96" s="104"/>
      <c r="M96" s="138"/>
      <c r="N96" s="306" t="s">
        <v>1852</v>
      </c>
      <c r="O96" s="48"/>
      <c r="P96" s="104"/>
      <c r="Q96" s="104"/>
      <c r="R96" s="104"/>
      <c r="S96" s="104"/>
      <c r="T96" s="104"/>
      <c r="U96" s="104"/>
      <c r="V96" s="23">
        <v>156</v>
      </c>
      <c r="W96" s="368">
        <f t="shared" si="4"/>
        <v>30.934799999999999</v>
      </c>
      <c r="X96" s="368">
        <f t="shared" si="5"/>
        <v>17.144400000000001</v>
      </c>
      <c r="Y96" s="368">
        <f t="shared" si="6"/>
        <v>31.870800000000003</v>
      </c>
      <c r="Z96" s="368">
        <f t="shared" si="7"/>
        <v>18.080400000000001</v>
      </c>
    </row>
    <row r="97" spans="1:45" s="177" customFormat="1" ht="41.4">
      <c r="A97" s="95" t="s">
        <v>1943</v>
      </c>
      <c r="B97" s="129" t="s">
        <v>1853</v>
      </c>
      <c r="C97" s="344" t="s">
        <v>312</v>
      </c>
      <c r="D97" s="191" t="s">
        <v>1639</v>
      </c>
      <c r="E97" s="104"/>
      <c r="F97" s="306" t="s">
        <v>1837</v>
      </c>
      <c r="G97" s="104"/>
      <c r="H97" s="306" t="s">
        <v>1845</v>
      </c>
      <c r="I97" s="104"/>
      <c r="J97" s="104"/>
      <c r="K97" s="104"/>
      <c r="L97" s="104"/>
      <c r="M97" s="138"/>
      <c r="N97" s="306" t="s">
        <v>1854</v>
      </c>
      <c r="O97" s="48"/>
      <c r="P97" s="104"/>
      <c r="Q97" s="104"/>
      <c r="R97" s="104"/>
      <c r="S97" s="104"/>
      <c r="T97" s="104"/>
      <c r="U97" s="104"/>
      <c r="V97" s="23">
        <v>156</v>
      </c>
      <c r="W97" s="368">
        <f t="shared" si="4"/>
        <v>30.934799999999999</v>
      </c>
      <c r="X97" s="368">
        <f t="shared" si="5"/>
        <v>17.144400000000001</v>
      </c>
      <c r="Y97" s="368">
        <f t="shared" si="6"/>
        <v>31.870800000000003</v>
      </c>
      <c r="Z97" s="368">
        <f t="shared" si="7"/>
        <v>18.080400000000001</v>
      </c>
    </row>
    <row r="98" spans="1:45" s="177" customFormat="1" ht="41.4">
      <c r="A98" s="95" t="s">
        <v>1839</v>
      </c>
      <c r="B98" s="129" t="s">
        <v>1856</v>
      </c>
      <c r="C98" s="351"/>
      <c r="D98" s="191" t="s">
        <v>1639</v>
      </c>
      <c r="E98" s="104"/>
      <c r="F98" s="306" t="s">
        <v>1838</v>
      </c>
      <c r="G98" s="104"/>
      <c r="H98" s="306" t="s">
        <v>1846</v>
      </c>
      <c r="I98" s="104"/>
      <c r="J98" s="104"/>
      <c r="K98" s="104"/>
      <c r="L98" s="104"/>
      <c r="M98" s="138"/>
      <c r="N98" s="306" t="s">
        <v>1855</v>
      </c>
      <c r="O98" s="48"/>
      <c r="P98" s="104"/>
      <c r="Q98" s="104"/>
      <c r="R98" s="104"/>
      <c r="S98" s="104"/>
      <c r="T98" s="104"/>
      <c r="U98" s="104"/>
      <c r="V98" s="23">
        <v>150</v>
      </c>
      <c r="W98" s="368">
        <f t="shared" si="4"/>
        <v>29.745000000000001</v>
      </c>
      <c r="X98" s="368">
        <f t="shared" si="5"/>
        <v>16.484999999999999</v>
      </c>
      <c r="Y98" s="368">
        <f t="shared" si="6"/>
        <v>30.645000000000003</v>
      </c>
      <c r="Z98" s="368">
        <f t="shared" si="7"/>
        <v>17.385000000000002</v>
      </c>
    </row>
    <row r="99" spans="1:45" s="177" customFormat="1" ht="41.4">
      <c r="A99" s="95" t="s">
        <v>1944</v>
      </c>
      <c r="B99" s="129" t="s">
        <v>1856</v>
      </c>
      <c r="C99" s="351"/>
      <c r="D99" s="191" t="s">
        <v>1639</v>
      </c>
      <c r="E99" s="104"/>
      <c r="F99" s="306" t="s">
        <v>1840</v>
      </c>
      <c r="G99" s="104"/>
      <c r="H99" s="306" t="s">
        <v>1847</v>
      </c>
      <c r="I99" s="104"/>
      <c r="J99" s="104"/>
      <c r="K99" s="104"/>
      <c r="L99" s="104"/>
      <c r="M99" s="138"/>
      <c r="N99" s="306" t="s">
        <v>1857</v>
      </c>
      <c r="O99" s="48"/>
      <c r="P99" s="104"/>
      <c r="Q99" s="104"/>
      <c r="R99" s="104"/>
      <c r="S99" s="104"/>
      <c r="T99" s="104"/>
      <c r="U99" s="104"/>
      <c r="V99" s="23">
        <v>150</v>
      </c>
      <c r="W99" s="368">
        <f t="shared" si="4"/>
        <v>29.745000000000001</v>
      </c>
      <c r="X99" s="368">
        <f t="shared" si="5"/>
        <v>16.484999999999999</v>
      </c>
      <c r="Y99" s="368">
        <f t="shared" si="6"/>
        <v>30.645000000000003</v>
      </c>
      <c r="Z99" s="368">
        <f t="shared" si="7"/>
        <v>17.385000000000002</v>
      </c>
    </row>
    <row r="100" spans="1:45" s="177" customFormat="1" ht="41.4">
      <c r="A100" s="95" t="s">
        <v>1945</v>
      </c>
      <c r="B100" s="129" t="s">
        <v>1859</v>
      </c>
      <c r="C100" s="344" t="s">
        <v>312</v>
      </c>
      <c r="D100" s="191" t="s">
        <v>1639</v>
      </c>
      <c r="E100" s="104"/>
      <c r="F100" s="306" t="s">
        <v>1841</v>
      </c>
      <c r="G100" s="104"/>
      <c r="H100" s="306" t="s">
        <v>1848</v>
      </c>
      <c r="I100" s="104"/>
      <c r="J100" s="104"/>
      <c r="K100" s="104"/>
      <c r="L100" s="104"/>
      <c r="M100" s="138"/>
      <c r="N100" s="306" t="s">
        <v>1858</v>
      </c>
      <c r="O100" s="48"/>
      <c r="P100" s="104"/>
      <c r="Q100" s="104"/>
      <c r="R100" s="104"/>
      <c r="S100" s="104"/>
      <c r="T100" s="104"/>
      <c r="U100" s="104"/>
      <c r="V100" s="23">
        <v>150</v>
      </c>
      <c r="W100" s="368">
        <f t="shared" si="4"/>
        <v>29.745000000000001</v>
      </c>
      <c r="X100" s="368">
        <f t="shared" si="5"/>
        <v>16.484999999999999</v>
      </c>
      <c r="Y100" s="368">
        <f t="shared" si="6"/>
        <v>30.645000000000003</v>
      </c>
      <c r="Z100" s="368">
        <f t="shared" si="7"/>
        <v>17.385000000000002</v>
      </c>
    </row>
    <row r="101" spans="1:45" s="177" customFormat="1" ht="41.4">
      <c r="A101" s="95" t="s">
        <v>1946</v>
      </c>
      <c r="B101" s="129" t="s">
        <v>1861</v>
      </c>
      <c r="C101" s="344" t="s">
        <v>312</v>
      </c>
      <c r="D101" s="191" t="s">
        <v>1639</v>
      </c>
      <c r="E101" s="104"/>
      <c r="F101" s="306" t="s">
        <v>1842</v>
      </c>
      <c r="G101" s="104"/>
      <c r="H101" s="306" t="s">
        <v>1849</v>
      </c>
      <c r="I101" s="104"/>
      <c r="J101" s="104"/>
      <c r="K101" s="104"/>
      <c r="L101" s="104"/>
      <c r="M101" s="138"/>
      <c r="N101" s="306" t="s">
        <v>1860</v>
      </c>
      <c r="O101" s="48"/>
      <c r="P101" s="104"/>
      <c r="Q101" s="104"/>
      <c r="R101" s="104"/>
      <c r="S101" s="104"/>
      <c r="T101" s="104"/>
      <c r="U101" s="104"/>
      <c r="V101" s="23">
        <v>150</v>
      </c>
      <c r="W101" s="368">
        <f t="shared" si="4"/>
        <v>29.745000000000001</v>
      </c>
      <c r="X101" s="368">
        <f t="shared" si="5"/>
        <v>16.484999999999999</v>
      </c>
      <c r="Y101" s="368">
        <f t="shared" si="6"/>
        <v>30.645000000000003</v>
      </c>
      <c r="Z101" s="368">
        <f t="shared" si="7"/>
        <v>17.385000000000002</v>
      </c>
    </row>
    <row r="102" spans="1:45" s="177" customFormat="1">
      <c r="A102" s="95" t="s">
        <v>1947</v>
      </c>
      <c r="B102" s="129" t="s">
        <v>1862</v>
      </c>
      <c r="C102" s="344" t="s">
        <v>312</v>
      </c>
      <c r="D102" s="191" t="s">
        <v>1639</v>
      </c>
      <c r="E102" s="104"/>
      <c r="F102" s="306"/>
      <c r="G102" s="104"/>
      <c r="H102" s="306"/>
      <c r="I102" s="104"/>
      <c r="J102" s="104"/>
      <c r="K102" s="104"/>
      <c r="L102" s="104"/>
      <c r="M102" s="138"/>
      <c r="N102" s="306" t="s">
        <v>1863</v>
      </c>
      <c r="O102" s="48"/>
      <c r="P102" s="104"/>
      <c r="Q102" s="104"/>
      <c r="R102" s="104"/>
      <c r="S102" s="104"/>
      <c r="T102" s="104"/>
      <c r="U102" s="104"/>
      <c r="V102" s="23">
        <v>335</v>
      </c>
      <c r="W102" s="368">
        <f t="shared" si="4"/>
        <v>66.430499999999995</v>
      </c>
      <c r="X102" s="368">
        <f t="shared" si="5"/>
        <v>36.816499999999998</v>
      </c>
      <c r="Y102" s="368">
        <f t="shared" si="6"/>
        <v>68.4405</v>
      </c>
      <c r="Z102" s="368">
        <f t="shared" si="7"/>
        <v>38.826500000000003</v>
      </c>
    </row>
    <row r="103" spans="1:45" s="177" customFormat="1" ht="27.6">
      <c r="A103" s="306" t="s">
        <v>1948</v>
      </c>
      <c r="B103" s="76" t="s">
        <v>1871</v>
      </c>
      <c r="C103" s="40"/>
      <c r="D103" s="40"/>
      <c r="E103" s="48"/>
      <c r="F103" s="48"/>
      <c r="G103" s="48"/>
      <c r="H103" s="48"/>
      <c r="I103" s="48"/>
      <c r="J103" s="48"/>
      <c r="K103" s="306" t="s">
        <v>1864</v>
      </c>
      <c r="L103" s="48"/>
      <c r="M103" s="48"/>
      <c r="N103" s="48"/>
      <c r="O103" s="48"/>
      <c r="P103" s="48"/>
      <c r="Q103" s="306" t="s">
        <v>1872</v>
      </c>
      <c r="R103" s="48"/>
      <c r="S103" s="48"/>
      <c r="T103" s="48"/>
      <c r="U103" s="48"/>
      <c r="V103" s="23">
        <v>0</v>
      </c>
      <c r="W103" s="368">
        <f t="shared" si="4"/>
        <v>0</v>
      </c>
      <c r="X103" s="368">
        <f t="shared" si="5"/>
        <v>0</v>
      </c>
      <c r="Y103" s="368">
        <f t="shared" si="6"/>
        <v>0</v>
      </c>
      <c r="Z103" s="368">
        <f t="shared" si="7"/>
        <v>0</v>
      </c>
    </row>
    <row r="104" spans="1:45" s="177" customFormat="1" ht="27.6">
      <c r="A104" s="306" t="s">
        <v>1986</v>
      </c>
      <c r="B104" s="76" t="s">
        <v>1873</v>
      </c>
      <c r="C104" s="338" t="s">
        <v>312</v>
      </c>
      <c r="D104" s="191" t="s">
        <v>1662</v>
      </c>
      <c r="E104" s="48"/>
      <c r="F104" s="48"/>
      <c r="G104" s="48"/>
      <c r="H104" s="48"/>
      <c r="I104" s="48"/>
      <c r="J104" s="48"/>
      <c r="K104" s="306" t="s">
        <v>1865</v>
      </c>
      <c r="L104" s="48"/>
      <c r="M104" s="48"/>
      <c r="N104" s="48"/>
      <c r="O104" s="48"/>
      <c r="P104" s="48"/>
      <c r="Q104" s="306" t="s">
        <v>1874</v>
      </c>
      <c r="R104" s="48"/>
      <c r="S104" s="48"/>
      <c r="T104" s="48"/>
      <c r="U104" s="48"/>
      <c r="V104" s="23">
        <v>36</v>
      </c>
      <c r="W104" s="368">
        <f t="shared" si="4"/>
        <v>7.1387999999999998</v>
      </c>
      <c r="X104" s="368">
        <f t="shared" si="5"/>
        <v>3.9563999999999999</v>
      </c>
      <c r="Y104" s="368">
        <f t="shared" si="6"/>
        <v>7.3548</v>
      </c>
      <c r="Z104" s="368">
        <f t="shared" si="7"/>
        <v>4.1723999999999997</v>
      </c>
    </row>
    <row r="105" spans="1:45" s="177" customFormat="1" ht="27.6">
      <c r="A105" s="306" t="s">
        <v>1988</v>
      </c>
      <c r="B105" s="76" t="s">
        <v>1875</v>
      </c>
      <c r="C105" s="338" t="s">
        <v>312</v>
      </c>
      <c r="D105" s="191" t="s">
        <v>1662</v>
      </c>
      <c r="E105" s="48"/>
      <c r="F105" s="48"/>
      <c r="G105" s="48"/>
      <c r="H105" s="48"/>
      <c r="I105" s="48"/>
      <c r="J105" s="48"/>
      <c r="K105" s="306" t="s">
        <v>1866</v>
      </c>
      <c r="L105" s="48"/>
      <c r="M105" s="48"/>
      <c r="N105" s="48"/>
      <c r="O105" s="48"/>
      <c r="P105" s="48"/>
      <c r="Q105" s="306" t="s">
        <v>1876</v>
      </c>
      <c r="R105" s="48"/>
      <c r="S105" s="48"/>
      <c r="T105" s="48"/>
      <c r="U105" s="48"/>
      <c r="V105" s="23">
        <v>36</v>
      </c>
      <c r="W105" s="368">
        <f t="shared" si="4"/>
        <v>7.1387999999999998</v>
      </c>
      <c r="X105" s="368">
        <f t="shared" si="5"/>
        <v>3.9563999999999999</v>
      </c>
      <c r="Y105" s="368">
        <f t="shared" si="6"/>
        <v>7.3548</v>
      </c>
      <c r="Z105" s="368">
        <f t="shared" si="7"/>
        <v>4.1723999999999997</v>
      </c>
    </row>
    <row r="106" spans="1:45" s="177" customFormat="1" ht="27.6">
      <c r="A106" s="306" t="s">
        <v>1867</v>
      </c>
      <c r="B106" s="76" t="s">
        <v>1877</v>
      </c>
      <c r="C106" s="40"/>
      <c r="D106" s="191" t="s">
        <v>1662</v>
      </c>
      <c r="E106" s="48"/>
      <c r="F106" s="48"/>
      <c r="G106" s="48"/>
      <c r="H106" s="48"/>
      <c r="I106" s="48"/>
      <c r="J106" s="48"/>
      <c r="K106" s="306" t="s">
        <v>1868</v>
      </c>
      <c r="L106" s="48"/>
      <c r="M106" s="48"/>
      <c r="N106" s="48"/>
      <c r="O106" s="48"/>
      <c r="P106" s="48"/>
      <c r="Q106" s="306" t="s">
        <v>1878</v>
      </c>
      <c r="R106" s="48"/>
      <c r="S106" s="48"/>
      <c r="T106" s="48"/>
      <c r="U106" s="48"/>
      <c r="V106" s="23">
        <v>99</v>
      </c>
      <c r="W106" s="368">
        <f t="shared" si="4"/>
        <v>19.631700000000002</v>
      </c>
      <c r="X106" s="368">
        <f t="shared" si="5"/>
        <v>10.880100000000001</v>
      </c>
      <c r="Y106" s="368">
        <f t="shared" si="6"/>
        <v>20.2257</v>
      </c>
      <c r="Z106" s="368">
        <f t="shared" si="7"/>
        <v>11.4741</v>
      </c>
    </row>
    <row r="107" spans="1:45" s="177" customFormat="1" ht="27.6">
      <c r="A107" s="306" t="s">
        <v>1949</v>
      </c>
      <c r="B107" s="76" t="s">
        <v>1879</v>
      </c>
      <c r="C107" s="40"/>
      <c r="D107" s="191" t="s">
        <v>1662</v>
      </c>
      <c r="E107" s="48"/>
      <c r="F107" s="48"/>
      <c r="G107" s="48"/>
      <c r="H107" s="48"/>
      <c r="I107" s="48"/>
      <c r="J107" s="48"/>
      <c r="K107" s="306" t="s">
        <v>1869</v>
      </c>
      <c r="L107" s="48"/>
      <c r="M107" s="48"/>
      <c r="N107" s="48"/>
      <c r="O107" s="48"/>
      <c r="P107" s="48"/>
      <c r="Q107" s="306" t="s">
        <v>1880</v>
      </c>
      <c r="R107" s="48"/>
      <c r="S107" s="48"/>
      <c r="T107" s="48"/>
      <c r="U107" s="48"/>
      <c r="V107" s="23">
        <v>99</v>
      </c>
      <c r="W107" s="368">
        <f t="shared" si="4"/>
        <v>19.631700000000002</v>
      </c>
      <c r="X107" s="368">
        <f t="shared" si="5"/>
        <v>10.880100000000001</v>
      </c>
      <c r="Y107" s="368">
        <f t="shared" si="6"/>
        <v>20.2257</v>
      </c>
      <c r="Z107" s="368">
        <f t="shared" si="7"/>
        <v>11.4741</v>
      </c>
    </row>
    <row r="108" spans="1:45" s="177" customFormat="1" ht="27.6">
      <c r="A108" s="306" t="s">
        <v>1987</v>
      </c>
      <c r="B108" s="76" t="s">
        <v>1879</v>
      </c>
      <c r="C108" s="338" t="s">
        <v>312</v>
      </c>
      <c r="D108" s="191" t="s">
        <v>1662</v>
      </c>
      <c r="E108" s="48"/>
      <c r="F108" s="48"/>
      <c r="G108" s="48"/>
      <c r="H108" s="48"/>
      <c r="I108" s="48"/>
      <c r="J108" s="48"/>
      <c r="K108" s="306" t="s">
        <v>1870</v>
      </c>
      <c r="L108" s="48"/>
      <c r="M108" s="48"/>
      <c r="N108" s="48"/>
      <c r="O108" s="48"/>
      <c r="P108" s="48"/>
      <c r="Q108" s="306" t="s">
        <v>1881</v>
      </c>
      <c r="R108" s="48"/>
      <c r="S108" s="48"/>
      <c r="T108" s="48"/>
      <c r="U108" s="48"/>
      <c r="V108" s="23">
        <v>99</v>
      </c>
      <c r="W108" s="368">
        <f t="shared" si="4"/>
        <v>19.631700000000002</v>
      </c>
      <c r="X108" s="368">
        <f t="shared" si="5"/>
        <v>10.880100000000001</v>
      </c>
      <c r="Y108" s="368">
        <f t="shared" si="6"/>
        <v>20.2257</v>
      </c>
      <c r="Z108" s="368">
        <f t="shared" si="7"/>
        <v>11.4741</v>
      </c>
    </row>
    <row r="109" spans="1:45" s="176" customFormat="1">
      <c r="A109" s="69"/>
      <c r="B109" s="69"/>
      <c r="C109" s="40"/>
      <c r="D109" s="40"/>
      <c r="E109" s="48"/>
      <c r="F109" s="230"/>
      <c r="G109" s="48"/>
      <c r="H109" s="230"/>
      <c r="I109" s="230"/>
      <c r="J109" s="48"/>
      <c r="K109" s="230"/>
      <c r="L109" s="230"/>
      <c r="M109" s="48"/>
      <c r="N109" s="48"/>
      <c r="O109" s="48"/>
      <c r="P109" s="48"/>
      <c r="Q109" s="48"/>
      <c r="R109" s="48"/>
      <c r="S109" s="230"/>
      <c r="T109" s="230"/>
      <c r="U109" s="230"/>
      <c r="V109" s="23"/>
      <c r="W109" s="368"/>
      <c r="X109" s="368"/>
      <c r="Y109" s="368"/>
      <c r="Z109" s="368"/>
      <c r="AA109" s="172"/>
      <c r="AB109" s="172"/>
      <c r="AC109" s="172"/>
      <c r="AD109" s="172"/>
      <c r="AE109" s="172"/>
      <c r="AF109" s="172"/>
      <c r="AG109" s="172"/>
      <c r="AH109" s="172"/>
      <c r="AI109" s="172"/>
      <c r="AJ109" s="172"/>
      <c r="AK109" s="172"/>
      <c r="AL109" s="172"/>
      <c r="AM109" s="172"/>
      <c r="AN109" s="172"/>
      <c r="AO109" s="172"/>
      <c r="AP109" s="172"/>
      <c r="AQ109" s="172"/>
      <c r="AR109" s="172"/>
      <c r="AS109" s="172"/>
    </row>
    <row r="110" spans="1:45" s="177" customFormat="1">
      <c r="A110" s="98" t="s">
        <v>313</v>
      </c>
      <c r="B110" s="98"/>
      <c r="C110" s="98"/>
      <c r="D110" s="98"/>
      <c r="E110" s="226"/>
      <c r="F110" s="226"/>
      <c r="G110" s="226"/>
      <c r="H110" s="226"/>
      <c r="I110" s="226"/>
      <c r="J110" s="226"/>
      <c r="K110" s="226"/>
      <c r="L110" s="226"/>
      <c r="M110" s="226"/>
      <c r="N110" s="226"/>
      <c r="O110" s="226"/>
      <c r="P110" s="226"/>
      <c r="Q110" s="226"/>
      <c r="R110" s="226"/>
      <c r="S110" s="226"/>
      <c r="T110" s="226"/>
      <c r="U110" s="226"/>
      <c r="V110" s="185"/>
      <c r="W110" s="185"/>
      <c r="X110" s="185"/>
      <c r="Y110" s="185"/>
      <c r="Z110" s="185"/>
      <c r="AA110" s="172"/>
      <c r="AB110" s="172"/>
      <c r="AC110" s="172"/>
      <c r="AD110" s="172"/>
      <c r="AE110" s="172"/>
      <c r="AF110" s="172"/>
      <c r="AG110" s="172"/>
      <c r="AH110" s="172"/>
      <c r="AI110" s="172"/>
      <c r="AJ110" s="172"/>
      <c r="AK110" s="172"/>
      <c r="AL110" s="172"/>
      <c r="AM110" s="172"/>
      <c r="AN110" s="172"/>
      <c r="AO110" s="172"/>
      <c r="AP110" s="172"/>
      <c r="AQ110" s="172"/>
      <c r="AR110" s="172"/>
      <c r="AS110" s="172"/>
    </row>
    <row r="111" spans="1:45" s="177" customFormat="1">
      <c r="A111" s="69" t="s">
        <v>314</v>
      </c>
      <c r="B111" s="69" t="s">
        <v>314</v>
      </c>
      <c r="C111" s="40"/>
      <c r="D111" s="40"/>
      <c r="E111" s="48"/>
      <c r="F111" s="48" t="s">
        <v>1717</v>
      </c>
      <c r="G111" s="48"/>
      <c r="H111" s="48" t="s">
        <v>1720</v>
      </c>
      <c r="I111" s="48"/>
      <c r="J111" s="48"/>
      <c r="K111" s="48" t="s">
        <v>1725</v>
      </c>
      <c r="L111" s="48"/>
      <c r="M111" s="48"/>
      <c r="N111" s="48" t="s">
        <v>1727</v>
      </c>
      <c r="O111" s="48"/>
      <c r="P111" s="48"/>
      <c r="Q111" s="48" t="s">
        <v>1731</v>
      </c>
      <c r="R111" s="48"/>
      <c r="S111" s="230"/>
      <c r="T111" s="230"/>
      <c r="U111" s="230"/>
      <c r="V111" s="28">
        <v>82</v>
      </c>
      <c r="W111" s="369">
        <f t="shared" si="4"/>
        <v>16.2606</v>
      </c>
      <c r="X111" s="369">
        <f t="shared" si="5"/>
        <v>9.0117999999999991</v>
      </c>
      <c r="Y111" s="369">
        <f t="shared" si="6"/>
        <v>16.752600000000001</v>
      </c>
      <c r="Z111" s="369">
        <f t="shared" si="7"/>
        <v>9.5038</v>
      </c>
      <c r="AA111" s="172"/>
      <c r="AB111" s="172"/>
      <c r="AC111" s="172"/>
      <c r="AD111" s="172"/>
      <c r="AE111" s="172"/>
      <c r="AF111" s="172"/>
      <c r="AG111" s="172"/>
      <c r="AH111" s="172"/>
      <c r="AI111" s="172"/>
      <c r="AJ111" s="172"/>
      <c r="AK111" s="172"/>
      <c r="AL111" s="172"/>
      <c r="AM111" s="172"/>
      <c r="AN111" s="172"/>
      <c r="AO111" s="172"/>
      <c r="AP111" s="172"/>
      <c r="AQ111" s="172"/>
      <c r="AR111" s="172"/>
      <c r="AS111" s="172"/>
    </row>
    <row r="112" spans="1:45" s="177" customFormat="1">
      <c r="A112" s="69" t="s">
        <v>315</v>
      </c>
      <c r="B112" s="69" t="s">
        <v>315</v>
      </c>
      <c r="C112" s="40"/>
      <c r="D112" s="40"/>
      <c r="E112" s="48"/>
      <c r="F112" s="48" t="s">
        <v>1717</v>
      </c>
      <c r="G112" s="48"/>
      <c r="H112" s="48" t="s">
        <v>1721</v>
      </c>
      <c r="I112" s="48"/>
      <c r="J112" s="48"/>
      <c r="K112" s="48" t="s">
        <v>1724</v>
      </c>
      <c r="L112" s="48"/>
      <c r="M112" s="48"/>
      <c r="N112" s="48" t="s">
        <v>1728</v>
      </c>
      <c r="O112" s="48"/>
      <c r="P112" s="48"/>
      <c r="Q112" s="48" t="s">
        <v>1732</v>
      </c>
      <c r="R112" s="48"/>
      <c r="S112" s="230"/>
      <c r="T112" s="230"/>
      <c r="U112" s="230"/>
      <c r="V112" s="23">
        <v>82</v>
      </c>
      <c r="W112" s="368">
        <f t="shared" si="4"/>
        <v>16.2606</v>
      </c>
      <c r="X112" s="368">
        <f t="shared" si="5"/>
        <v>9.0117999999999991</v>
      </c>
      <c r="Y112" s="368">
        <f t="shared" si="6"/>
        <v>16.752600000000001</v>
      </c>
      <c r="Z112" s="368">
        <f t="shared" si="7"/>
        <v>9.5038</v>
      </c>
      <c r="AA112" s="172"/>
      <c r="AB112" s="172"/>
      <c r="AC112" s="172"/>
      <c r="AD112" s="172"/>
      <c r="AE112" s="172"/>
      <c r="AF112" s="172"/>
      <c r="AG112" s="172"/>
      <c r="AH112" s="172"/>
      <c r="AI112" s="172"/>
      <c r="AJ112" s="172"/>
      <c r="AK112" s="172"/>
      <c r="AL112" s="172"/>
      <c r="AM112" s="172"/>
      <c r="AN112" s="172"/>
      <c r="AO112" s="172"/>
      <c r="AP112" s="172"/>
      <c r="AQ112" s="172"/>
      <c r="AR112" s="172"/>
      <c r="AS112" s="172"/>
    </row>
    <row r="113" spans="1:45" s="177" customFormat="1">
      <c r="A113" s="69" t="s">
        <v>316</v>
      </c>
      <c r="B113" s="69" t="s">
        <v>316</v>
      </c>
      <c r="C113" s="40"/>
      <c r="D113" s="40"/>
      <c r="E113" s="48"/>
      <c r="F113" s="48" t="s">
        <v>1718</v>
      </c>
      <c r="G113" s="48"/>
      <c r="H113" s="48" t="s">
        <v>1722</v>
      </c>
      <c r="I113" s="48"/>
      <c r="J113" s="48"/>
      <c r="K113" s="48" t="s">
        <v>2016</v>
      </c>
      <c r="L113" s="48"/>
      <c r="M113" s="48"/>
      <c r="N113" s="48" t="s">
        <v>1729</v>
      </c>
      <c r="O113" s="48"/>
      <c r="P113" s="48"/>
      <c r="Q113" s="48" t="s">
        <v>1733</v>
      </c>
      <c r="R113" s="48"/>
      <c r="S113" s="230"/>
      <c r="T113" s="230"/>
      <c r="U113" s="230"/>
      <c r="V113" s="28">
        <v>183</v>
      </c>
      <c r="W113" s="369">
        <f t="shared" si="4"/>
        <v>36.288899999999998</v>
      </c>
      <c r="X113" s="369">
        <f t="shared" si="5"/>
        <v>20.111699999999999</v>
      </c>
      <c r="Y113" s="369">
        <f t="shared" si="6"/>
        <v>37.386900000000004</v>
      </c>
      <c r="Z113" s="369">
        <f t="shared" si="7"/>
        <v>21.209700000000002</v>
      </c>
      <c r="AA113" s="172"/>
      <c r="AB113" s="172"/>
      <c r="AC113" s="172"/>
      <c r="AD113" s="172"/>
      <c r="AE113" s="172"/>
      <c r="AF113" s="172"/>
      <c r="AG113" s="172"/>
      <c r="AH113" s="172"/>
      <c r="AI113" s="172"/>
      <c r="AJ113" s="172"/>
      <c r="AK113" s="172"/>
      <c r="AL113" s="172"/>
      <c r="AM113" s="172"/>
      <c r="AN113" s="172"/>
      <c r="AO113" s="172"/>
      <c r="AP113" s="172"/>
      <c r="AQ113" s="172"/>
      <c r="AR113" s="172"/>
      <c r="AS113" s="172"/>
    </row>
    <row r="114" spans="1:45" s="172" customFormat="1">
      <c r="A114" s="235"/>
      <c r="B114" s="203"/>
      <c r="C114" s="134"/>
      <c r="D114" s="134"/>
      <c r="E114" s="48"/>
      <c r="F114" s="48"/>
      <c r="G114" s="48"/>
      <c r="H114" s="48"/>
      <c r="I114" s="48"/>
      <c r="J114" s="48"/>
      <c r="K114" s="48"/>
      <c r="L114" s="48"/>
      <c r="M114" s="48"/>
      <c r="N114" s="48"/>
      <c r="O114" s="48"/>
      <c r="P114" s="48"/>
      <c r="Q114" s="48"/>
      <c r="R114" s="48"/>
      <c r="S114" s="45"/>
      <c r="T114" s="45"/>
      <c r="U114" s="45"/>
      <c r="V114" s="28"/>
      <c r="W114" s="369"/>
      <c r="X114" s="369"/>
      <c r="Y114" s="369"/>
      <c r="Z114" s="369"/>
    </row>
    <row r="115" spans="1:45" s="177" customFormat="1">
      <c r="A115" s="98" t="s">
        <v>317</v>
      </c>
      <c r="B115" s="98"/>
      <c r="C115" s="98"/>
      <c r="D115" s="98"/>
      <c r="E115" s="226"/>
      <c r="F115" s="226"/>
      <c r="G115" s="226"/>
      <c r="H115" s="226"/>
      <c r="I115" s="226"/>
      <c r="J115" s="226"/>
      <c r="K115" s="226"/>
      <c r="L115" s="226"/>
      <c r="M115" s="226"/>
      <c r="N115" s="226"/>
      <c r="O115" s="226"/>
      <c r="P115" s="226"/>
      <c r="Q115" s="226"/>
      <c r="R115" s="226"/>
      <c r="S115" s="226"/>
      <c r="T115" s="226"/>
      <c r="U115" s="226"/>
      <c r="V115" s="185"/>
      <c r="W115" s="185"/>
      <c r="X115" s="185"/>
      <c r="Y115" s="185"/>
      <c r="Z115" s="185"/>
      <c r="AA115" s="172"/>
      <c r="AB115" s="172"/>
      <c r="AC115" s="172"/>
      <c r="AD115" s="172"/>
      <c r="AE115" s="172"/>
      <c r="AF115" s="172"/>
      <c r="AG115" s="172"/>
      <c r="AH115" s="172"/>
      <c r="AI115" s="172"/>
      <c r="AJ115" s="172"/>
      <c r="AK115" s="172"/>
      <c r="AL115" s="172"/>
      <c r="AM115" s="172"/>
      <c r="AN115" s="172"/>
      <c r="AO115" s="172"/>
      <c r="AP115" s="172"/>
      <c r="AQ115" s="172"/>
      <c r="AR115" s="172"/>
      <c r="AS115" s="172"/>
    </row>
    <row r="116" spans="1:45" s="165" customFormat="1">
      <c r="A116" s="69" t="s">
        <v>318</v>
      </c>
      <c r="B116" s="69" t="s">
        <v>319</v>
      </c>
      <c r="C116" s="40"/>
      <c r="D116" s="40"/>
      <c r="E116" s="48"/>
      <c r="F116" s="48" t="s">
        <v>1792</v>
      </c>
      <c r="G116" s="48"/>
      <c r="H116" s="48"/>
      <c r="I116" s="48"/>
      <c r="J116" s="48"/>
      <c r="K116" s="48"/>
      <c r="L116" s="48"/>
      <c r="M116" s="48"/>
      <c r="N116" s="48"/>
      <c r="O116" s="48"/>
      <c r="P116" s="48"/>
      <c r="Q116" s="48"/>
      <c r="R116" s="48"/>
      <c r="S116" s="30"/>
      <c r="T116" s="30"/>
      <c r="U116" s="30"/>
      <c r="V116" s="23">
        <v>0</v>
      </c>
      <c r="W116" s="368">
        <f t="shared" si="4"/>
        <v>0</v>
      </c>
      <c r="X116" s="368">
        <f t="shared" si="5"/>
        <v>0</v>
      </c>
      <c r="Y116" s="368">
        <f t="shared" si="6"/>
        <v>0</v>
      </c>
      <c r="Z116" s="368">
        <f t="shared" si="7"/>
        <v>0</v>
      </c>
      <c r="AA116" s="253"/>
      <c r="AB116" s="253"/>
      <c r="AC116" s="253"/>
      <c r="AD116" s="253"/>
      <c r="AE116" s="253"/>
      <c r="AF116" s="253"/>
      <c r="AG116" s="253"/>
      <c r="AH116" s="253"/>
      <c r="AI116" s="253"/>
      <c r="AJ116" s="253"/>
      <c r="AK116" s="253"/>
      <c r="AL116" s="253"/>
      <c r="AM116" s="253"/>
      <c r="AN116" s="253"/>
      <c r="AO116" s="253"/>
      <c r="AP116" s="253"/>
      <c r="AQ116" s="253"/>
      <c r="AR116" s="253"/>
      <c r="AS116" s="253"/>
    </row>
    <row r="117" spans="1:45" s="177" customFormat="1">
      <c r="A117" s="69" t="s">
        <v>320</v>
      </c>
      <c r="B117" s="69" t="s">
        <v>321</v>
      </c>
      <c r="C117" s="40"/>
      <c r="D117" s="40"/>
      <c r="E117" s="48"/>
      <c r="F117" s="48"/>
      <c r="G117" s="48"/>
      <c r="H117" s="48"/>
      <c r="I117" s="48"/>
      <c r="J117" s="48"/>
      <c r="K117" s="48"/>
      <c r="L117" s="48"/>
      <c r="M117" s="48"/>
      <c r="N117" s="48"/>
      <c r="O117" s="48"/>
      <c r="P117" s="48"/>
      <c r="Q117" s="48"/>
      <c r="R117" s="48"/>
      <c r="S117" s="30"/>
      <c r="T117" s="30"/>
      <c r="U117" s="30"/>
      <c r="V117" s="23">
        <v>0</v>
      </c>
      <c r="W117" s="368">
        <f t="shared" si="4"/>
        <v>0</v>
      </c>
      <c r="X117" s="368">
        <f t="shared" si="5"/>
        <v>0</v>
      </c>
      <c r="Y117" s="368">
        <f t="shared" si="6"/>
        <v>0</v>
      </c>
      <c r="Z117" s="368">
        <f t="shared" si="7"/>
        <v>0</v>
      </c>
      <c r="AA117" s="172"/>
      <c r="AB117" s="172"/>
      <c r="AC117" s="172"/>
      <c r="AD117" s="172"/>
      <c r="AE117" s="172"/>
      <c r="AF117" s="172"/>
      <c r="AG117" s="172"/>
      <c r="AH117" s="172"/>
      <c r="AI117" s="172"/>
      <c r="AJ117" s="172"/>
      <c r="AK117" s="172"/>
      <c r="AL117" s="172"/>
      <c r="AM117" s="172"/>
      <c r="AN117" s="172"/>
      <c r="AO117" s="172"/>
      <c r="AP117" s="172"/>
      <c r="AQ117" s="172"/>
      <c r="AR117" s="172"/>
      <c r="AS117" s="172"/>
    </row>
    <row r="118" spans="1:45" s="165" customFormat="1">
      <c r="A118" s="69" t="s">
        <v>322</v>
      </c>
      <c r="B118" s="69" t="s">
        <v>323</v>
      </c>
      <c r="C118" s="40"/>
      <c r="D118" s="40"/>
      <c r="E118" s="48"/>
      <c r="F118" s="48" t="s">
        <v>1790</v>
      </c>
      <c r="G118" s="48"/>
      <c r="H118" s="48"/>
      <c r="I118" s="48"/>
      <c r="J118" s="48"/>
      <c r="K118" s="48"/>
      <c r="L118" s="48"/>
      <c r="M118" s="48"/>
      <c r="N118" s="48"/>
      <c r="O118" s="48"/>
      <c r="P118" s="48"/>
      <c r="Q118" s="48"/>
      <c r="R118" s="48"/>
      <c r="S118" s="30"/>
      <c r="T118" s="30"/>
      <c r="U118" s="30"/>
      <c r="V118" s="23">
        <v>0</v>
      </c>
      <c r="W118" s="368">
        <f t="shared" si="4"/>
        <v>0</v>
      </c>
      <c r="X118" s="368">
        <f t="shared" si="5"/>
        <v>0</v>
      </c>
      <c r="Y118" s="368">
        <f t="shared" si="6"/>
        <v>0</v>
      </c>
      <c r="Z118" s="368">
        <f t="shared" si="7"/>
        <v>0</v>
      </c>
      <c r="AA118" s="253"/>
      <c r="AB118" s="253"/>
      <c r="AC118" s="253"/>
      <c r="AD118" s="253"/>
      <c r="AE118" s="253"/>
      <c r="AF118" s="253"/>
      <c r="AG118" s="253"/>
      <c r="AH118" s="253"/>
      <c r="AI118" s="253"/>
      <c r="AJ118" s="253"/>
      <c r="AK118" s="253"/>
      <c r="AL118" s="253"/>
      <c r="AM118" s="253"/>
      <c r="AN118" s="253"/>
      <c r="AO118" s="253"/>
      <c r="AP118" s="253"/>
      <c r="AQ118" s="253"/>
      <c r="AR118" s="253"/>
      <c r="AS118" s="253"/>
    </row>
    <row r="119" spans="1:45" s="177" customFormat="1">
      <c r="A119" s="69" t="s">
        <v>324</v>
      </c>
      <c r="B119" s="69" t="s">
        <v>325</v>
      </c>
      <c r="C119" s="40"/>
      <c r="D119" s="40"/>
      <c r="E119" s="48"/>
      <c r="F119" s="48" t="s">
        <v>1789</v>
      </c>
      <c r="G119" s="48"/>
      <c r="H119" s="48"/>
      <c r="I119" s="48"/>
      <c r="J119" s="48"/>
      <c r="K119" s="48"/>
      <c r="L119" s="48"/>
      <c r="M119" s="48"/>
      <c r="N119" s="48"/>
      <c r="O119" s="48"/>
      <c r="P119" s="48"/>
      <c r="Q119" s="48"/>
      <c r="R119" s="48"/>
      <c r="S119" s="30"/>
      <c r="T119" s="30"/>
      <c r="U119" s="30"/>
      <c r="V119" s="23">
        <v>25</v>
      </c>
      <c r="W119" s="368">
        <f t="shared" si="4"/>
        <v>4.9575000000000005</v>
      </c>
      <c r="X119" s="368">
        <f t="shared" si="5"/>
        <v>2.7475000000000001</v>
      </c>
      <c r="Y119" s="368">
        <f t="shared" si="6"/>
        <v>5.1074999999999999</v>
      </c>
      <c r="Z119" s="368">
        <f t="shared" si="7"/>
        <v>2.8975</v>
      </c>
      <c r="AA119" s="172"/>
      <c r="AB119" s="172"/>
      <c r="AC119" s="172"/>
      <c r="AD119" s="172"/>
      <c r="AE119" s="172"/>
      <c r="AF119" s="172"/>
      <c r="AG119" s="172"/>
      <c r="AH119" s="172"/>
      <c r="AI119" s="172"/>
      <c r="AJ119" s="172"/>
      <c r="AK119" s="172"/>
      <c r="AL119" s="172"/>
      <c r="AM119" s="172"/>
      <c r="AN119" s="172"/>
      <c r="AO119" s="172"/>
      <c r="AP119" s="172"/>
      <c r="AQ119" s="172"/>
      <c r="AR119" s="172"/>
      <c r="AS119" s="172"/>
    </row>
    <row r="120" spans="1:45" s="165" customFormat="1" ht="27.6">
      <c r="A120" s="69" t="s">
        <v>326</v>
      </c>
      <c r="B120" s="69" t="s">
        <v>327</v>
      </c>
      <c r="C120" s="40"/>
      <c r="D120" s="40"/>
      <c r="E120" s="48"/>
      <c r="F120" s="48" t="s">
        <v>1791</v>
      </c>
      <c r="G120" s="48"/>
      <c r="H120" s="48"/>
      <c r="I120" s="48"/>
      <c r="J120" s="48"/>
      <c r="K120" s="48"/>
      <c r="L120" s="48"/>
      <c r="M120" s="48"/>
      <c r="N120" s="48"/>
      <c r="O120" s="48"/>
      <c r="P120" s="48"/>
      <c r="Q120" s="48"/>
      <c r="R120" s="48"/>
      <c r="S120" s="30"/>
      <c r="T120" s="30"/>
      <c r="U120" s="30"/>
      <c r="V120" s="23">
        <v>25</v>
      </c>
      <c r="W120" s="368">
        <f t="shared" si="4"/>
        <v>4.9575000000000005</v>
      </c>
      <c r="X120" s="368">
        <f t="shared" si="5"/>
        <v>2.7475000000000001</v>
      </c>
      <c r="Y120" s="368">
        <f t="shared" si="6"/>
        <v>5.1074999999999999</v>
      </c>
      <c r="Z120" s="368">
        <f t="shared" si="7"/>
        <v>2.8975</v>
      </c>
      <c r="AA120" s="253"/>
      <c r="AB120" s="253"/>
      <c r="AC120" s="253"/>
      <c r="AD120" s="253"/>
      <c r="AE120" s="253"/>
      <c r="AF120" s="253"/>
      <c r="AG120" s="253"/>
      <c r="AH120" s="253"/>
      <c r="AI120" s="253"/>
      <c r="AJ120" s="253"/>
      <c r="AK120" s="253"/>
      <c r="AL120" s="253"/>
      <c r="AM120" s="253"/>
      <c r="AN120" s="253"/>
      <c r="AO120" s="253"/>
      <c r="AP120" s="253"/>
      <c r="AQ120" s="253"/>
      <c r="AR120" s="253"/>
      <c r="AS120" s="253"/>
    </row>
    <row r="121" spans="1:45" s="177" customFormat="1">
      <c r="A121" s="69" t="s">
        <v>328</v>
      </c>
      <c r="B121" s="69" t="s">
        <v>329</v>
      </c>
      <c r="C121" s="40"/>
      <c r="D121" s="40"/>
      <c r="E121" s="48"/>
      <c r="F121" s="48" t="s">
        <v>1794</v>
      </c>
      <c r="G121" s="48"/>
      <c r="H121" s="48"/>
      <c r="I121" s="48"/>
      <c r="J121" s="48"/>
      <c r="K121" s="48"/>
      <c r="L121" s="48"/>
      <c r="M121" s="48"/>
      <c r="N121" s="48"/>
      <c r="O121" s="48"/>
      <c r="P121" s="48"/>
      <c r="Q121" s="48"/>
      <c r="R121" s="48"/>
      <c r="S121" s="30"/>
      <c r="T121" s="30"/>
      <c r="U121" s="30"/>
      <c r="V121" s="23">
        <v>46</v>
      </c>
      <c r="W121" s="368">
        <f t="shared" si="4"/>
        <v>9.1218000000000004</v>
      </c>
      <c r="X121" s="368">
        <f t="shared" si="5"/>
        <v>5.0553999999999997</v>
      </c>
      <c r="Y121" s="368">
        <f t="shared" si="6"/>
        <v>9.3978000000000002</v>
      </c>
      <c r="Z121" s="368">
        <f t="shared" si="7"/>
        <v>5.3314000000000004</v>
      </c>
      <c r="AA121" s="172"/>
      <c r="AB121" s="172"/>
      <c r="AC121" s="172"/>
      <c r="AD121" s="172"/>
      <c r="AE121" s="172"/>
      <c r="AF121" s="172"/>
      <c r="AG121" s="172"/>
      <c r="AH121" s="172"/>
      <c r="AI121" s="172"/>
      <c r="AJ121" s="172"/>
      <c r="AK121" s="172"/>
      <c r="AL121" s="172"/>
      <c r="AM121" s="172"/>
      <c r="AN121" s="172"/>
      <c r="AO121" s="172"/>
      <c r="AP121" s="172"/>
      <c r="AQ121" s="172"/>
      <c r="AR121" s="172"/>
      <c r="AS121" s="172"/>
    </row>
    <row r="122" spans="1:45">
      <c r="A122" s="69" t="s">
        <v>330</v>
      </c>
      <c r="B122" s="69" t="s">
        <v>331</v>
      </c>
      <c r="C122" s="40"/>
      <c r="D122" s="40"/>
      <c r="E122" s="48"/>
      <c r="F122" s="48" t="s">
        <v>1793</v>
      </c>
      <c r="G122" s="48"/>
      <c r="H122" s="48"/>
      <c r="I122" s="48"/>
      <c r="J122" s="48"/>
      <c r="K122" s="48"/>
      <c r="L122" s="48"/>
      <c r="M122" s="48"/>
      <c r="N122" s="48"/>
      <c r="O122" s="48"/>
      <c r="P122" s="48"/>
      <c r="Q122" s="48"/>
      <c r="R122" s="48"/>
      <c r="S122" s="30"/>
      <c r="T122" s="30"/>
      <c r="U122" s="30"/>
      <c r="V122" s="23">
        <v>46</v>
      </c>
      <c r="W122" s="368">
        <f t="shared" si="4"/>
        <v>9.1218000000000004</v>
      </c>
      <c r="X122" s="368">
        <f t="shared" si="5"/>
        <v>5.0553999999999997</v>
      </c>
      <c r="Y122" s="368">
        <f t="shared" si="6"/>
        <v>9.3978000000000002</v>
      </c>
      <c r="Z122" s="368">
        <f t="shared" si="7"/>
        <v>5.3314000000000004</v>
      </c>
    </row>
    <row r="123" spans="1:45" s="165" customFormat="1">
      <c r="A123" s="69" t="s">
        <v>332</v>
      </c>
      <c r="B123" s="69" t="s">
        <v>333</v>
      </c>
      <c r="C123" s="40"/>
      <c r="D123" s="40"/>
      <c r="E123" s="48"/>
      <c r="F123" s="48" t="s">
        <v>1795</v>
      </c>
      <c r="G123" s="48"/>
      <c r="H123" s="48"/>
      <c r="I123" s="48"/>
      <c r="J123" s="48"/>
      <c r="K123" s="48"/>
      <c r="L123" s="48"/>
      <c r="M123" s="48"/>
      <c r="N123" s="48"/>
      <c r="O123" s="48"/>
      <c r="P123" s="48"/>
      <c r="Q123" s="48"/>
      <c r="R123" s="48"/>
      <c r="S123" s="30"/>
      <c r="T123" s="30"/>
      <c r="U123" s="30"/>
      <c r="V123" s="23">
        <v>46</v>
      </c>
      <c r="W123" s="368">
        <f t="shared" si="4"/>
        <v>9.1218000000000004</v>
      </c>
      <c r="X123" s="368">
        <f t="shared" si="5"/>
        <v>5.0553999999999997</v>
      </c>
      <c r="Y123" s="368">
        <f t="shared" si="6"/>
        <v>9.3978000000000002</v>
      </c>
      <c r="Z123" s="368">
        <f t="shared" si="7"/>
        <v>5.3314000000000004</v>
      </c>
      <c r="AA123" s="253"/>
      <c r="AB123" s="253"/>
      <c r="AC123" s="253"/>
      <c r="AD123" s="253"/>
      <c r="AE123" s="253"/>
      <c r="AF123" s="253"/>
      <c r="AG123" s="253"/>
      <c r="AH123" s="253"/>
      <c r="AI123" s="253"/>
      <c r="AJ123" s="253"/>
      <c r="AK123" s="253"/>
      <c r="AL123" s="253"/>
      <c r="AM123" s="253"/>
      <c r="AN123" s="253"/>
      <c r="AO123" s="253"/>
      <c r="AP123" s="253"/>
      <c r="AQ123" s="253"/>
      <c r="AR123" s="253"/>
      <c r="AS123" s="253"/>
    </row>
    <row r="124" spans="1:45" ht="31.5" customHeight="1">
      <c r="A124" s="69" t="s">
        <v>334</v>
      </c>
      <c r="B124" s="69" t="s">
        <v>335</v>
      </c>
      <c r="C124" s="40"/>
      <c r="D124" s="40"/>
      <c r="E124" s="48"/>
      <c r="F124" s="48"/>
      <c r="G124" s="48"/>
      <c r="H124" s="48"/>
      <c r="I124" s="48"/>
      <c r="J124" s="48"/>
      <c r="K124" s="48"/>
      <c r="L124" s="48"/>
      <c r="M124" s="48"/>
      <c r="N124" s="48"/>
      <c r="O124" s="48"/>
      <c r="P124" s="48"/>
      <c r="Q124" s="48"/>
      <c r="R124" s="48"/>
      <c r="S124" s="30"/>
      <c r="T124" s="30"/>
      <c r="U124" s="30"/>
      <c r="V124" s="23">
        <v>57</v>
      </c>
      <c r="W124" s="368">
        <f t="shared" si="4"/>
        <v>11.303100000000001</v>
      </c>
      <c r="X124" s="368">
        <f t="shared" si="5"/>
        <v>6.2642999999999995</v>
      </c>
      <c r="Y124" s="368">
        <f t="shared" si="6"/>
        <v>11.645100000000001</v>
      </c>
      <c r="Z124" s="368">
        <f t="shared" si="7"/>
        <v>6.6063000000000001</v>
      </c>
    </row>
    <row r="125" spans="1:45" s="165" customFormat="1" ht="31.5" customHeight="1">
      <c r="A125" s="69" t="s">
        <v>336</v>
      </c>
      <c r="B125" s="69" t="s">
        <v>337</v>
      </c>
      <c r="C125" s="40"/>
      <c r="D125" s="40"/>
      <c r="E125" s="48"/>
      <c r="F125" s="230"/>
      <c r="G125" s="48"/>
      <c r="H125" s="48"/>
      <c r="I125" s="48"/>
      <c r="J125" s="48"/>
      <c r="K125" s="48"/>
      <c r="L125" s="48"/>
      <c r="M125" s="48"/>
      <c r="N125" s="48"/>
      <c r="O125" s="48"/>
      <c r="P125" s="48"/>
      <c r="Q125" s="48"/>
      <c r="R125" s="48"/>
      <c r="S125" s="30"/>
      <c r="T125" s="30"/>
      <c r="U125" s="30"/>
      <c r="V125" s="23">
        <v>57</v>
      </c>
      <c r="W125" s="368">
        <f t="shared" si="4"/>
        <v>11.303100000000001</v>
      </c>
      <c r="X125" s="368">
        <f t="shared" si="5"/>
        <v>6.2642999999999995</v>
      </c>
      <c r="Y125" s="368">
        <f t="shared" si="6"/>
        <v>11.645100000000001</v>
      </c>
      <c r="Z125" s="368">
        <f t="shared" si="7"/>
        <v>6.6063000000000001</v>
      </c>
      <c r="AA125" s="253"/>
      <c r="AB125" s="253"/>
      <c r="AC125" s="253"/>
      <c r="AD125" s="253"/>
      <c r="AE125" s="253"/>
      <c r="AF125" s="253"/>
      <c r="AG125" s="253"/>
      <c r="AH125" s="253"/>
      <c r="AI125" s="253"/>
      <c r="AJ125" s="253"/>
      <c r="AK125" s="253"/>
      <c r="AL125" s="253"/>
      <c r="AM125" s="253"/>
      <c r="AN125" s="253"/>
      <c r="AO125" s="253"/>
      <c r="AP125" s="253"/>
      <c r="AQ125" s="253"/>
      <c r="AR125" s="253"/>
      <c r="AS125" s="253"/>
    </row>
    <row r="126" spans="1:45" s="165" customFormat="1" ht="31.5" customHeight="1">
      <c r="A126" s="69" t="s">
        <v>1882</v>
      </c>
      <c r="B126" s="306" t="s">
        <v>1884</v>
      </c>
      <c r="C126" s="40"/>
      <c r="D126" s="40"/>
      <c r="E126" s="48"/>
      <c r="F126" s="306" t="s">
        <v>1796</v>
      </c>
      <c r="G126" s="48"/>
      <c r="H126" s="48"/>
      <c r="I126" s="48"/>
      <c r="J126" s="48"/>
      <c r="K126" s="48"/>
      <c r="L126" s="48"/>
      <c r="M126" s="48"/>
      <c r="N126" s="48"/>
      <c r="O126" s="48"/>
      <c r="P126" s="48"/>
      <c r="Q126" s="48"/>
      <c r="R126" s="48"/>
      <c r="S126" s="30"/>
      <c r="T126" s="30"/>
      <c r="U126" s="30"/>
      <c r="V126" s="23">
        <v>57</v>
      </c>
      <c r="W126" s="368">
        <f t="shared" si="4"/>
        <v>11.303100000000001</v>
      </c>
      <c r="X126" s="368">
        <f t="shared" si="5"/>
        <v>6.2642999999999995</v>
      </c>
      <c r="Y126" s="368">
        <f t="shared" si="6"/>
        <v>11.645100000000001</v>
      </c>
      <c r="Z126" s="368">
        <f t="shared" si="7"/>
        <v>6.6063000000000001</v>
      </c>
      <c r="AA126" s="253"/>
      <c r="AB126" s="253"/>
      <c r="AC126" s="253"/>
      <c r="AD126" s="253"/>
      <c r="AE126" s="253"/>
      <c r="AF126" s="253"/>
      <c r="AG126" s="253"/>
      <c r="AH126" s="253"/>
      <c r="AI126" s="253"/>
      <c r="AJ126" s="253"/>
      <c r="AK126" s="253"/>
      <c r="AL126" s="253"/>
      <c r="AM126" s="253"/>
      <c r="AN126" s="253"/>
      <c r="AO126" s="253"/>
      <c r="AP126" s="253"/>
      <c r="AQ126" s="253"/>
      <c r="AR126" s="253"/>
      <c r="AS126" s="253"/>
    </row>
    <row r="127" spans="1:45" s="165" customFormat="1" ht="31.5" customHeight="1">
      <c r="A127" s="69" t="s">
        <v>1883</v>
      </c>
      <c r="B127" s="306" t="s">
        <v>1885</v>
      </c>
      <c r="C127" s="40"/>
      <c r="D127" s="40"/>
      <c r="E127" s="48"/>
      <c r="F127" s="306" t="s">
        <v>1797</v>
      </c>
      <c r="G127" s="48"/>
      <c r="H127" s="48"/>
      <c r="I127" s="48"/>
      <c r="J127" s="48"/>
      <c r="K127" s="48"/>
      <c r="L127" s="48"/>
      <c r="M127" s="48"/>
      <c r="N127" s="48"/>
      <c r="O127" s="48"/>
      <c r="P127" s="48"/>
      <c r="Q127" s="48"/>
      <c r="R127" s="48"/>
      <c r="S127" s="30"/>
      <c r="T127" s="30"/>
      <c r="U127" s="30"/>
      <c r="V127" s="23">
        <v>57</v>
      </c>
      <c r="W127" s="368">
        <f t="shared" si="4"/>
        <v>11.303100000000001</v>
      </c>
      <c r="X127" s="368">
        <f t="shared" si="5"/>
        <v>6.2642999999999995</v>
      </c>
      <c r="Y127" s="368">
        <f t="shared" si="6"/>
        <v>11.645100000000001</v>
      </c>
      <c r="Z127" s="368">
        <f t="shared" si="7"/>
        <v>6.6063000000000001</v>
      </c>
      <c r="AA127" s="253"/>
      <c r="AB127" s="253"/>
      <c r="AC127" s="253"/>
      <c r="AD127" s="253"/>
      <c r="AE127" s="253"/>
      <c r="AF127" s="253"/>
      <c r="AG127" s="253"/>
      <c r="AH127" s="253"/>
      <c r="AI127" s="253"/>
      <c r="AJ127" s="253"/>
      <c r="AK127" s="253"/>
      <c r="AL127" s="253"/>
      <c r="AM127" s="253"/>
      <c r="AN127" s="253"/>
      <c r="AO127" s="253"/>
      <c r="AP127" s="253"/>
      <c r="AQ127" s="253"/>
      <c r="AR127" s="253"/>
      <c r="AS127" s="253"/>
    </row>
    <row r="128" spans="1:45">
      <c r="A128" s="71"/>
      <c r="B128" s="52"/>
      <c r="C128" s="150"/>
      <c r="D128" s="150"/>
      <c r="E128" s="104"/>
      <c r="F128" s="104"/>
      <c r="G128" s="104"/>
      <c r="H128" s="104"/>
      <c r="I128" s="104"/>
      <c r="J128" s="104"/>
      <c r="K128" s="104"/>
      <c r="L128" s="104"/>
      <c r="M128" s="104"/>
      <c r="N128" s="104"/>
      <c r="O128" s="104"/>
      <c r="P128" s="104"/>
      <c r="Q128" s="104"/>
      <c r="R128" s="104"/>
      <c r="S128" s="104"/>
      <c r="T128" s="104"/>
      <c r="U128" s="104"/>
      <c r="V128" s="28"/>
      <c r="W128" s="369"/>
      <c r="X128" s="369"/>
      <c r="Y128" s="369"/>
      <c r="Z128" s="369"/>
    </row>
    <row r="129" spans="1:26">
      <c r="A129" s="98" t="s">
        <v>197</v>
      </c>
      <c r="B129" s="98"/>
      <c r="C129" s="98"/>
      <c r="D129" s="98"/>
      <c r="E129" s="226"/>
      <c r="F129" s="226"/>
      <c r="G129" s="226"/>
      <c r="H129" s="226"/>
      <c r="I129" s="226"/>
      <c r="J129" s="226"/>
      <c r="K129" s="226"/>
      <c r="L129" s="226"/>
      <c r="M129" s="226"/>
      <c r="N129" s="226"/>
      <c r="O129" s="226"/>
      <c r="P129" s="226"/>
      <c r="Q129" s="226"/>
      <c r="R129" s="226"/>
      <c r="S129" s="226"/>
      <c r="T129" s="226"/>
      <c r="U129" s="226"/>
      <c r="V129" s="185"/>
      <c r="W129" s="185"/>
      <c r="X129" s="185"/>
      <c r="Y129" s="185"/>
      <c r="Z129" s="185"/>
    </row>
    <row r="130" spans="1:26" s="171" customFormat="1">
      <c r="A130" s="69" t="s">
        <v>1950</v>
      </c>
      <c r="B130" s="69" t="s">
        <v>338</v>
      </c>
      <c r="C130" s="40"/>
      <c r="D130" s="40"/>
      <c r="E130" s="48"/>
      <c r="F130" s="48"/>
      <c r="G130" s="48"/>
      <c r="H130" s="306" t="s">
        <v>1801</v>
      </c>
      <c r="I130" s="48"/>
      <c r="J130" s="48"/>
      <c r="K130" s="306" t="s">
        <v>1811</v>
      </c>
      <c r="L130" s="48"/>
      <c r="M130" s="48"/>
      <c r="N130" s="48"/>
      <c r="O130" s="48"/>
      <c r="P130" s="48"/>
      <c r="Q130" s="48"/>
      <c r="R130" s="48"/>
      <c r="S130" s="30"/>
      <c r="T130" s="30"/>
      <c r="U130" s="30"/>
      <c r="V130" s="23">
        <v>11</v>
      </c>
      <c r="W130" s="368">
        <f t="shared" si="4"/>
        <v>2.1813000000000002</v>
      </c>
      <c r="X130" s="368">
        <f t="shared" si="5"/>
        <v>1.2088999999999999</v>
      </c>
      <c r="Y130" s="368">
        <f t="shared" si="6"/>
        <v>2.2473000000000001</v>
      </c>
      <c r="Z130" s="368">
        <f t="shared" si="7"/>
        <v>1.2749000000000001</v>
      </c>
    </row>
    <row r="131" spans="1:26" s="171" customFormat="1">
      <c r="A131" s="69" t="s">
        <v>339</v>
      </c>
      <c r="B131" s="69" t="s">
        <v>340</v>
      </c>
      <c r="C131" s="150"/>
      <c r="D131" s="150"/>
      <c r="E131" s="104"/>
      <c r="F131" s="104"/>
      <c r="G131" s="48"/>
      <c r="H131" s="306" t="s">
        <v>1798</v>
      </c>
      <c r="I131" s="48"/>
      <c r="J131" s="48"/>
      <c r="K131" s="306" t="s">
        <v>1808</v>
      </c>
      <c r="L131" s="48"/>
      <c r="M131" s="104"/>
      <c r="N131" s="104"/>
      <c r="O131" s="104"/>
      <c r="P131" s="104"/>
      <c r="Q131" s="104"/>
      <c r="R131" s="104"/>
      <c r="S131" s="104"/>
      <c r="T131" s="104"/>
      <c r="U131" s="104"/>
      <c r="V131" s="23">
        <v>0</v>
      </c>
      <c r="W131" s="368">
        <f t="shared" si="4"/>
        <v>0</v>
      </c>
      <c r="X131" s="368">
        <f t="shared" si="5"/>
        <v>0</v>
      </c>
      <c r="Y131" s="368">
        <f t="shared" si="6"/>
        <v>0</v>
      </c>
      <c r="Z131" s="368">
        <f t="shared" si="7"/>
        <v>0</v>
      </c>
    </row>
    <row r="132" spans="1:26" s="171" customFormat="1">
      <c r="A132" s="69" t="s">
        <v>2015</v>
      </c>
      <c r="B132" s="69" t="s">
        <v>341</v>
      </c>
      <c r="C132" s="40"/>
      <c r="D132" s="40"/>
      <c r="E132" s="48"/>
      <c r="F132" s="48"/>
      <c r="G132" s="48"/>
      <c r="H132" s="306" t="s">
        <v>1799</v>
      </c>
      <c r="I132" s="48"/>
      <c r="J132" s="48"/>
      <c r="K132" s="306" t="s">
        <v>1809</v>
      </c>
      <c r="L132" s="48"/>
      <c r="M132" s="48"/>
      <c r="N132" s="48"/>
      <c r="O132" s="48"/>
      <c r="P132" s="48"/>
      <c r="Q132" s="48"/>
      <c r="R132" s="48"/>
      <c r="S132" s="30"/>
      <c r="T132" s="30"/>
      <c r="U132" s="30"/>
      <c r="V132" s="23">
        <v>11</v>
      </c>
      <c r="W132" s="368">
        <f t="shared" si="4"/>
        <v>2.1813000000000002</v>
      </c>
      <c r="X132" s="368">
        <f t="shared" si="5"/>
        <v>1.2088999999999999</v>
      </c>
      <c r="Y132" s="368">
        <f t="shared" si="6"/>
        <v>2.2473000000000001</v>
      </c>
      <c r="Z132" s="368">
        <f t="shared" si="7"/>
        <v>1.2749000000000001</v>
      </c>
    </row>
    <row r="133" spans="1:26" s="171" customFormat="1">
      <c r="A133" s="69" t="s">
        <v>342</v>
      </c>
      <c r="B133" s="69" t="s">
        <v>343</v>
      </c>
      <c r="C133" s="40"/>
      <c r="D133" s="40"/>
      <c r="E133" s="48"/>
      <c r="F133" s="48"/>
      <c r="G133" s="48"/>
      <c r="H133" s="306" t="s">
        <v>1800</v>
      </c>
      <c r="I133" s="48"/>
      <c r="J133" s="48"/>
      <c r="K133" s="306" t="s">
        <v>1812</v>
      </c>
      <c r="L133" s="48"/>
      <c r="M133" s="48"/>
      <c r="N133" s="48"/>
      <c r="O133" s="48"/>
      <c r="P133" s="48"/>
      <c r="Q133" s="48"/>
      <c r="R133" s="48"/>
      <c r="S133" s="30"/>
      <c r="T133" s="30"/>
      <c r="U133" s="30"/>
      <c r="V133" s="23">
        <v>25</v>
      </c>
      <c r="W133" s="368">
        <f t="shared" si="4"/>
        <v>4.9575000000000005</v>
      </c>
      <c r="X133" s="368">
        <f t="shared" si="5"/>
        <v>2.7475000000000001</v>
      </c>
      <c r="Y133" s="368">
        <f t="shared" si="6"/>
        <v>5.1074999999999999</v>
      </c>
      <c r="Z133" s="368">
        <f t="shared" si="7"/>
        <v>2.8975</v>
      </c>
    </row>
    <row r="134" spans="1:26" s="171" customFormat="1" ht="27.6">
      <c r="A134" s="69" t="s">
        <v>1951</v>
      </c>
      <c r="B134" s="69" t="s">
        <v>344</v>
      </c>
      <c r="C134" s="40"/>
      <c r="D134" s="40"/>
      <c r="E134" s="48"/>
      <c r="F134" s="48"/>
      <c r="G134" s="48"/>
      <c r="H134" s="306" t="s">
        <v>1802</v>
      </c>
      <c r="I134" s="48"/>
      <c r="J134" s="48"/>
      <c r="K134" s="306" t="s">
        <v>1810</v>
      </c>
      <c r="L134" s="48"/>
      <c r="M134" s="48"/>
      <c r="N134" s="48"/>
      <c r="O134" s="48"/>
      <c r="P134" s="48"/>
      <c r="Q134" s="48"/>
      <c r="R134" s="48"/>
      <c r="S134" s="30"/>
      <c r="T134" s="30"/>
      <c r="U134" s="30"/>
      <c r="V134" s="23">
        <v>36</v>
      </c>
      <c r="W134" s="368">
        <f t="shared" si="4"/>
        <v>7.1387999999999998</v>
      </c>
      <c r="X134" s="368">
        <f t="shared" si="5"/>
        <v>3.9563999999999999</v>
      </c>
      <c r="Y134" s="368">
        <f t="shared" si="6"/>
        <v>7.3548</v>
      </c>
      <c r="Z134" s="368">
        <f t="shared" si="7"/>
        <v>4.1723999999999997</v>
      </c>
    </row>
    <row r="135" spans="1:26" s="171" customFormat="1">
      <c r="A135" s="69" t="s">
        <v>345</v>
      </c>
      <c r="B135" s="69" t="s">
        <v>346</v>
      </c>
      <c r="C135" s="40"/>
      <c r="D135" s="40"/>
      <c r="E135" s="48"/>
      <c r="F135" s="48"/>
      <c r="G135" s="48"/>
      <c r="H135" s="306" t="s">
        <v>1804</v>
      </c>
      <c r="I135" s="48"/>
      <c r="J135" s="48"/>
      <c r="K135" s="306" t="s">
        <v>1814</v>
      </c>
      <c r="L135" s="48"/>
      <c r="M135" s="48"/>
      <c r="N135" s="48"/>
      <c r="O135" s="48"/>
      <c r="P135" s="48"/>
      <c r="Q135" s="48"/>
      <c r="R135" s="48"/>
      <c r="S135" s="30"/>
      <c r="T135" s="30"/>
      <c r="U135" s="30"/>
      <c r="V135" s="23">
        <v>71</v>
      </c>
      <c r="W135" s="368">
        <f t="shared" si="4"/>
        <v>14.0793</v>
      </c>
      <c r="X135" s="368">
        <f t="shared" si="5"/>
        <v>7.8029000000000002</v>
      </c>
      <c r="Y135" s="368">
        <f t="shared" si="6"/>
        <v>14.5053</v>
      </c>
      <c r="Z135" s="368">
        <f t="shared" si="7"/>
        <v>8.2288999999999994</v>
      </c>
    </row>
    <row r="136" spans="1:26" s="171" customFormat="1">
      <c r="A136" s="69" t="s">
        <v>347</v>
      </c>
      <c r="B136" s="69" t="s">
        <v>348</v>
      </c>
      <c r="C136" s="150"/>
      <c r="D136" s="150"/>
      <c r="E136" s="104"/>
      <c r="F136" s="104"/>
      <c r="G136" s="48"/>
      <c r="H136" s="306" t="s">
        <v>1803</v>
      </c>
      <c r="I136" s="48"/>
      <c r="J136" s="48"/>
      <c r="K136" s="306" t="s">
        <v>1813</v>
      </c>
      <c r="L136" s="48"/>
      <c r="M136" s="104"/>
      <c r="N136" s="104"/>
      <c r="O136" s="104"/>
      <c r="P136" s="104"/>
      <c r="Q136" s="104"/>
      <c r="R136" s="104"/>
      <c r="S136" s="104"/>
      <c r="T136" s="104"/>
      <c r="U136" s="104"/>
      <c r="V136" s="23">
        <v>71</v>
      </c>
      <c r="W136" s="368">
        <f t="shared" si="4"/>
        <v>14.0793</v>
      </c>
      <c r="X136" s="368">
        <f t="shared" si="5"/>
        <v>7.8029000000000002</v>
      </c>
      <c r="Y136" s="368">
        <f t="shared" si="6"/>
        <v>14.5053</v>
      </c>
      <c r="Z136" s="368">
        <f t="shared" si="7"/>
        <v>8.2288999999999994</v>
      </c>
    </row>
    <row r="137" spans="1:26" s="171" customFormat="1">
      <c r="A137" s="69" t="s">
        <v>1952</v>
      </c>
      <c r="B137" s="69" t="s">
        <v>349</v>
      </c>
      <c r="C137" s="40"/>
      <c r="D137" s="40"/>
      <c r="E137" s="48"/>
      <c r="F137" s="48"/>
      <c r="G137" s="48"/>
      <c r="H137" s="306" t="s">
        <v>1805</v>
      </c>
      <c r="I137" s="48"/>
      <c r="J137" s="48"/>
      <c r="K137" s="306" t="s">
        <v>1815</v>
      </c>
      <c r="L137" s="48"/>
      <c r="M137" s="48"/>
      <c r="N137" s="48"/>
      <c r="O137" s="48"/>
      <c r="P137" s="48"/>
      <c r="Q137" s="48"/>
      <c r="R137" s="48"/>
      <c r="S137" s="30"/>
      <c r="T137" s="30"/>
      <c r="U137" s="30"/>
      <c r="V137" s="23">
        <v>82</v>
      </c>
      <c r="W137" s="368">
        <f t="shared" si="4"/>
        <v>16.2606</v>
      </c>
      <c r="X137" s="368">
        <f t="shared" si="5"/>
        <v>9.0117999999999991</v>
      </c>
      <c r="Y137" s="368">
        <f t="shared" si="6"/>
        <v>16.752600000000001</v>
      </c>
      <c r="Z137" s="368">
        <f t="shared" si="7"/>
        <v>9.5038</v>
      </c>
    </row>
    <row r="138" spans="1:26" s="171" customFormat="1" ht="27.6">
      <c r="A138" s="69" t="s">
        <v>350</v>
      </c>
      <c r="B138" s="69" t="s">
        <v>351</v>
      </c>
      <c r="C138" s="150"/>
      <c r="D138" s="150"/>
      <c r="E138" s="104"/>
      <c r="F138" s="104"/>
      <c r="G138" s="48"/>
      <c r="H138" s="48"/>
      <c r="I138" s="48"/>
      <c r="J138" s="48"/>
      <c r="K138" s="48"/>
      <c r="L138" s="48"/>
      <c r="M138" s="104"/>
      <c r="N138" s="104"/>
      <c r="O138" s="104"/>
      <c r="P138" s="104"/>
      <c r="Q138" s="104"/>
      <c r="R138" s="104"/>
      <c r="S138" s="104"/>
      <c r="T138" s="104"/>
      <c r="U138" s="104"/>
      <c r="V138" s="23">
        <v>117</v>
      </c>
      <c r="W138" s="368">
        <f t="shared" si="4"/>
        <v>23.2011</v>
      </c>
      <c r="X138" s="368">
        <f t="shared" si="5"/>
        <v>12.8583</v>
      </c>
      <c r="Y138" s="368">
        <f t="shared" si="6"/>
        <v>23.903100000000002</v>
      </c>
      <c r="Z138" s="368">
        <f t="shared" si="7"/>
        <v>13.5603</v>
      </c>
    </row>
    <row r="139" spans="1:26" s="171" customFormat="1" ht="27.6">
      <c r="A139" s="69" t="s">
        <v>1953</v>
      </c>
      <c r="B139" s="69" t="s">
        <v>352</v>
      </c>
      <c r="C139" s="40"/>
      <c r="D139" s="40"/>
      <c r="E139" s="48"/>
      <c r="F139" s="48"/>
      <c r="G139" s="48"/>
      <c r="H139" s="48"/>
      <c r="I139" s="48"/>
      <c r="J139" s="48"/>
      <c r="K139" s="48"/>
      <c r="L139" s="48"/>
      <c r="M139" s="48"/>
      <c r="N139" s="48"/>
      <c r="O139" s="48"/>
      <c r="P139" s="48"/>
      <c r="Q139" s="48"/>
      <c r="R139" s="48"/>
      <c r="S139" s="30"/>
      <c r="T139" s="30"/>
      <c r="U139" s="30"/>
      <c r="V139" s="23">
        <v>117</v>
      </c>
      <c r="W139" s="368">
        <f t="shared" si="4"/>
        <v>23.2011</v>
      </c>
      <c r="X139" s="368">
        <f t="shared" si="5"/>
        <v>12.8583</v>
      </c>
      <c r="Y139" s="368">
        <f t="shared" si="6"/>
        <v>23.903100000000002</v>
      </c>
      <c r="Z139" s="368">
        <f t="shared" si="7"/>
        <v>13.5603</v>
      </c>
    </row>
    <row r="140" spans="1:26" s="171" customFormat="1" ht="27.6">
      <c r="A140" s="69" t="s">
        <v>1886</v>
      </c>
      <c r="B140" s="236" t="s">
        <v>1889</v>
      </c>
      <c r="C140" s="40"/>
      <c r="D140" s="40"/>
      <c r="E140" s="48"/>
      <c r="F140" s="48"/>
      <c r="G140" s="48"/>
      <c r="H140" s="306" t="s">
        <v>1806</v>
      </c>
      <c r="I140" s="48"/>
      <c r="J140" s="48"/>
      <c r="K140" s="306" t="s">
        <v>1816</v>
      </c>
      <c r="L140" s="48"/>
      <c r="M140" s="48"/>
      <c r="N140" s="48"/>
      <c r="O140" s="48"/>
      <c r="P140" s="48"/>
      <c r="Q140" s="48"/>
      <c r="R140" s="48"/>
      <c r="S140" s="30"/>
      <c r="T140" s="30"/>
      <c r="U140" s="30"/>
      <c r="V140" s="23">
        <v>96</v>
      </c>
      <c r="W140" s="368">
        <f t="shared" si="4"/>
        <v>19.036799999999999</v>
      </c>
      <c r="X140" s="368">
        <f t="shared" si="5"/>
        <v>10.5504</v>
      </c>
      <c r="Y140" s="368">
        <f t="shared" si="6"/>
        <v>19.6128</v>
      </c>
      <c r="Z140" s="368">
        <f t="shared" si="7"/>
        <v>11.1264</v>
      </c>
    </row>
    <row r="141" spans="1:26" s="171" customFormat="1" ht="27.6">
      <c r="A141" s="69" t="s">
        <v>1954</v>
      </c>
      <c r="B141" s="306" t="s">
        <v>1890</v>
      </c>
      <c r="C141" s="40"/>
      <c r="D141" s="40"/>
      <c r="E141" s="48"/>
      <c r="F141" s="48"/>
      <c r="G141" s="48"/>
      <c r="H141" s="306" t="s">
        <v>1807</v>
      </c>
      <c r="I141" s="48"/>
      <c r="J141" s="48"/>
      <c r="K141" s="306" t="s">
        <v>1817</v>
      </c>
      <c r="L141" s="48"/>
      <c r="M141" s="48"/>
      <c r="N141" s="48"/>
      <c r="O141" s="48"/>
      <c r="P141" s="48"/>
      <c r="Q141" s="48"/>
      <c r="R141" s="48"/>
      <c r="S141" s="30"/>
      <c r="T141" s="30"/>
      <c r="U141" s="30"/>
      <c r="V141" s="23">
        <v>107</v>
      </c>
      <c r="W141" s="368">
        <f t="shared" ref="W141:W203" si="8">V141*$W$9</f>
        <v>21.2181</v>
      </c>
      <c r="X141" s="368">
        <f t="shared" ref="X141:X203" si="9">V141*$X$9</f>
        <v>11.7593</v>
      </c>
      <c r="Y141" s="368">
        <f t="shared" ref="Y141:Y203" si="10">V141*$Y$9</f>
        <v>21.860100000000003</v>
      </c>
      <c r="Z141" s="368">
        <f t="shared" ref="Z141:Z203" si="11">V141*$Z$9</f>
        <v>12.401300000000001</v>
      </c>
    </row>
    <row r="142" spans="1:26">
      <c r="A142" s="69"/>
      <c r="B142" s="69"/>
      <c r="C142" s="40"/>
      <c r="D142" s="40"/>
      <c r="E142" s="48"/>
      <c r="F142" s="48"/>
      <c r="G142" s="48"/>
      <c r="H142" s="48"/>
      <c r="I142" s="48"/>
      <c r="J142" s="48"/>
      <c r="K142" s="48"/>
      <c r="L142" s="48"/>
      <c r="M142" s="48"/>
      <c r="N142" s="48"/>
      <c r="O142" s="48"/>
      <c r="P142" s="48"/>
      <c r="Q142" s="48"/>
      <c r="R142" s="48"/>
      <c r="S142" s="30"/>
      <c r="T142" s="30"/>
      <c r="U142" s="30"/>
      <c r="V142" s="28"/>
      <c r="W142" s="369"/>
      <c r="X142" s="369"/>
      <c r="Y142" s="369"/>
      <c r="Z142" s="369"/>
    </row>
    <row r="143" spans="1:26">
      <c r="A143" s="98" t="s">
        <v>353</v>
      </c>
      <c r="B143" s="98"/>
      <c r="C143" s="98"/>
      <c r="D143" s="98"/>
      <c r="E143" s="226"/>
      <c r="F143" s="226"/>
      <c r="G143" s="226"/>
      <c r="H143" s="226"/>
      <c r="I143" s="226"/>
      <c r="J143" s="226"/>
      <c r="K143" s="226"/>
      <c r="L143" s="226"/>
      <c r="M143" s="226"/>
      <c r="N143" s="226"/>
      <c r="O143" s="226"/>
      <c r="P143" s="226"/>
      <c r="Q143" s="226"/>
      <c r="R143" s="226"/>
      <c r="S143" s="226"/>
      <c r="T143" s="226"/>
      <c r="U143" s="226"/>
      <c r="V143" s="182"/>
      <c r="W143" s="182"/>
      <c r="X143" s="182"/>
      <c r="Y143" s="182"/>
      <c r="Z143" s="182"/>
    </row>
    <row r="144" spans="1:26" s="177" customFormat="1" ht="14.4">
      <c r="A144" s="69" t="s">
        <v>2002</v>
      </c>
      <c r="B144" s="69" t="s">
        <v>354</v>
      </c>
      <c r="C144" s="40"/>
      <c r="D144" s="40"/>
      <c r="E144" s="48"/>
      <c r="F144" s="48"/>
      <c r="G144" s="48"/>
      <c r="H144" s="48"/>
      <c r="I144" s="48"/>
      <c r="J144" s="48"/>
      <c r="K144" s="48"/>
      <c r="L144" s="48"/>
      <c r="M144" s="48"/>
      <c r="N144" s="339" t="s">
        <v>1820</v>
      </c>
      <c r="O144" s="48"/>
      <c r="P144" s="48"/>
      <c r="Q144" s="48"/>
      <c r="R144" s="48"/>
      <c r="S144" s="48"/>
      <c r="T144" s="48"/>
      <c r="U144" s="48"/>
      <c r="V144" s="23">
        <v>11</v>
      </c>
      <c r="W144" s="368">
        <f t="shared" si="8"/>
        <v>2.1813000000000002</v>
      </c>
      <c r="X144" s="368">
        <f t="shared" si="9"/>
        <v>1.2088999999999999</v>
      </c>
      <c r="Y144" s="368">
        <f t="shared" si="10"/>
        <v>2.2473000000000001</v>
      </c>
      <c r="Z144" s="368">
        <f t="shared" si="11"/>
        <v>1.2749000000000001</v>
      </c>
    </row>
    <row r="145" spans="1:45" s="177" customFormat="1" ht="14.4">
      <c r="A145" s="69" t="s">
        <v>355</v>
      </c>
      <c r="B145" s="69" t="s">
        <v>356</v>
      </c>
      <c r="C145" s="40"/>
      <c r="D145" s="40"/>
      <c r="E145" s="48"/>
      <c r="F145" s="48"/>
      <c r="G145" s="48"/>
      <c r="H145" s="48"/>
      <c r="I145" s="48"/>
      <c r="J145" s="48"/>
      <c r="K145" s="48"/>
      <c r="L145" s="48"/>
      <c r="M145" s="48"/>
      <c r="N145" s="339" t="s">
        <v>1818</v>
      </c>
      <c r="O145" s="48"/>
      <c r="P145" s="48"/>
      <c r="Q145" s="339" t="s">
        <v>1827</v>
      </c>
      <c r="R145" s="48"/>
      <c r="S145" s="48"/>
      <c r="T145" s="48"/>
      <c r="U145" s="48"/>
      <c r="V145" s="23">
        <v>0</v>
      </c>
      <c r="W145" s="368">
        <f t="shared" si="8"/>
        <v>0</v>
      </c>
      <c r="X145" s="368">
        <f t="shared" si="9"/>
        <v>0</v>
      </c>
      <c r="Y145" s="368">
        <f t="shared" si="10"/>
        <v>0</v>
      </c>
      <c r="Z145" s="368">
        <f t="shared" si="11"/>
        <v>0</v>
      </c>
    </row>
    <row r="146" spans="1:45" s="177" customFormat="1" ht="14.4">
      <c r="A146" s="69" t="s">
        <v>1955</v>
      </c>
      <c r="B146" s="69" t="s">
        <v>357</v>
      </c>
      <c r="C146" s="40"/>
      <c r="D146" s="40"/>
      <c r="E146" s="48"/>
      <c r="F146" s="48"/>
      <c r="G146" s="48"/>
      <c r="H146" s="48"/>
      <c r="I146" s="48"/>
      <c r="J146" s="48"/>
      <c r="K146" s="48"/>
      <c r="L146" s="48"/>
      <c r="M146" s="48"/>
      <c r="N146" s="339" t="s">
        <v>1821</v>
      </c>
      <c r="O146" s="48"/>
      <c r="P146" s="48"/>
      <c r="Q146" s="339" t="s">
        <v>1829</v>
      </c>
      <c r="R146" s="48"/>
      <c r="S146" s="48"/>
      <c r="T146" s="48"/>
      <c r="U146" s="48"/>
      <c r="V146" s="23">
        <v>11</v>
      </c>
      <c r="W146" s="368">
        <f t="shared" si="8"/>
        <v>2.1813000000000002</v>
      </c>
      <c r="X146" s="368">
        <f t="shared" si="9"/>
        <v>1.2088999999999999</v>
      </c>
      <c r="Y146" s="368">
        <f t="shared" si="10"/>
        <v>2.2473000000000001</v>
      </c>
      <c r="Z146" s="368">
        <f t="shared" si="11"/>
        <v>1.2749000000000001</v>
      </c>
    </row>
    <row r="147" spans="1:45" s="177" customFormat="1" ht="14.4">
      <c r="A147" s="69" t="s">
        <v>358</v>
      </c>
      <c r="B147" s="69" t="s">
        <v>359</v>
      </c>
      <c r="C147" s="40"/>
      <c r="D147" s="40"/>
      <c r="E147" s="48"/>
      <c r="F147" s="48"/>
      <c r="G147" s="48"/>
      <c r="H147" s="48"/>
      <c r="I147" s="48"/>
      <c r="J147" s="48"/>
      <c r="K147" s="48"/>
      <c r="L147" s="48"/>
      <c r="M147" s="48"/>
      <c r="N147" s="339" t="s">
        <v>1819</v>
      </c>
      <c r="O147" s="48"/>
      <c r="P147" s="48"/>
      <c r="Q147" s="339" t="s">
        <v>1828</v>
      </c>
      <c r="R147" s="48"/>
      <c r="S147" s="48"/>
      <c r="T147" s="48"/>
      <c r="U147" s="48"/>
      <c r="V147" s="23">
        <v>25</v>
      </c>
      <c r="W147" s="368">
        <f t="shared" si="8"/>
        <v>4.9575000000000005</v>
      </c>
      <c r="X147" s="368">
        <f t="shared" si="9"/>
        <v>2.7475000000000001</v>
      </c>
      <c r="Y147" s="368">
        <f t="shared" si="10"/>
        <v>5.1074999999999999</v>
      </c>
      <c r="Z147" s="368">
        <f t="shared" si="11"/>
        <v>2.8975</v>
      </c>
    </row>
    <row r="148" spans="1:45" s="177" customFormat="1" ht="27.6">
      <c r="A148" s="69" t="s">
        <v>1956</v>
      </c>
      <c r="B148" s="69" t="s">
        <v>360</v>
      </c>
      <c r="C148" s="40"/>
      <c r="D148" s="40"/>
      <c r="E148" s="48"/>
      <c r="F148" s="48"/>
      <c r="G148" s="48"/>
      <c r="H148" s="48"/>
      <c r="I148" s="48"/>
      <c r="J148" s="48"/>
      <c r="K148" s="48"/>
      <c r="L148" s="48"/>
      <c r="M148" s="48"/>
      <c r="N148" s="339" t="s">
        <v>1822</v>
      </c>
      <c r="O148" s="48"/>
      <c r="P148" s="48"/>
      <c r="Q148" s="339" t="s">
        <v>1830</v>
      </c>
      <c r="R148" s="48"/>
      <c r="S148" s="48"/>
      <c r="T148" s="48"/>
      <c r="U148" s="48"/>
      <c r="V148" s="23">
        <v>30</v>
      </c>
      <c r="W148" s="368">
        <f t="shared" si="8"/>
        <v>5.9489999999999998</v>
      </c>
      <c r="X148" s="368">
        <f t="shared" si="9"/>
        <v>3.2969999999999997</v>
      </c>
      <c r="Y148" s="368">
        <f t="shared" si="10"/>
        <v>6.1290000000000004</v>
      </c>
      <c r="Z148" s="368">
        <f t="shared" si="11"/>
        <v>3.4770000000000003</v>
      </c>
    </row>
    <row r="149" spans="1:45" s="177" customFormat="1" ht="14.4">
      <c r="A149" s="69" t="s">
        <v>361</v>
      </c>
      <c r="B149" s="69" t="s">
        <v>362</v>
      </c>
      <c r="C149" s="40"/>
      <c r="D149" s="40"/>
      <c r="E149" s="48"/>
      <c r="F149" s="48"/>
      <c r="G149" s="48"/>
      <c r="H149" s="48"/>
      <c r="I149" s="48"/>
      <c r="J149" s="48"/>
      <c r="K149" s="48"/>
      <c r="L149" s="48"/>
      <c r="M149" s="48"/>
      <c r="N149" s="339" t="s">
        <v>1823</v>
      </c>
      <c r="O149" s="48"/>
      <c r="P149" s="48"/>
      <c r="Q149" s="339" t="s">
        <v>1831</v>
      </c>
      <c r="R149" s="48"/>
      <c r="S149" s="48"/>
      <c r="T149" s="48"/>
      <c r="U149" s="48"/>
      <c r="V149" s="23">
        <v>71</v>
      </c>
      <c r="W149" s="368">
        <f t="shared" si="8"/>
        <v>14.0793</v>
      </c>
      <c r="X149" s="368">
        <f t="shared" si="9"/>
        <v>7.8029000000000002</v>
      </c>
      <c r="Y149" s="368">
        <f t="shared" si="10"/>
        <v>14.5053</v>
      </c>
      <c r="Z149" s="368">
        <f t="shared" si="11"/>
        <v>8.2288999999999994</v>
      </c>
    </row>
    <row r="150" spans="1:45" s="177" customFormat="1" ht="14.4">
      <c r="A150" s="69" t="s">
        <v>1957</v>
      </c>
      <c r="B150" s="69" t="s">
        <v>363</v>
      </c>
      <c r="C150" s="40"/>
      <c r="D150" s="40"/>
      <c r="E150" s="48"/>
      <c r="F150" s="48"/>
      <c r="G150" s="48"/>
      <c r="H150" s="48"/>
      <c r="I150" s="48"/>
      <c r="J150" s="48"/>
      <c r="K150" s="48"/>
      <c r="L150" s="48"/>
      <c r="M150" s="48"/>
      <c r="N150" s="339" t="s">
        <v>1824</v>
      </c>
      <c r="O150" s="48"/>
      <c r="P150" s="48"/>
      <c r="Q150" s="339" t="s">
        <v>1832</v>
      </c>
      <c r="R150" s="48"/>
      <c r="S150" s="48"/>
      <c r="T150" s="48"/>
      <c r="U150" s="48"/>
      <c r="V150" s="23">
        <v>82</v>
      </c>
      <c r="W150" s="368">
        <f t="shared" si="8"/>
        <v>16.2606</v>
      </c>
      <c r="X150" s="368">
        <f t="shared" si="9"/>
        <v>9.0117999999999991</v>
      </c>
      <c r="Y150" s="368">
        <f t="shared" si="10"/>
        <v>16.752600000000001</v>
      </c>
      <c r="Z150" s="368">
        <f t="shared" si="11"/>
        <v>9.5038</v>
      </c>
    </row>
    <row r="151" spans="1:45" s="177" customFormat="1" ht="27.6">
      <c r="A151" s="69" t="s">
        <v>364</v>
      </c>
      <c r="B151" s="69" t="s">
        <v>365</v>
      </c>
      <c r="C151" s="40"/>
      <c r="D151" s="40"/>
      <c r="E151" s="48"/>
      <c r="F151" s="48"/>
      <c r="G151" s="48"/>
      <c r="H151" s="48"/>
      <c r="I151" s="48"/>
      <c r="J151" s="48"/>
      <c r="K151" s="48"/>
      <c r="L151" s="48"/>
      <c r="M151" s="48"/>
      <c r="N151" s="48"/>
      <c r="O151" s="48"/>
      <c r="P151" s="48"/>
      <c r="Q151" s="48"/>
      <c r="R151" s="48"/>
      <c r="S151" s="48"/>
      <c r="T151" s="48"/>
      <c r="U151" s="48"/>
      <c r="V151" s="23">
        <v>151</v>
      </c>
      <c r="W151" s="368">
        <f t="shared" si="8"/>
        <v>29.943300000000001</v>
      </c>
      <c r="X151" s="368">
        <f t="shared" si="9"/>
        <v>16.594899999999999</v>
      </c>
      <c r="Y151" s="368">
        <f t="shared" si="10"/>
        <v>30.849300000000003</v>
      </c>
      <c r="Z151" s="368">
        <f t="shared" si="11"/>
        <v>17.500900000000001</v>
      </c>
    </row>
    <row r="152" spans="1:45" s="177" customFormat="1" ht="27.6">
      <c r="A152" s="69" t="s">
        <v>1958</v>
      </c>
      <c r="B152" s="69" t="s">
        <v>366</v>
      </c>
      <c r="C152" s="40"/>
      <c r="D152" s="40"/>
      <c r="E152" s="48"/>
      <c r="F152" s="48"/>
      <c r="G152" s="48"/>
      <c r="H152" s="48"/>
      <c r="I152" s="48"/>
      <c r="J152" s="48"/>
      <c r="K152" s="48"/>
      <c r="L152" s="48"/>
      <c r="M152" s="48"/>
      <c r="N152" s="48"/>
      <c r="O152" s="48"/>
      <c r="P152" s="48"/>
      <c r="Q152" s="48"/>
      <c r="R152" s="48"/>
      <c r="S152" s="48"/>
      <c r="T152" s="48"/>
      <c r="U152" s="48"/>
      <c r="V152" s="23">
        <v>151</v>
      </c>
      <c r="W152" s="368">
        <f t="shared" si="8"/>
        <v>29.943300000000001</v>
      </c>
      <c r="X152" s="368">
        <f t="shared" si="9"/>
        <v>16.594899999999999</v>
      </c>
      <c r="Y152" s="368">
        <f t="shared" si="10"/>
        <v>30.849300000000003</v>
      </c>
      <c r="Z152" s="368">
        <f t="shared" si="11"/>
        <v>17.500900000000001</v>
      </c>
    </row>
    <row r="153" spans="1:45" s="177" customFormat="1" ht="27.6">
      <c r="A153" s="69" t="s">
        <v>1887</v>
      </c>
      <c r="B153" s="236" t="s">
        <v>1888</v>
      </c>
      <c r="C153" s="150"/>
      <c r="D153" s="150"/>
      <c r="E153" s="104"/>
      <c r="F153" s="104"/>
      <c r="G153" s="104"/>
      <c r="H153" s="104"/>
      <c r="I153" s="104"/>
      <c r="J153" s="104"/>
      <c r="K153" s="104"/>
      <c r="L153" s="104"/>
      <c r="M153" s="104"/>
      <c r="N153" s="339" t="s">
        <v>1825</v>
      </c>
      <c r="O153" s="48"/>
      <c r="P153" s="104"/>
      <c r="Q153" s="339" t="s">
        <v>1833</v>
      </c>
      <c r="R153" s="104"/>
      <c r="S153" s="104"/>
      <c r="T153" s="104"/>
      <c r="U153" s="104"/>
      <c r="V153" s="23">
        <v>125</v>
      </c>
      <c r="W153" s="368">
        <f t="shared" si="8"/>
        <v>24.787500000000001</v>
      </c>
      <c r="X153" s="368">
        <f t="shared" si="9"/>
        <v>13.737499999999999</v>
      </c>
      <c r="Y153" s="368">
        <f t="shared" si="10"/>
        <v>25.537500000000001</v>
      </c>
      <c r="Z153" s="368">
        <f t="shared" si="11"/>
        <v>14.487500000000001</v>
      </c>
    </row>
    <row r="154" spans="1:45" s="177" customFormat="1" ht="27.6">
      <c r="A154" s="69" t="s">
        <v>1959</v>
      </c>
      <c r="B154" s="306" t="s">
        <v>1891</v>
      </c>
      <c r="C154" s="150"/>
      <c r="D154" s="150"/>
      <c r="E154" s="104"/>
      <c r="F154" s="104"/>
      <c r="G154" s="104"/>
      <c r="H154" s="104"/>
      <c r="I154" s="104"/>
      <c r="J154" s="104"/>
      <c r="K154" s="104"/>
      <c r="L154" s="104"/>
      <c r="M154" s="104"/>
      <c r="N154" s="339" t="s">
        <v>1826</v>
      </c>
      <c r="O154" s="48"/>
      <c r="P154" s="104"/>
      <c r="Q154" s="339" t="s">
        <v>1834</v>
      </c>
      <c r="R154" s="104"/>
      <c r="S154" s="104"/>
      <c r="T154" s="104"/>
      <c r="U154" s="104"/>
      <c r="V154" s="23">
        <v>136</v>
      </c>
      <c r="W154" s="368">
        <f t="shared" si="8"/>
        <v>26.968800000000002</v>
      </c>
      <c r="X154" s="368">
        <f t="shared" si="9"/>
        <v>14.946400000000001</v>
      </c>
      <c r="Y154" s="368">
        <f t="shared" si="10"/>
        <v>27.784800000000001</v>
      </c>
      <c r="Z154" s="368">
        <f t="shared" si="11"/>
        <v>15.7624</v>
      </c>
    </row>
    <row r="155" spans="1:45" s="177" customFormat="1">
      <c r="A155" s="71"/>
      <c r="B155" s="52"/>
      <c r="C155" s="150"/>
      <c r="D155" s="150"/>
      <c r="E155" s="104"/>
      <c r="F155" s="104"/>
      <c r="G155" s="104"/>
      <c r="H155" s="104"/>
      <c r="I155" s="104"/>
      <c r="J155" s="104"/>
      <c r="K155" s="104"/>
      <c r="L155" s="104"/>
      <c r="M155" s="104"/>
      <c r="N155" s="48"/>
      <c r="O155" s="48"/>
      <c r="P155" s="104"/>
      <c r="Q155" s="104"/>
      <c r="R155" s="104"/>
      <c r="S155" s="104"/>
      <c r="T155" s="104"/>
      <c r="U155" s="104"/>
      <c r="V155" s="28"/>
      <c r="W155" s="369"/>
      <c r="X155" s="369"/>
      <c r="Y155" s="369"/>
      <c r="Z155" s="369"/>
      <c r="AA155" s="172"/>
      <c r="AB155" s="172"/>
      <c r="AC155" s="172"/>
      <c r="AD155" s="172"/>
      <c r="AE155" s="172"/>
      <c r="AF155" s="172"/>
      <c r="AG155" s="172"/>
      <c r="AH155" s="172"/>
      <c r="AI155" s="172"/>
      <c r="AJ155" s="172"/>
      <c r="AK155" s="172"/>
      <c r="AL155" s="172"/>
      <c r="AM155" s="172"/>
      <c r="AN155" s="172"/>
      <c r="AO155" s="172"/>
      <c r="AP155" s="172"/>
      <c r="AQ155" s="172"/>
      <c r="AR155" s="172"/>
      <c r="AS155" s="172"/>
    </row>
    <row r="156" spans="1:45" s="177" customFormat="1">
      <c r="A156" s="98" t="s">
        <v>228</v>
      </c>
      <c r="B156" s="98"/>
      <c r="C156" s="98"/>
      <c r="D156" s="98"/>
      <c r="E156" s="226"/>
      <c r="F156" s="226"/>
      <c r="G156" s="226"/>
      <c r="H156" s="226"/>
      <c r="I156" s="226"/>
      <c r="J156" s="226"/>
      <c r="K156" s="226"/>
      <c r="L156" s="226"/>
      <c r="M156" s="226"/>
      <c r="N156" s="226"/>
      <c r="O156" s="226"/>
      <c r="P156" s="226"/>
      <c r="Q156" s="226"/>
      <c r="R156" s="226"/>
      <c r="S156" s="226"/>
      <c r="T156" s="226"/>
      <c r="U156" s="226"/>
      <c r="V156" s="185"/>
      <c r="W156" s="185"/>
      <c r="X156" s="185"/>
      <c r="Y156" s="185"/>
      <c r="Z156" s="185"/>
      <c r="AA156" s="172"/>
      <c r="AB156" s="172"/>
      <c r="AC156" s="172"/>
      <c r="AD156" s="172"/>
      <c r="AE156" s="172"/>
      <c r="AF156" s="172"/>
      <c r="AG156" s="172"/>
      <c r="AH156" s="172"/>
      <c r="AI156" s="172"/>
      <c r="AJ156" s="172"/>
      <c r="AK156" s="172"/>
      <c r="AL156" s="172"/>
      <c r="AM156" s="172"/>
      <c r="AN156" s="172"/>
      <c r="AO156" s="172"/>
      <c r="AP156" s="172"/>
      <c r="AQ156" s="172"/>
      <c r="AR156" s="172"/>
      <c r="AS156" s="172"/>
    </row>
    <row r="157" spans="1:45" s="177" customFormat="1">
      <c r="A157" s="69" t="s">
        <v>229</v>
      </c>
      <c r="B157" s="69" t="s">
        <v>367</v>
      </c>
      <c r="C157" s="40"/>
      <c r="D157" s="40"/>
      <c r="E157" s="48"/>
      <c r="F157" s="306" t="s">
        <v>1734</v>
      </c>
      <c r="G157" s="48"/>
      <c r="H157" s="306" t="s">
        <v>1736</v>
      </c>
      <c r="I157" s="48"/>
      <c r="J157" s="48"/>
      <c r="K157" s="306" t="s">
        <v>1738</v>
      </c>
      <c r="L157" s="48"/>
      <c r="M157" s="48"/>
      <c r="N157" s="306" t="s">
        <v>1740</v>
      </c>
      <c r="O157" s="48"/>
      <c r="P157" s="48"/>
      <c r="Q157" s="306" t="s">
        <v>1742</v>
      </c>
      <c r="R157" s="48"/>
      <c r="S157" s="48"/>
      <c r="T157" s="48"/>
      <c r="U157" s="48"/>
      <c r="V157" s="23">
        <v>30</v>
      </c>
      <c r="W157" s="368">
        <f t="shared" si="8"/>
        <v>5.9489999999999998</v>
      </c>
      <c r="X157" s="368">
        <f t="shared" si="9"/>
        <v>3.2969999999999997</v>
      </c>
      <c r="Y157" s="368">
        <f t="shared" si="10"/>
        <v>6.1290000000000004</v>
      </c>
      <c r="Z157" s="368">
        <f t="shared" si="11"/>
        <v>3.4770000000000003</v>
      </c>
    </row>
    <row r="158" spans="1:45">
      <c r="A158" s="69" t="s">
        <v>236</v>
      </c>
      <c r="B158" s="69" t="s">
        <v>368</v>
      </c>
      <c r="C158" s="40"/>
      <c r="D158" s="40"/>
      <c r="E158" s="48"/>
      <c r="F158" s="306" t="s">
        <v>1735</v>
      </c>
      <c r="G158" s="48"/>
      <c r="H158" s="306" t="s">
        <v>1737</v>
      </c>
      <c r="I158" s="48"/>
      <c r="J158" s="48"/>
      <c r="K158" s="306" t="s">
        <v>1739</v>
      </c>
      <c r="L158" s="48"/>
      <c r="M158" s="48"/>
      <c r="N158" s="306" t="s">
        <v>1741</v>
      </c>
      <c r="O158" s="48"/>
      <c r="P158" s="48"/>
      <c r="Q158" s="306" t="s">
        <v>1743</v>
      </c>
      <c r="R158" s="48"/>
      <c r="S158" s="48"/>
      <c r="T158" s="48"/>
      <c r="U158" s="48"/>
      <c r="V158" s="23">
        <v>104</v>
      </c>
      <c r="W158" s="368">
        <f t="shared" si="8"/>
        <v>20.623200000000001</v>
      </c>
      <c r="X158" s="368">
        <f t="shared" si="9"/>
        <v>11.429600000000001</v>
      </c>
      <c r="Y158" s="368">
        <f t="shared" si="10"/>
        <v>21.247199999999999</v>
      </c>
      <c r="Z158" s="368">
        <f t="shared" si="11"/>
        <v>12.053599999999999</v>
      </c>
      <c r="AA158" s="171"/>
      <c r="AB158" s="171"/>
      <c r="AC158" s="171"/>
      <c r="AD158" s="171"/>
      <c r="AE158" s="171"/>
      <c r="AF158" s="171"/>
      <c r="AG158" s="171"/>
      <c r="AH158" s="171"/>
      <c r="AI158" s="171"/>
      <c r="AJ158" s="171"/>
      <c r="AK158" s="171"/>
      <c r="AL158" s="171"/>
      <c r="AM158" s="171"/>
      <c r="AN158" s="171"/>
      <c r="AO158" s="171"/>
      <c r="AP158" s="171"/>
      <c r="AQ158" s="171"/>
      <c r="AR158" s="171"/>
      <c r="AS158" s="171"/>
    </row>
    <row r="159" spans="1:45">
      <c r="A159" s="71"/>
      <c r="B159" s="52"/>
      <c r="C159" s="150"/>
      <c r="D159" s="150"/>
      <c r="E159" s="104"/>
      <c r="F159" s="104"/>
      <c r="G159" s="104"/>
      <c r="H159" s="104"/>
      <c r="I159" s="104"/>
      <c r="J159" s="104"/>
      <c r="K159" s="104"/>
      <c r="L159" s="104"/>
      <c r="M159" s="104"/>
      <c r="N159" s="104"/>
      <c r="O159" s="104"/>
      <c r="P159" s="104"/>
      <c r="Q159" s="104"/>
      <c r="R159" s="104"/>
      <c r="S159" s="104"/>
      <c r="T159" s="104"/>
      <c r="U159" s="104"/>
      <c r="V159" s="28"/>
      <c r="W159" s="369"/>
      <c r="X159" s="369"/>
      <c r="Y159" s="369"/>
      <c r="Z159" s="369"/>
    </row>
    <row r="160" spans="1:45">
      <c r="A160" s="98" t="s">
        <v>246</v>
      </c>
      <c r="B160" s="98"/>
      <c r="C160" s="98"/>
      <c r="D160" s="98"/>
      <c r="E160" s="226"/>
      <c r="F160" s="226"/>
      <c r="G160" s="226"/>
      <c r="H160" s="226"/>
      <c r="I160" s="226"/>
      <c r="J160" s="226"/>
      <c r="K160" s="226"/>
      <c r="L160" s="226"/>
      <c r="M160" s="226"/>
      <c r="N160" s="226"/>
      <c r="O160" s="226"/>
      <c r="P160" s="226"/>
      <c r="Q160" s="226"/>
      <c r="R160" s="226"/>
      <c r="S160" s="226"/>
      <c r="T160" s="226"/>
      <c r="U160" s="226"/>
      <c r="V160" s="185"/>
      <c r="W160" s="185"/>
      <c r="X160" s="185"/>
      <c r="Y160" s="185"/>
      <c r="Z160" s="185"/>
    </row>
    <row r="161" spans="1:45" ht="14.4">
      <c r="A161" s="69" t="s">
        <v>247</v>
      </c>
      <c r="B161" s="69" t="s">
        <v>369</v>
      </c>
      <c r="C161" s="40"/>
      <c r="D161" s="40"/>
      <c r="E161" s="48"/>
      <c r="F161" s="236" t="s">
        <v>1748</v>
      </c>
      <c r="G161" s="48"/>
      <c r="H161" s="236" t="s">
        <v>1747</v>
      </c>
      <c r="I161" s="48"/>
      <c r="J161" s="48"/>
      <c r="K161" s="236" t="s">
        <v>1746</v>
      </c>
      <c r="L161" s="48"/>
      <c r="M161" s="48"/>
      <c r="N161" s="236" t="s">
        <v>1745</v>
      </c>
      <c r="O161" s="48"/>
      <c r="P161" s="48"/>
      <c r="Q161" s="339" t="s">
        <v>1744</v>
      </c>
      <c r="R161" s="48"/>
      <c r="S161" s="48"/>
      <c r="T161" s="48"/>
      <c r="U161" s="48"/>
      <c r="V161" s="23">
        <v>5</v>
      </c>
      <c r="W161" s="368">
        <f t="shared" si="8"/>
        <v>0.99150000000000005</v>
      </c>
      <c r="X161" s="368">
        <f t="shared" si="9"/>
        <v>0.54949999999999999</v>
      </c>
      <c r="Y161" s="368">
        <f t="shared" si="10"/>
        <v>1.0215000000000001</v>
      </c>
      <c r="Z161" s="368">
        <f t="shared" si="11"/>
        <v>0.57950000000000002</v>
      </c>
      <c r="AA161" s="171"/>
      <c r="AB161" s="171"/>
      <c r="AC161" s="171"/>
      <c r="AD161" s="171"/>
      <c r="AE161" s="171"/>
      <c r="AF161" s="171"/>
      <c r="AG161" s="171"/>
      <c r="AH161" s="171"/>
      <c r="AI161" s="171"/>
      <c r="AJ161" s="171"/>
      <c r="AK161" s="171"/>
      <c r="AL161" s="171"/>
      <c r="AM161" s="171"/>
      <c r="AN161" s="171"/>
      <c r="AO161" s="171"/>
      <c r="AP161" s="171"/>
      <c r="AQ161" s="171"/>
      <c r="AR161" s="171"/>
      <c r="AS161" s="171"/>
    </row>
    <row r="162" spans="1:45">
      <c r="A162" s="71"/>
      <c r="B162" s="52"/>
      <c r="C162" s="150"/>
      <c r="D162" s="150"/>
      <c r="E162" s="104"/>
      <c r="F162" s="104"/>
      <c r="G162" s="104"/>
      <c r="H162" s="104"/>
      <c r="I162" s="104"/>
      <c r="J162" s="104"/>
      <c r="K162" s="104"/>
      <c r="L162" s="104"/>
      <c r="M162" s="104"/>
      <c r="N162" s="104"/>
      <c r="O162" s="104"/>
      <c r="P162" s="104"/>
      <c r="Q162" s="104"/>
      <c r="R162" s="104"/>
      <c r="S162" s="104"/>
      <c r="T162" s="104"/>
      <c r="U162" s="104"/>
      <c r="V162" s="28"/>
      <c r="W162" s="369"/>
      <c r="X162" s="369"/>
      <c r="Y162" s="369"/>
      <c r="Z162" s="369"/>
    </row>
    <row r="163" spans="1:45">
      <c r="A163" s="98" t="s">
        <v>253</v>
      </c>
      <c r="B163" s="98"/>
      <c r="C163" s="98"/>
      <c r="D163" s="98"/>
      <c r="E163" s="226"/>
      <c r="F163" s="318"/>
      <c r="G163" s="226"/>
      <c r="H163" s="318"/>
      <c r="I163" s="226"/>
      <c r="J163" s="226"/>
      <c r="K163" s="318"/>
      <c r="L163" s="226"/>
      <c r="M163" s="226"/>
      <c r="N163" s="226"/>
      <c r="O163" s="226"/>
      <c r="P163" s="226"/>
      <c r="Q163" s="226"/>
      <c r="R163" s="226"/>
      <c r="S163" s="226"/>
      <c r="T163" s="226"/>
      <c r="U163" s="226"/>
      <c r="V163" s="185"/>
      <c r="W163" s="185"/>
      <c r="X163" s="185"/>
      <c r="Y163" s="185"/>
      <c r="Z163" s="185"/>
    </row>
    <row r="164" spans="1:45">
      <c r="A164" s="69" t="s">
        <v>370</v>
      </c>
      <c r="B164" s="69" t="s">
        <v>371</v>
      </c>
      <c r="C164" s="40"/>
      <c r="D164" s="40"/>
      <c r="E164" s="48"/>
      <c r="F164" s="306" t="s">
        <v>1749</v>
      </c>
      <c r="G164" s="48"/>
      <c r="H164" s="306" t="s">
        <v>1752</v>
      </c>
      <c r="I164" s="48"/>
      <c r="J164" s="48"/>
      <c r="K164" s="306" t="s">
        <v>1755</v>
      </c>
      <c r="L164" s="48"/>
      <c r="M164" s="48"/>
      <c r="O164" s="48"/>
      <c r="P164" s="48"/>
      <c r="Q164" s="48"/>
      <c r="R164" s="48"/>
      <c r="S164" s="30"/>
      <c r="T164" s="30"/>
      <c r="U164" s="30"/>
      <c r="V164" s="23">
        <v>0</v>
      </c>
      <c r="W164" s="368">
        <f t="shared" si="8"/>
        <v>0</v>
      </c>
      <c r="X164" s="368">
        <f t="shared" si="9"/>
        <v>0</v>
      </c>
      <c r="Y164" s="368">
        <f t="shared" si="10"/>
        <v>0</v>
      </c>
      <c r="Z164" s="368">
        <f t="shared" si="11"/>
        <v>0</v>
      </c>
      <c r="AA164" s="171"/>
      <c r="AB164" s="171"/>
      <c r="AC164" s="171"/>
      <c r="AD164" s="171"/>
      <c r="AE164" s="171"/>
      <c r="AF164" s="171"/>
      <c r="AG164" s="171"/>
      <c r="AH164" s="171"/>
      <c r="AI164" s="171"/>
      <c r="AJ164" s="171"/>
      <c r="AK164" s="171"/>
      <c r="AL164" s="171"/>
      <c r="AM164" s="171"/>
      <c r="AN164" s="171"/>
      <c r="AO164" s="171"/>
      <c r="AP164" s="171"/>
      <c r="AQ164" s="171"/>
      <c r="AR164" s="171"/>
      <c r="AS164" s="171"/>
    </row>
    <row r="165" spans="1:45">
      <c r="A165" s="69" t="s">
        <v>372</v>
      </c>
      <c r="B165" s="69" t="s">
        <v>373</v>
      </c>
      <c r="C165" s="40"/>
      <c r="D165" s="40"/>
      <c r="E165" s="48"/>
      <c r="F165" s="306" t="s">
        <v>1750</v>
      </c>
      <c r="G165" s="48"/>
      <c r="H165" s="306" t="s">
        <v>1753</v>
      </c>
      <c r="I165" s="48"/>
      <c r="J165" s="48"/>
      <c r="K165" s="306" t="s">
        <v>1756</v>
      </c>
      <c r="L165" s="48"/>
      <c r="M165" s="48"/>
      <c r="N165" s="48"/>
      <c r="O165" s="48"/>
      <c r="P165" s="48"/>
      <c r="Q165" s="48"/>
      <c r="R165" s="48"/>
      <c r="S165" s="30"/>
      <c r="T165" s="30"/>
      <c r="U165" s="30"/>
      <c r="V165" s="23">
        <v>0</v>
      </c>
      <c r="W165" s="368">
        <f t="shared" si="8"/>
        <v>0</v>
      </c>
      <c r="X165" s="368">
        <f t="shared" si="9"/>
        <v>0</v>
      </c>
      <c r="Y165" s="368">
        <f t="shared" si="10"/>
        <v>0</v>
      </c>
      <c r="Z165" s="368">
        <f t="shared" si="11"/>
        <v>0</v>
      </c>
      <c r="AA165" s="171"/>
      <c r="AB165" s="171"/>
      <c r="AC165" s="171"/>
      <c r="AD165" s="171"/>
      <c r="AE165" s="171"/>
      <c r="AF165" s="171"/>
      <c r="AG165" s="171"/>
      <c r="AH165" s="171"/>
      <c r="AI165" s="171"/>
      <c r="AJ165" s="171"/>
      <c r="AK165" s="171"/>
      <c r="AL165" s="171"/>
      <c r="AM165" s="171"/>
      <c r="AN165" s="171"/>
      <c r="AO165" s="171"/>
      <c r="AP165" s="171"/>
      <c r="AQ165" s="171"/>
      <c r="AR165" s="171"/>
      <c r="AS165" s="171"/>
    </row>
    <row r="166" spans="1:45">
      <c r="A166" s="69" t="s">
        <v>374</v>
      </c>
      <c r="B166" s="69" t="s">
        <v>375</v>
      </c>
      <c r="C166" s="40"/>
      <c r="D166" s="40"/>
      <c r="E166" s="48"/>
      <c r="F166" s="306" t="s">
        <v>1751</v>
      </c>
      <c r="G166" s="48"/>
      <c r="H166" s="306" t="s">
        <v>1754</v>
      </c>
      <c r="I166" s="48"/>
      <c r="J166" s="48"/>
      <c r="K166" s="306" t="s">
        <v>1757</v>
      </c>
      <c r="L166" s="48"/>
      <c r="M166" s="48"/>
      <c r="N166" s="48"/>
      <c r="O166" s="48"/>
      <c r="P166" s="48"/>
      <c r="Q166" s="48"/>
      <c r="R166" s="48"/>
      <c r="S166" s="30"/>
      <c r="T166" s="30"/>
      <c r="U166" s="30"/>
      <c r="V166" s="23">
        <v>0</v>
      </c>
      <c r="W166" s="368">
        <f t="shared" si="8"/>
        <v>0</v>
      </c>
      <c r="X166" s="368">
        <f t="shared" si="9"/>
        <v>0</v>
      </c>
      <c r="Y166" s="368">
        <f t="shared" si="10"/>
        <v>0</v>
      </c>
      <c r="Z166" s="368">
        <f t="shared" si="11"/>
        <v>0</v>
      </c>
      <c r="AA166" s="171"/>
      <c r="AB166" s="171"/>
      <c r="AC166" s="171"/>
      <c r="AD166" s="171"/>
      <c r="AE166" s="171"/>
      <c r="AF166" s="171"/>
      <c r="AG166" s="171"/>
      <c r="AH166" s="171"/>
      <c r="AI166" s="171"/>
      <c r="AJ166" s="171"/>
      <c r="AK166" s="171"/>
      <c r="AL166" s="171"/>
      <c r="AM166" s="171"/>
      <c r="AN166" s="171"/>
      <c r="AO166" s="171"/>
      <c r="AP166" s="171"/>
      <c r="AQ166" s="171"/>
      <c r="AR166" s="171"/>
      <c r="AS166" s="171"/>
    </row>
    <row r="167" spans="1:45">
      <c r="A167" s="69" t="s">
        <v>376</v>
      </c>
      <c r="B167" s="69" t="s">
        <v>377</v>
      </c>
      <c r="C167" s="150"/>
      <c r="D167" s="150"/>
      <c r="E167" s="104"/>
      <c r="F167" s="104"/>
      <c r="G167" s="48"/>
      <c r="H167" s="48"/>
      <c r="I167" s="48"/>
      <c r="J167" s="104"/>
      <c r="K167" s="104"/>
      <c r="L167" s="104"/>
      <c r="M167" s="48"/>
      <c r="N167" s="306" t="s">
        <v>1759</v>
      </c>
      <c r="O167" s="48"/>
      <c r="P167" s="48"/>
      <c r="Q167" s="306" t="s">
        <v>1760</v>
      </c>
      <c r="R167" s="48"/>
      <c r="S167" s="48"/>
      <c r="T167" s="48"/>
      <c r="U167" s="48"/>
      <c r="V167" s="23">
        <v>0</v>
      </c>
      <c r="W167" s="368">
        <f t="shared" si="8"/>
        <v>0</v>
      </c>
      <c r="X167" s="368">
        <f t="shared" si="9"/>
        <v>0</v>
      </c>
      <c r="Y167" s="368">
        <f t="shared" si="10"/>
        <v>0</v>
      </c>
      <c r="Z167" s="368">
        <f t="shared" si="11"/>
        <v>0</v>
      </c>
      <c r="AA167" s="171"/>
      <c r="AB167" s="171"/>
      <c r="AC167" s="171"/>
      <c r="AD167" s="171"/>
      <c r="AE167" s="171"/>
      <c r="AF167" s="171"/>
      <c r="AG167" s="171"/>
      <c r="AH167" s="171"/>
      <c r="AI167" s="171"/>
      <c r="AJ167" s="171"/>
      <c r="AK167" s="171"/>
      <c r="AL167" s="171"/>
      <c r="AM167" s="171"/>
      <c r="AN167" s="171"/>
      <c r="AO167" s="171"/>
      <c r="AP167" s="171"/>
      <c r="AQ167" s="171"/>
      <c r="AR167" s="171"/>
      <c r="AS167" s="171"/>
    </row>
    <row r="168" spans="1:45">
      <c r="A168" s="69" t="s">
        <v>378</v>
      </c>
      <c r="B168" s="69" t="s">
        <v>379</v>
      </c>
      <c r="C168" s="150"/>
      <c r="D168" s="150"/>
      <c r="E168" s="104"/>
      <c r="F168" s="104"/>
      <c r="G168" s="104"/>
      <c r="H168" s="104"/>
      <c r="I168" s="104"/>
      <c r="J168" s="104"/>
      <c r="K168" s="104"/>
      <c r="L168" s="104"/>
      <c r="M168" s="48"/>
      <c r="N168" s="306" t="s">
        <v>1758</v>
      </c>
      <c r="O168" s="48"/>
      <c r="P168" s="48"/>
      <c r="Q168" s="306" t="s">
        <v>1761</v>
      </c>
      <c r="R168" s="48"/>
      <c r="S168" s="48"/>
      <c r="T168" s="48"/>
      <c r="U168" s="48"/>
      <c r="V168" s="23">
        <v>0</v>
      </c>
      <c r="W168" s="368">
        <f t="shared" si="8"/>
        <v>0</v>
      </c>
      <c r="X168" s="368">
        <f t="shared" si="9"/>
        <v>0</v>
      </c>
      <c r="Y168" s="368">
        <f t="shared" si="10"/>
        <v>0</v>
      </c>
      <c r="Z168" s="368">
        <f t="shared" si="11"/>
        <v>0</v>
      </c>
      <c r="AA168" s="171"/>
      <c r="AB168" s="171"/>
      <c r="AC168" s="171"/>
      <c r="AD168" s="171"/>
      <c r="AE168" s="171"/>
      <c r="AF168" s="171"/>
      <c r="AG168" s="171"/>
      <c r="AH168" s="171"/>
      <c r="AI168" s="171"/>
      <c r="AJ168" s="171"/>
      <c r="AK168" s="171"/>
      <c r="AL168" s="171"/>
      <c r="AM168" s="171"/>
      <c r="AN168" s="171"/>
      <c r="AO168" s="171"/>
      <c r="AP168" s="171"/>
      <c r="AQ168" s="171"/>
      <c r="AR168" s="171"/>
      <c r="AS168" s="171"/>
    </row>
    <row r="169" spans="1:45" ht="27.6">
      <c r="A169" s="69" t="s">
        <v>380</v>
      </c>
      <c r="B169" s="69" t="s">
        <v>381</v>
      </c>
      <c r="C169" s="150"/>
      <c r="D169" s="150"/>
      <c r="E169" s="104"/>
      <c r="F169" s="104"/>
      <c r="G169" s="104"/>
      <c r="H169" s="104"/>
      <c r="I169" s="104"/>
      <c r="J169" s="104"/>
      <c r="K169" s="104"/>
      <c r="L169" s="104"/>
      <c r="M169" s="48"/>
      <c r="N169" s="317"/>
      <c r="O169" s="48"/>
      <c r="P169" s="48"/>
      <c r="Q169" s="317"/>
      <c r="R169" s="48"/>
      <c r="S169" s="48"/>
      <c r="T169" s="48"/>
      <c r="U169" s="48"/>
      <c r="V169" s="23">
        <v>0</v>
      </c>
      <c r="W169" s="368">
        <f t="shared" si="8"/>
        <v>0</v>
      </c>
      <c r="X169" s="368">
        <f t="shared" si="9"/>
        <v>0</v>
      </c>
      <c r="Y169" s="368">
        <f t="shared" si="10"/>
        <v>0</v>
      </c>
      <c r="Z169" s="368">
        <f t="shared" si="11"/>
        <v>0</v>
      </c>
      <c r="AA169" s="171"/>
      <c r="AB169" s="171"/>
      <c r="AC169" s="171"/>
      <c r="AD169" s="171"/>
      <c r="AE169" s="171"/>
      <c r="AF169" s="171"/>
      <c r="AG169" s="171"/>
      <c r="AH169" s="171"/>
      <c r="AI169" s="171"/>
      <c r="AJ169" s="171"/>
      <c r="AK169" s="171"/>
      <c r="AL169" s="171"/>
      <c r="AM169" s="171"/>
      <c r="AN169" s="171"/>
      <c r="AO169" s="171"/>
      <c r="AP169" s="171"/>
      <c r="AQ169" s="171"/>
      <c r="AR169" s="171"/>
      <c r="AS169" s="171"/>
    </row>
    <row r="170" spans="1:45" s="165" customFormat="1">
      <c r="A170" s="69"/>
      <c r="B170" s="319"/>
      <c r="C170" s="150"/>
      <c r="D170" s="150"/>
      <c r="E170" s="104"/>
      <c r="F170" s="104"/>
      <c r="G170" s="104"/>
      <c r="H170" s="104"/>
      <c r="I170" s="104"/>
      <c r="J170" s="104"/>
      <c r="K170" s="104"/>
      <c r="L170" s="104"/>
      <c r="M170" s="48"/>
      <c r="N170" s="22"/>
      <c r="O170" s="48"/>
      <c r="P170" s="48"/>
      <c r="Q170" s="22"/>
      <c r="R170" s="48"/>
      <c r="S170" s="104"/>
      <c r="T170" s="104"/>
      <c r="U170" s="104"/>
      <c r="V170" s="23"/>
      <c r="W170" s="368">
        <f t="shared" si="8"/>
        <v>0</v>
      </c>
      <c r="X170" s="368">
        <f t="shared" si="9"/>
        <v>0</v>
      </c>
      <c r="Y170" s="368">
        <f t="shared" si="10"/>
        <v>0</v>
      </c>
      <c r="Z170" s="368">
        <f t="shared" si="11"/>
        <v>0</v>
      </c>
      <c r="AA170" s="253"/>
      <c r="AB170" s="253"/>
      <c r="AC170" s="253"/>
      <c r="AD170" s="253"/>
      <c r="AE170" s="253"/>
      <c r="AF170" s="253"/>
      <c r="AG170" s="253"/>
      <c r="AH170" s="253"/>
      <c r="AI170" s="253"/>
      <c r="AJ170" s="253"/>
      <c r="AK170" s="253"/>
      <c r="AL170" s="253"/>
      <c r="AM170" s="253"/>
      <c r="AN170" s="253"/>
      <c r="AO170" s="253"/>
      <c r="AP170" s="253"/>
      <c r="AQ170" s="253"/>
      <c r="AR170" s="253"/>
      <c r="AS170" s="253"/>
    </row>
    <row r="171" spans="1:45">
      <c r="A171" s="98" t="s">
        <v>263</v>
      </c>
      <c r="B171" s="98"/>
      <c r="C171" s="98"/>
      <c r="D171" s="98"/>
      <c r="E171" s="226"/>
      <c r="F171" s="318"/>
      <c r="G171" s="226"/>
      <c r="H171" s="318"/>
      <c r="I171" s="226"/>
      <c r="J171" s="226"/>
      <c r="K171" s="318"/>
      <c r="L171" s="226"/>
      <c r="M171" s="226"/>
      <c r="N171" s="318"/>
      <c r="O171" s="226"/>
      <c r="P171" s="226"/>
      <c r="Q171" s="318"/>
      <c r="R171" s="226"/>
      <c r="S171" s="226"/>
      <c r="T171" s="226"/>
      <c r="U171" s="226"/>
      <c r="V171" s="185"/>
      <c r="W171" s="185"/>
      <c r="X171" s="185"/>
      <c r="Y171" s="185"/>
      <c r="Z171" s="185"/>
    </row>
    <row r="172" spans="1:45">
      <c r="A172" s="69" t="s">
        <v>382</v>
      </c>
      <c r="B172" s="69" t="s">
        <v>383</v>
      </c>
      <c r="C172" s="40"/>
      <c r="D172" s="40"/>
      <c r="E172" s="48"/>
      <c r="F172" s="306" t="s">
        <v>1762</v>
      </c>
      <c r="G172" s="48"/>
      <c r="H172" s="306" t="s">
        <v>1764</v>
      </c>
      <c r="I172" s="48"/>
      <c r="J172" s="48"/>
      <c r="K172" s="306" t="s">
        <v>1766</v>
      </c>
      <c r="L172" s="48"/>
      <c r="M172" s="48"/>
      <c r="N172" s="306" t="s">
        <v>1768</v>
      </c>
      <c r="O172" s="48"/>
      <c r="P172" s="48"/>
      <c r="Q172" s="306" t="s">
        <v>1770</v>
      </c>
      <c r="R172" s="48"/>
      <c r="S172" s="48"/>
      <c r="T172" s="48"/>
      <c r="U172" s="48"/>
      <c r="V172" s="23">
        <v>2</v>
      </c>
      <c r="W172" s="368">
        <f t="shared" si="8"/>
        <v>0.39660000000000001</v>
      </c>
      <c r="X172" s="368">
        <f t="shared" si="9"/>
        <v>0.2198</v>
      </c>
      <c r="Y172" s="368">
        <f t="shared" si="10"/>
        <v>0.40860000000000002</v>
      </c>
      <c r="Z172" s="368">
        <f t="shared" si="11"/>
        <v>0.23180000000000001</v>
      </c>
      <c r="AA172" s="171"/>
      <c r="AB172" s="171"/>
      <c r="AC172" s="171"/>
      <c r="AD172" s="171"/>
      <c r="AE172" s="171"/>
      <c r="AF172" s="171"/>
      <c r="AG172" s="171"/>
      <c r="AH172" s="171"/>
      <c r="AI172" s="171"/>
      <c r="AJ172" s="171"/>
      <c r="AK172" s="171"/>
      <c r="AL172" s="171"/>
      <c r="AM172" s="171"/>
      <c r="AN172" s="171"/>
      <c r="AO172" s="171"/>
      <c r="AP172" s="171"/>
      <c r="AQ172" s="171"/>
      <c r="AR172" s="171"/>
      <c r="AS172" s="171"/>
    </row>
    <row r="173" spans="1:45">
      <c r="A173" s="69" t="s">
        <v>113</v>
      </c>
      <c r="B173" s="69" t="s">
        <v>264</v>
      </c>
      <c r="C173" s="40"/>
      <c r="D173" s="40"/>
      <c r="E173" s="48"/>
      <c r="F173" s="306" t="s">
        <v>1763</v>
      </c>
      <c r="G173" s="48"/>
      <c r="H173" s="306" t="s">
        <v>1765</v>
      </c>
      <c r="I173" s="48"/>
      <c r="J173" s="48"/>
      <c r="K173" s="306" t="s">
        <v>1767</v>
      </c>
      <c r="L173" s="48"/>
      <c r="M173" s="48"/>
      <c r="N173" s="306" t="s">
        <v>1769</v>
      </c>
      <c r="O173" s="48"/>
      <c r="P173" s="48"/>
      <c r="Q173" s="306" t="s">
        <v>1771</v>
      </c>
      <c r="R173" s="48"/>
      <c r="S173" s="48"/>
      <c r="T173" s="48"/>
      <c r="U173" s="48"/>
      <c r="V173" s="23">
        <v>6</v>
      </c>
      <c r="W173" s="368">
        <f t="shared" si="8"/>
        <v>1.1898</v>
      </c>
      <c r="X173" s="368">
        <f t="shared" si="9"/>
        <v>0.65939999999999999</v>
      </c>
      <c r="Y173" s="368">
        <f t="shared" si="10"/>
        <v>1.2258</v>
      </c>
      <c r="Z173" s="368">
        <f t="shared" si="11"/>
        <v>0.69540000000000002</v>
      </c>
      <c r="AA173" s="171"/>
      <c r="AB173" s="171"/>
      <c r="AC173" s="171"/>
      <c r="AD173" s="171"/>
      <c r="AE173" s="171"/>
      <c r="AF173" s="171"/>
      <c r="AG173" s="171"/>
      <c r="AH173" s="171"/>
      <c r="AI173" s="171"/>
      <c r="AJ173" s="171"/>
      <c r="AK173" s="171"/>
      <c r="AL173" s="171"/>
      <c r="AM173" s="171"/>
      <c r="AN173" s="171"/>
      <c r="AO173" s="171"/>
      <c r="AP173" s="171"/>
      <c r="AQ173" s="171"/>
      <c r="AR173" s="171"/>
      <c r="AS173" s="171"/>
    </row>
    <row r="174" spans="1:45">
      <c r="A174" s="71"/>
      <c r="B174" s="52"/>
      <c r="C174" s="150"/>
      <c r="D174" s="150"/>
      <c r="E174" s="104"/>
      <c r="F174" s="104"/>
      <c r="G174" s="104"/>
      <c r="H174" s="104"/>
      <c r="I174" s="104"/>
      <c r="J174" s="104"/>
      <c r="K174" s="104"/>
      <c r="L174" s="104"/>
      <c r="M174" s="104"/>
      <c r="N174" s="104"/>
      <c r="O174" s="104"/>
      <c r="P174" s="104"/>
      <c r="Q174" s="104"/>
      <c r="R174" s="104"/>
      <c r="S174" s="104"/>
      <c r="T174" s="104"/>
      <c r="U174" s="104"/>
      <c r="V174" s="28"/>
      <c r="W174" s="369"/>
      <c r="X174" s="369"/>
      <c r="Y174" s="369"/>
      <c r="Z174" s="369"/>
    </row>
    <row r="175" spans="1:45">
      <c r="A175" s="98" t="s">
        <v>384</v>
      </c>
      <c r="B175" s="98"/>
      <c r="C175" s="98"/>
      <c r="D175" s="98"/>
      <c r="E175" s="226"/>
      <c r="F175" s="318"/>
      <c r="G175" s="226"/>
      <c r="H175" s="318"/>
      <c r="I175" s="226"/>
      <c r="J175" s="226"/>
      <c r="K175" s="318"/>
      <c r="L175" s="226"/>
      <c r="M175" s="226"/>
      <c r="N175" s="318"/>
      <c r="O175" s="226"/>
      <c r="P175" s="226"/>
      <c r="Q175" s="318"/>
      <c r="R175" s="226"/>
      <c r="S175" s="226"/>
      <c r="T175" s="226"/>
      <c r="U175" s="226"/>
      <c r="V175" s="185"/>
      <c r="W175" s="185"/>
      <c r="X175" s="185"/>
      <c r="Y175" s="185"/>
      <c r="Z175" s="185"/>
    </row>
    <row r="176" spans="1:45">
      <c r="A176" s="69" t="s">
        <v>385</v>
      </c>
      <c r="B176" s="69" t="s">
        <v>386</v>
      </c>
      <c r="C176" s="40"/>
      <c r="D176" s="40"/>
      <c r="E176" s="48"/>
      <c r="F176" s="306" t="s">
        <v>1772</v>
      </c>
      <c r="G176" s="48"/>
      <c r="H176" s="306" t="s">
        <v>1775</v>
      </c>
      <c r="I176" s="48"/>
      <c r="J176" s="48"/>
      <c r="K176" s="306" t="s">
        <v>1780</v>
      </c>
      <c r="L176" s="48"/>
      <c r="M176" s="48"/>
      <c r="N176" s="306" t="s">
        <v>1783</v>
      </c>
      <c r="O176" s="48"/>
      <c r="P176" s="48"/>
      <c r="Q176" s="306" t="s">
        <v>1786</v>
      </c>
      <c r="R176" s="48"/>
      <c r="S176" s="48"/>
      <c r="T176" s="48"/>
      <c r="U176" s="48"/>
      <c r="V176" s="23">
        <v>6</v>
      </c>
      <c r="W176" s="368">
        <f t="shared" si="8"/>
        <v>1.1898</v>
      </c>
      <c r="X176" s="368">
        <f t="shared" si="9"/>
        <v>0.65939999999999999</v>
      </c>
      <c r="Y176" s="368">
        <f t="shared" si="10"/>
        <v>1.2258</v>
      </c>
      <c r="Z176" s="368">
        <f t="shared" si="11"/>
        <v>0.69540000000000002</v>
      </c>
      <c r="AA176" s="171"/>
      <c r="AB176" s="171"/>
      <c r="AC176" s="171"/>
      <c r="AD176" s="171"/>
      <c r="AE176" s="171"/>
      <c r="AF176" s="171"/>
      <c r="AG176" s="171"/>
      <c r="AH176" s="171"/>
      <c r="AI176" s="171"/>
      <c r="AJ176" s="171"/>
      <c r="AK176" s="171"/>
      <c r="AL176" s="171"/>
      <c r="AM176" s="171"/>
      <c r="AN176" s="171"/>
      <c r="AO176" s="171"/>
      <c r="AP176" s="171"/>
      <c r="AQ176" s="171"/>
      <c r="AR176" s="171"/>
      <c r="AS176" s="171"/>
    </row>
    <row r="177" spans="1:45">
      <c r="A177" s="69" t="s">
        <v>387</v>
      </c>
      <c r="B177" s="69" t="s">
        <v>388</v>
      </c>
      <c r="C177" s="40"/>
      <c r="D177" s="40"/>
      <c r="E177" s="48"/>
      <c r="F177" s="48" t="s">
        <v>2017</v>
      </c>
      <c r="G177" s="48"/>
      <c r="H177" s="306" t="s">
        <v>1776</v>
      </c>
      <c r="I177" s="48"/>
      <c r="J177" s="48"/>
      <c r="K177" s="48"/>
      <c r="L177" s="48"/>
      <c r="M177" s="48"/>
      <c r="N177" s="306" t="s">
        <v>1784</v>
      </c>
      <c r="O177" s="48"/>
      <c r="P177" s="48"/>
      <c r="Q177" s="48"/>
      <c r="R177" s="48"/>
      <c r="S177" s="30"/>
      <c r="T177" s="30"/>
      <c r="U177" s="30"/>
      <c r="V177" s="23">
        <v>7</v>
      </c>
      <c r="W177" s="368">
        <f t="shared" si="8"/>
        <v>1.3881000000000001</v>
      </c>
      <c r="X177" s="368">
        <f t="shared" si="9"/>
        <v>0.76929999999999998</v>
      </c>
      <c r="Y177" s="368">
        <f t="shared" si="10"/>
        <v>1.4301000000000001</v>
      </c>
      <c r="Z177" s="368">
        <f t="shared" si="11"/>
        <v>0.81130000000000002</v>
      </c>
      <c r="AA177" s="171"/>
      <c r="AB177" s="171"/>
      <c r="AC177" s="171"/>
      <c r="AD177" s="171"/>
      <c r="AE177" s="171"/>
      <c r="AF177" s="171"/>
      <c r="AG177" s="171"/>
      <c r="AH177" s="171"/>
      <c r="AI177" s="171"/>
      <c r="AJ177" s="171"/>
      <c r="AK177" s="171"/>
      <c r="AL177" s="171"/>
      <c r="AM177" s="171"/>
      <c r="AN177" s="171"/>
      <c r="AO177" s="171"/>
      <c r="AP177" s="171"/>
      <c r="AQ177" s="171"/>
      <c r="AR177" s="171"/>
      <c r="AS177" s="171"/>
    </row>
    <row r="178" spans="1:45">
      <c r="A178" s="69" t="s">
        <v>389</v>
      </c>
      <c r="B178" s="69" t="s">
        <v>390</v>
      </c>
      <c r="C178" s="40"/>
      <c r="D178" s="40"/>
      <c r="E178" s="120"/>
      <c r="F178" s="317"/>
      <c r="G178" s="48"/>
      <c r="H178" s="48"/>
      <c r="I178" s="48"/>
      <c r="J178" s="48"/>
      <c r="K178" s="48"/>
      <c r="L178" s="48"/>
      <c r="M178" s="48"/>
      <c r="N178" s="48"/>
      <c r="O178" s="48"/>
      <c r="P178" s="48"/>
      <c r="Q178" s="48"/>
      <c r="R178" s="48"/>
      <c r="S178" s="48"/>
      <c r="T178" s="48"/>
      <c r="U178" s="48"/>
      <c r="V178" s="23">
        <v>87</v>
      </c>
      <c r="W178" s="368">
        <f t="shared" si="8"/>
        <v>17.252099999999999</v>
      </c>
      <c r="X178" s="368">
        <f t="shared" si="9"/>
        <v>9.5612999999999992</v>
      </c>
      <c r="Y178" s="368">
        <f t="shared" si="10"/>
        <v>17.774100000000001</v>
      </c>
      <c r="Z178" s="368">
        <f t="shared" si="11"/>
        <v>10.083299999999999</v>
      </c>
      <c r="AA178" s="171"/>
      <c r="AB178" s="171"/>
      <c r="AC178" s="171"/>
      <c r="AD178" s="171"/>
      <c r="AE178" s="171"/>
      <c r="AF178" s="171"/>
      <c r="AG178" s="171"/>
      <c r="AH178" s="171"/>
      <c r="AI178" s="171"/>
      <c r="AJ178" s="171"/>
      <c r="AK178" s="171"/>
      <c r="AL178" s="171"/>
      <c r="AM178" s="171"/>
      <c r="AN178" s="171"/>
      <c r="AO178" s="171"/>
      <c r="AP178" s="171"/>
      <c r="AQ178" s="171"/>
      <c r="AR178" s="171"/>
      <c r="AS178" s="171"/>
    </row>
    <row r="179" spans="1:45">
      <c r="A179" s="306" t="s">
        <v>1903</v>
      </c>
      <c r="B179" s="306" t="s">
        <v>1773</v>
      </c>
      <c r="C179" s="40"/>
      <c r="D179" s="40"/>
      <c r="E179" s="120"/>
      <c r="F179" s="306" t="s">
        <v>1774</v>
      </c>
      <c r="G179" s="48"/>
      <c r="H179" s="48"/>
      <c r="I179" s="48"/>
      <c r="J179" s="48"/>
      <c r="K179" s="317"/>
      <c r="L179" s="48"/>
      <c r="M179" s="48"/>
      <c r="N179" s="48"/>
      <c r="O179" s="48"/>
      <c r="P179" s="48"/>
      <c r="Q179" s="317"/>
      <c r="R179" s="48"/>
      <c r="S179" s="30"/>
      <c r="T179" s="30"/>
      <c r="U179" s="30"/>
      <c r="V179" s="23">
        <v>5</v>
      </c>
      <c r="W179" s="368">
        <f t="shared" si="8"/>
        <v>0.99150000000000005</v>
      </c>
      <c r="X179" s="368">
        <f t="shared" si="9"/>
        <v>0.54949999999999999</v>
      </c>
      <c r="Y179" s="368">
        <f t="shared" si="10"/>
        <v>1.0215000000000001</v>
      </c>
      <c r="Z179" s="368">
        <f t="shared" si="11"/>
        <v>0.57950000000000002</v>
      </c>
      <c r="AA179" s="171"/>
      <c r="AB179" s="171"/>
      <c r="AC179" s="171"/>
      <c r="AD179" s="171"/>
      <c r="AE179" s="171"/>
      <c r="AF179" s="171"/>
      <c r="AG179" s="171"/>
      <c r="AH179" s="171"/>
      <c r="AI179" s="171"/>
      <c r="AJ179" s="171"/>
      <c r="AK179" s="171"/>
      <c r="AL179" s="171"/>
      <c r="AM179" s="171"/>
      <c r="AN179" s="171"/>
      <c r="AO179" s="171"/>
      <c r="AP179" s="171"/>
      <c r="AQ179" s="171"/>
      <c r="AR179" s="171"/>
      <c r="AS179" s="171"/>
    </row>
    <row r="180" spans="1:45">
      <c r="A180" s="306" t="s">
        <v>1904</v>
      </c>
      <c r="B180" s="306" t="s">
        <v>738</v>
      </c>
      <c r="C180" s="40"/>
      <c r="D180" s="40"/>
      <c r="E180" s="120"/>
      <c r="F180" s="120"/>
      <c r="G180" s="48"/>
      <c r="H180" s="59"/>
      <c r="I180" s="48"/>
      <c r="J180" s="48"/>
      <c r="K180" s="306" t="s">
        <v>1782</v>
      </c>
      <c r="L180" s="48"/>
      <c r="M180" s="48"/>
      <c r="N180" s="317"/>
      <c r="O180" s="48"/>
      <c r="P180" s="48"/>
      <c r="Q180" s="306" t="s">
        <v>1787</v>
      </c>
      <c r="R180" s="48"/>
      <c r="S180" s="30"/>
      <c r="T180" s="30"/>
      <c r="U180" s="30"/>
      <c r="V180" s="23">
        <v>5</v>
      </c>
      <c r="W180" s="368">
        <f t="shared" si="8"/>
        <v>0.99150000000000005</v>
      </c>
      <c r="X180" s="368">
        <f t="shared" si="9"/>
        <v>0.54949999999999999</v>
      </c>
      <c r="Y180" s="368">
        <f t="shared" si="10"/>
        <v>1.0215000000000001</v>
      </c>
      <c r="Z180" s="368">
        <f t="shared" si="11"/>
        <v>0.57950000000000002</v>
      </c>
      <c r="AA180" s="171"/>
      <c r="AB180" s="171"/>
      <c r="AC180" s="171"/>
      <c r="AD180" s="171"/>
      <c r="AE180" s="171"/>
      <c r="AF180" s="171"/>
      <c r="AG180" s="171"/>
      <c r="AH180" s="171"/>
      <c r="AI180" s="171"/>
      <c r="AJ180" s="171"/>
      <c r="AK180" s="171"/>
      <c r="AL180" s="171"/>
      <c r="AM180" s="171"/>
      <c r="AN180" s="171"/>
      <c r="AO180" s="171"/>
      <c r="AP180" s="171"/>
      <c r="AQ180" s="171"/>
      <c r="AR180" s="171"/>
      <c r="AS180" s="171"/>
    </row>
    <row r="181" spans="1:45">
      <c r="A181" s="69" t="s">
        <v>389</v>
      </c>
      <c r="B181" s="306" t="s">
        <v>1777</v>
      </c>
      <c r="C181" s="40"/>
      <c r="D181" s="40"/>
      <c r="E181" s="120"/>
      <c r="F181" s="306" t="s">
        <v>1779</v>
      </c>
      <c r="G181" s="48"/>
      <c r="H181" s="306" t="s">
        <v>1778</v>
      </c>
      <c r="I181" s="48"/>
      <c r="J181" s="48"/>
      <c r="K181" s="306" t="s">
        <v>1781</v>
      </c>
      <c r="L181" s="48"/>
      <c r="M181" s="48"/>
      <c r="N181" s="306" t="s">
        <v>1785</v>
      </c>
      <c r="O181" s="48"/>
      <c r="P181" s="48"/>
      <c r="Q181" s="306" t="s">
        <v>1788</v>
      </c>
      <c r="R181" s="48"/>
      <c r="S181" s="30"/>
      <c r="T181" s="30"/>
      <c r="U181" s="30"/>
      <c r="V181" s="23">
        <v>87</v>
      </c>
      <c r="W181" s="368">
        <f t="shared" si="8"/>
        <v>17.252099999999999</v>
      </c>
      <c r="X181" s="368">
        <f t="shared" si="9"/>
        <v>9.5612999999999992</v>
      </c>
      <c r="Y181" s="368">
        <f t="shared" si="10"/>
        <v>17.774100000000001</v>
      </c>
      <c r="Z181" s="368">
        <f t="shared" si="11"/>
        <v>10.083299999999999</v>
      </c>
      <c r="AA181" s="171"/>
      <c r="AB181" s="171"/>
      <c r="AC181" s="171"/>
      <c r="AD181" s="171"/>
      <c r="AE181" s="171"/>
      <c r="AF181" s="171"/>
      <c r="AG181" s="171"/>
      <c r="AH181" s="171"/>
      <c r="AI181" s="171"/>
      <c r="AJ181" s="171"/>
      <c r="AK181" s="171"/>
      <c r="AL181" s="171"/>
      <c r="AM181" s="171"/>
      <c r="AN181" s="171"/>
      <c r="AO181" s="171"/>
      <c r="AP181" s="171"/>
      <c r="AQ181" s="171"/>
      <c r="AR181" s="171"/>
      <c r="AS181" s="171"/>
    </row>
    <row r="182" spans="1:45">
      <c r="A182" s="340" t="s">
        <v>391</v>
      </c>
      <c r="B182" s="340"/>
      <c r="C182" s="340"/>
      <c r="D182" s="340"/>
      <c r="E182" s="341"/>
      <c r="F182" s="341"/>
      <c r="G182" s="341"/>
      <c r="H182" s="341"/>
      <c r="I182" s="341"/>
      <c r="J182" s="341"/>
      <c r="K182" s="341"/>
      <c r="L182" s="341"/>
      <c r="M182" s="341"/>
      <c r="N182" s="341"/>
      <c r="O182" s="341"/>
      <c r="P182" s="341"/>
      <c r="Q182" s="341"/>
      <c r="R182" s="341"/>
      <c r="S182" s="341"/>
      <c r="T182" s="341"/>
      <c r="U182" s="341"/>
      <c r="V182" s="186"/>
      <c r="W182" s="186"/>
      <c r="X182" s="186"/>
      <c r="Y182" s="186"/>
      <c r="Z182" s="186"/>
      <c r="AA182" s="171"/>
      <c r="AB182" s="171"/>
      <c r="AC182" s="171"/>
      <c r="AD182" s="171"/>
      <c r="AE182" s="171"/>
      <c r="AF182" s="171"/>
      <c r="AG182" s="171"/>
      <c r="AH182" s="171"/>
      <c r="AI182" s="171"/>
      <c r="AJ182" s="171"/>
      <c r="AK182" s="171"/>
      <c r="AL182" s="171"/>
      <c r="AM182" s="171"/>
      <c r="AN182" s="171"/>
      <c r="AO182" s="171"/>
      <c r="AP182" s="171"/>
      <c r="AQ182" s="171"/>
      <c r="AR182" s="171"/>
      <c r="AS182" s="171"/>
    </row>
    <row r="183" spans="1:45" s="253" customFormat="1">
      <c r="A183" s="235"/>
      <c r="B183" s="140"/>
      <c r="C183" s="134"/>
      <c r="D183" s="134"/>
      <c r="E183" s="45"/>
      <c r="F183" s="45"/>
      <c r="G183" s="45"/>
      <c r="H183" s="45"/>
      <c r="I183" s="45"/>
      <c r="J183" s="45"/>
      <c r="K183" s="45"/>
      <c r="L183" s="45"/>
      <c r="M183" s="45"/>
      <c r="N183" s="296"/>
      <c r="O183" s="296"/>
      <c r="P183" s="65"/>
      <c r="Q183" s="65"/>
      <c r="R183" s="65"/>
      <c r="S183" s="45"/>
      <c r="T183" s="45"/>
      <c r="U183" s="45"/>
      <c r="V183" s="28"/>
      <c r="W183" s="369"/>
      <c r="X183" s="369"/>
      <c r="Y183" s="369"/>
      <c r="Z183" s="369"/>
    </row>
    <row r="184" spans="1:45">
      <c r="A184" s="98" t="s">
        <v>285</v>
      </c>
      <c r="B184" s="98"/>
      <c r="C184" s="98"/>
      <c r="D184" s="98"/>
      <c r="E184" s="226"/>
      <c r="F184" s="226"/>
      <c r="G184" s="226"/>
      <c r="H184" s="226"/>
      <c r="I184" s="226"/>
      <c r="J184" s="226"/>
      <c r="K184" s="226"/>
      <c r="L184" s="226"/>
      <c r="M184" s="226"/>
      <c r="N184" s="226"/>
      <c r="O184" s="226"/>
      <c r="P184" s="226"/>
      <c r="Q184" s="226"/>
      <c r="R184" s="226"/>
      <c r="S184" s="226"/>
      <c r="T184" s="226"/>
      <c r="U184" s="226"/>
      <c r="V184" s="185"/>
      <c r="W184" s="185"/>
      <c r="X184" s="185"/>
      <c r="Y184" s="185"/>
      <c r="Z184" s="185"/>
    </row>
    <row r="185" spans="1:45">
      <c r="A185" s="69" t="s">
        <v>286</v>
      </c>
      <c r="B185" s="69" t="s">
        <v>393</v>
      </c>
      <c r="C185" s="40"/>
      <c r="D185" s="40"/>
      <c r="E185" s="48" t="s">
        <v>394</v>
      </c>
      <c r="F185" s="48" t="s">
        <v>394</v>
      </c>
      <c r="G185" s="48" t="s">
        <v>394</v>
      </c>
      <c r="H185" s="48" t="s">
        <v>394</v>
      </c>
      <c r="I185" s="48"/>
      <c r="J185" s="48" t="s">
        <v>394</v>
      </c>
      <c r="K185" s="48" t="s">
        <v>394</v>
      </c>
      <c r="L185" s="48"/>
      <c r="M185" s="48" t="s">
        <v>394</v>
      </c>
      <c r="N185" s="48" t="s">
        <v>394</v>
      </c>
      <c r="O185" s="48"/>
      <c r="P185" s="48" t="s">
        <v>394</v>
      </c>
      <c r="Q185" s="48" t="s">
        <v>394</v>
      </c>
      <c r="R185" s="48"/>
      <c r="S185" s="30"/>
      <c r="T185" s="30"/>
      <c r="U185" s="30"/>
      <c r="V185" s="60">
        <v>20</v>
      </c>
      <c r="W185" s="186">
        <f t="shared" si="8"/>
        <v>3.9660000000000002</v>
      </c>
      <c r="X185" s="186">
        <f t="shared" si="9"/>
        <v>2.198</v>
      </c>
      <c r="Y185" s="186">
        <f t="shared" si="10"/>
        <v>4.0860000000000003</v>
      </c>
      <c r="Z185" s="186">
        <f t="shared" si="11"/>
        <v>2.3180000000000001</v>
      </c>
    </row>
    <row r="186" spans="1:45" ht="27.6">
      <c r="A186" s="69" t="s">
        <v>289</v>
      </c>
      <c r="B186" s="69" t="s">
        <v>395</v>
      </c>
      <c r="C186" s="40"/>
      <c r="D186" s="40"/>
      <c r="E186" s="48" t="s">
        <v>396</v>
      </c>
      <c r="F186" s="48" t="s">
        <v>396</v>
      </c>
      <c r="G186" s="48" t="s">
        <v>396</v>
      </c>
      <c r="H186" s="48" t="s">
        <v>396</v>
      </c>
      <c r="I186" s="48"/>
      <c r="J186" s="48" t="s">
        <v>396</v>
      </c>
      <c r="K186" s="48" t="s">
        <v>396</v>
      </c>
      <c r="L186" s="48"/>
      <c r="M186" s="48" t="s">
        <v>396</v>
      </c>
      <c r="N186" s="48" t="s">
        <v>396</v>
      </c>
      <c r="O186" s="48"/>
      <c r="P186" s="48" t="s">
        <v>396</v>
      </c>
      <c r="Q186" s="48" t="s">
        <v>396</v>
      </c>
      <c r="R186" s="48"/>
      <c r="S186" s="30"/>
      <c r="T186" s="30"/>
      <c r="U186" s="30"/>
      <c r="V186" s="60">
        <v>30</v>
      </c>
      <c r="W186" s="186">
        <f t="shared" si="8"/>
        <v>5.9489999999999998</v>
      </c>
      <c r="X186" s="186">
        <f t="shared" si="9"/>
        <v>3.2969999999999997</v>
      </c>
      <c r="Y186" s="186">
        <f t="shared" si="10"/>
        <v>6.1290000000000004</v>
      </c>
      <c r="Z186" s="186">
        <f t="shared" si="11"/>
        <v>3.4770000000000003</v>
      </c>
    </row>
    <row r="187" spans="1:45" ht="27.6">
      <c r="A187" s="69" t="s">
        <v>397</v>
      </c>
      <c r="B187" s="69" t="s">
        <v>398</v>
      </c>
      <c r="C187" s="40"/>
      <c r="D187" s="40"/>
      <c r="E187" s="48" t="s">
        <v>399</v>
      </c>
      <c r="F187" s="48" t="s">
        <v>399</v>
      </c>
      <c r="G187" s="48" t="s">
        <v>399</v>
      </c>
      <c r="H187" s="48" t="s">
        <v>399</v>
      </c>
      <c r="I187" s="48"/>
      <c r="J187" s="48" t="s">
        <v>399</v>
      </c>
      <c r="K187" s="48" t="s">
        <v>399</v>
      </c>
      <c r="L187" s="48"/>
      <c r="M187" s="48" t="s">
        <v>399</v>
      </c>
      <c r="N187" s="48" t="s">
        <v>399</v>
      </c>
      <c r="O187" s="48"/>
      <c r="P187" s="48" t="s">
        <v>399</v>
      </c>
      <c r="Q187" s="48" t="s">
        <v>399</v>
      </c>
      <c r="R187" s="48"/>
      <c r="S187" s="30"/>
      <c r="T187" s="30"/>
      <c r="U187" s="30"/>
      <c r="V187" s="60">
        <v>50</v>
      </c>
      <c r="W187" s="186">
        <f t="shared" si="8"/>
        <v>9.9150000000000009</v>
      </c>
      <c r="X187" s="186">
        <f t="shared" si="9"/>
        <v>5.4950000000000001</v>
      </c>
      <c r="Y187" s="186">
        <f t="shared" si="10"/>
        <v>10.215</v>
      </c>
      <c r="Z187" s="186">
        <f t="shared" si="11"/>
        <v>5.7949999999999999</v>
      </c>
    </row>
    <row r="188" spans="1:45">
      <c r="A188" s="69" t="s">
        <v>400</v>
      </c>
      <c r="B188" s="69" t="s">
        <v>401</v>
      </c>
      <c r="C188" s="40"/>
      <c r="D188" s="40"/>
      <c r="E188" s="95" t="s">
        <v>402</v>
      </c>
      <c r="F188" s="95" t="s">
        <v>402</v>
      </c>
      <c r="G188" s="95" t="s">
        <v>402</v>
      </c>
      <c r="H188" s="95" t="s">
        <v>402</v>
      </c>
      <c r="I188" s="95"/>
      <c r="J188" s="95" t="s">
        <v>402</v>
      </c>
      <c r="K188" s="95" t="s">
        <v>402</v>
      </c>
      <c r="L188" s="95"/>
      <c r="M188" s="95" t="s">
        <v>402</v>
      </c>
      <c r="N188" s="95" t="s">
        <v>402</v>
      </c>
      <c r="O188" s="95"/>
      <c r="P188" s="95" t="s">
        <v>402</v>
      </c>
      <c r="Q188" s="95" t="s">
        <v>402</v>
      </c>
      <c r="R188" s="95"/>
      <c r="S188" s="139"/>
      <c r="T188" s="139"/>
      <c r="U188" s="139"/>
      <c r="V188" s="60">
        <v>10</v>
      </c>
      <c r="W188" s="186">
        <f t="shared" si="8"/>
        <v>1.9830000000000001</v>
      </c>
      <c r="X188" s="186">
        <f t="shared" si="9"/>
        <v>1.099</v>
      </c>
      <c r="Y188" s="186">
        <f t="shared" si="10"/>
        <v>2.0430000000000001</v>
      </c>
      <c r="Z188" s="186">
        <f t="shared" si="11"/>
        <v>1.159</v>
      </c>
    </row>
    <row r="189" spans="1:45">
      <c r="A189" s="69" t="s">
        <v>403</v>
      </c>
      <c r="B189" s="69" t="s">
        <v>404</v>
      </c>
      <c r="C189" s="40"/>
      <c r="D189" s="40"/>
      <c r="E189" s="95" t="s">
        <v>405</v>
      </c>
      <c r="F189" s="95" t="s">
        <v>405</v>
      </c>
      <c r="G189" s="95" t="s">
        <v>405</v>
      </c>
      <c r="H189" s="95" t="s">
        <v>405</v>
      </c>
      <c r="I189" s="95"/>
      <c r="J189" s="95" t="s">
        <v>405</v>
      </c>
      <c r="K189" s="95" t="s">
        <v>405</v>
      </c>
      <c r="L189" s="95"/>
      <c r="M189" s="95" t="s">
        <v>405</v>
      </c>
      <c r="N189" s="95" t="s">
        <v>405</v>
      </c>
      <c r="O189" s="95"/>
      <c r="P189" s="95" t="s">
        <v>405</v>
      </c>
      <c r="Q189" s="95" t="s">
        <v>405</v>
      </c>
      <c r="R189" s="95"/>
      <c r="S189" s="139"/>
      <c r="T189" s="139"/>
      <c r="U189" s="139"/>
      <c r="V189" s="60">
        <v>10</v>
      </c>
      <c r="W189" s="186">
        <f t="shared" si="8"/>
        <v>1.9830000000000001</v>
      </c>
      <c r="X189" s="186">
        <f t="shared" si="9"/>
        <v>1.099</v>
      </c>
      <c r="Y189" s="186">
        <f t="shared" si="10"/>
        <v>2.0430000000000001</v>
      </c>
      <c r="Z189" s="186">
        <f t="shared" si="11"/>
        <v>1.159</v>
      </c>
    </row>
    <row r="190" spans="1:45">
      <c r="A190" s="132" t="s">
        <v>292</v>
      </c>
      <c r="B190" s="132" t="s">
        <v>293</v>
      </c>
      <c r="C190" s="107"/>
      <c r="D190" s="107"/>
      <c r="E190" s="230" t="s">
        <v>294</v>
      </c>
      <c r="F190" s="230" t="s">
        <v>294</v>
      </c>
      <c r="G190" s="230" t="s">
        <v>294</v>
      </c>
      <c r="H190" s="230" t="s">
        <v>294</v>
      </c>
      <c r="I190" s="230"/>
      <c r="J190" s="230" t="s">
        <v>294</v>
      </c>
      <c r="K190" s="230" t="s">
        <v>294</v>
      </c>
      <c r="L190" s="230"/>
      <c r="M190" s="230" t="s">
        <v>294</v>
      </c>
      <c r="N190" s="230" t="s">
        <v>294</v>
      </c>
      <c r="O190" s="230"/>
      <c r="P190" s="230" t="s">
        <v>294</v>
      </c>
      <c r="Q190" s="230" t="s">
        <v>294</v>
      </c>
      <c r="R190" s="230"/>
      <c r="S190" s="72"/>
      <c r="T190" s="72"/>
      <c r="U190" s="72"/>
      <c r="V190" s="35">
        <v>158</v>
      </c>
      <c r="W190" s="370">
        <f t="shared" si="8"/>
        <v>31.331400000000002</v>
      </c>
      <c r="X190" s="370">
        <f t="shared" si="9"/>
        <v>17.3642</v>
      </c>
      <c r="Y190" s="370">
        <f t="shared" si="10"/>
        <v>32.279400000000003</v>
      </c>
      <c r="Z190" s="370">
        <f t="shared" si="11"/>
        <v>18.312200000000001</v>
      </c>
    </row>
    <row r="191" spans="1:45">
      <c r="A191" s="132" t="s">
        <v>295</v>
      </c>
      <c r="B191" s="132" t="s">
        <v>296</v>
      </c>
      <c r="C191" s="107"/>
      <c r="D191" s="107"/>
      <c r="E191" s="230" t="s">
        <v>406</v>
      </c>
      <c r="F191" s="230" t="s">
        <v>406</v>
      </c>
      <c r="G191" s="230" t="s">
        <v>406</v>
      </c>
      <c r="H191" s="230" t="s">
        <v>406</v>
      </c>
      <c r="I191" s="230"/>
      <c r="J191" s="230" t="s">
        <v>406</v>
      </c>
      <c r="K191" s="230" t="s">
        <v>406</v>
      </c>
      <c r="L191" s="230"/>
      <c r="M191" s="230" t="s">
        <v>406</v>
      </c>
      <c r="N191" s="230" t="s">
        <v>406</v>
      </c>
      <c r="O191" s="230"/>
      <c r="P191" s="230" t="s">
        <v>406</v>
      </c>
      <c r="Q191" s="230" t="s">
        <v>406</v>
      </c>
      <c r="R191" s="230"/>
      <c r="S191" s="72"/>
      <c r="T191" s="72"/>
      <c r="U191" s="72"/>
      <c r="V191" s="35">
        <v>22</v>
      </c>
      <c r="W191" s="370">
        <f t="shared" si="8"/>
        <v>4.3626000000000005</v>
      </c>
      <c r="X191" s="370">
        <f t="shared" si="9"/>
        <v>2.4177999999999997</v>
      </c>
      <c r="Y191" s="370">
        <f t="shared" si="10"/>
        <v>4.4946000000000002</v>
      </c>
      <c r="Z191" s="370">
        <f t="shared" si="11"/>
        <v>2.5498000000000003</v>
      </c>
    </row>
    <row r="192" spans="1:45" s="237" customFormat="1" ht="27.6">
      <c r="A192" s="132" t="s">
        <v>299</v>
      </c>
      <c r="B192" s="99" t="s">
        <v>300</v>
      </c>
      <c r="C192" s="107"/>
      <c r="D192" s="107"/>
      <c r="E192" s="230" t="s">
        <v>407</v>
      </c>
      <c r="F192" s="230" t="s">
        <v>407</v>
      </c>
      <c r="G192" s="230" t="s">
        <v>407</v>
      </c>
      <c r="H192" s="230" t="s">
        <v>407</v>
      </c>
      <c r="I192" s="230"/>
      <c r="J192" s="230" t="s">
        <v>407</v>
      </c>
      <c r="K192" s="230" t="s">
        <v>407</v>
      </c>
      <c r="L192" s="230"/>
      <c r="M192" s="230" t="s">
        <v>407</v>
      </c>
      <c r="N192" s="230" t="s">
        <v>407</v>
      </c>
      <c r="O192" s="230"/>
      <c r="P192" s="230" t="s">
        <v>407</v>
      </c>
      <c r="Q192" s="230" t="s">
        <v>407</v>
      </c>
      <c r="R192" s="230"/>
      <c r="S192" s="72"/>
      <c r="T192" s="72"/>
      <c r="U192" s="72"/>
      <c r="V192" s="35">
        <v>52</v>
      </c>
      <c r="W192" s="370">
        <f t="shared" si="8"/>
        <v>10.3116</v>
      </c>
      <c r="X192" s="370">
        <f t="shared" si="9"/>
        <v>5.7148000000000003</v>
      </c>
      <c r="Y192" s="370">
        <f t="shared" si="10"/>
        <v>10.6236</v>
      </c>
      <c r="Z192" s="370">
        <f t="shared" si="11"/>
        <v>6.0267999999999997</v>
      </c>
      <c r="AA192" s="169"/>
      <c r="AB192" s="169"/>
      <c r="AC192" s="169"/>
      <c r="AD192" s="169"/>
      <c r="AE192" s="169"/>
      <c r="AF192" s="169"/>
      <c r="AG192" s="169"/>
      <c r="AH192" s="169"/>
      <c r="AI192" s="169"/>
      <c r="AJ192" s="169"/>
      <c r="AK192" s="169"/>
      <c r="AL192" s="169"/>
      <c r="AM192" s="169"/>
      <c r="AN192" s="169"/>
      <c r="AO192" s="169"/>
      <c r="AP192" s="169"/>
      <c r="AQ192" s="169"/>
      <c r="AR192" s="169"/>
      <c r="AS192" s="169"/>
    </row>
    <row r="193" spans="1:45" s="237" customFormat="1">
      <c r="A193" s="235"/>
      <c r="B193" s="140"/>
      <c r="C193" s="134"/>
      <c r="D193" s="134"/>
      <c r="E193" s="45"/>
      <c r="F193" s="45"/>
      <c r="G193" s="45"/>
      <c r="H193" s="45"/>
      <c r="I193" s="45"/>
      <c r="J193" s="45"/>
      <c r="K193" s="45"/>
      <c r="L193" s="45"/>
      <c r="M193" s="45"/>
      <c r="N193" s="45"/>
      <c r="O193" s="45"/>
      <c r="P193" s="45"/>
      <c r="Q193" s="45"/>
      <c r="R193" s="45"/>
      <c r="S193" s="45"/>
      <c r="T193" s="45"/>
      <c r="U193" s="45"/>
      <c r="V193" s="181"/>
      <c r="W193" s="181"/>
      <c r="X193" s="181"/>
      <c r="Y193" s="181"/>
      <c r="Z193" s="181"/>
      <c r="AA193" s="169"/>
      <c r="AB193" s="169"/>
      <c r="AC193" s="169"/>
      <c r="AD193" s="169"/>
      <c r="AE193" s="169"/>
      <c r="AF193" s="169"/>
      <c r="AG193" s="169"/>
      <c r="AH193" s="169"/>
      <c r="AI193" s="169"/>
      <c r="AJ193" s="169"/>
      <c r="AK193" s="169"/>
      <c r="AL193" s="169"/>
      <c r="AM193" s="169"/>
      <c r="AN193" s="169"/>
      <c r="AO193" s="169"/>
      <c r="AP193" s="169"/>
      <c r="AQ193" s="169"/>
      <c r="AR193" s="169"/>
      <c r="AS193" s="169"/>
    </row>
    <row r="194" spans="1:45" s="237" customFormat="1">
      <c r="A194" s="39" t="s">
        <v>408</v>
      </c>
      <c r="B194" s="39"/>
      <c r="C194" s="39"/>
      <c r="D194" s="39"/>
      <c r="E194" s="39"/>
      <c r="F194" s="39"/>
      <c r="G194" s="39"/>
      <c r="H194" s="39"/>
      <c r="I194" s="39"/>
      <c r="J194" s="39"/>
      <c r="K194" s="39"/>
      <c r="L194" s="39"/>
      <c r="M194" s="39"/>
      <c r="N194" s="39"/>
      <c r="O194" s="39"/>
      <c r="P194" s="39"/>
      <c r="Q194" s="39"/>
      <c r="R194" s="39"/>
      <c r="S194" s="39"/>
      <c r="T194" s="39"/>
      <c r="U194" s="39"/>
      <c r="V194" s="187"/>
      <c r="W194" s="187"/>
      <c r="X194" s="187"/>
      <c r="Y194" s="187"/>
      <c r="Z194" s="187"/>
      <c r="AA194" s="169"/>
      <c r="AB194" s="169"/>
      <c r="AC194" s="169"/>
      <c r="AD194" s="169"/>
      <c r="AE194" s="169"/>
      <c r="AF194" s="169"/>
      <c r="AG194" s="169"/>
      <c r="AH194" s="169"/>
      <c r="AI194" s="169"/>
      <c r="AJ194" s="169"/>
      <c r="AK194" s="169"/>
      <c r="AL194" s="169"/>
      <c r="AM194" s="169"/>
      <c r="AN194" s="169"/>
      <c r="AO194" s="169"/>
      <c r="AP194" s="169"/>
      <c r="AQ194" s="169"/>
      <c r="AR194" s="169"/>
      <c r="AS194" s="169"/>
    </row>
    <row r="195" spans="1:45" s="10" customFormat="1" ht="82.8">
      <c r="A195" s="159" t="s">
        <v>141</v>
      </c>
      <c r="B195" s="159" t="s">
        <v>142</v>
      </c>
      <c r="C195" s="159" t="s">
        <v>143</v>
      </c>
      <c r="D195" s="159" t="s">
        <v>144</v>
      </c>
      <c r="E195" s="159"/>
      <c r="F195" s="159"/>
      <c r="G195" s="159"/>
      <c r="H195" s="159"/>
      <c r="I195" s="159"/>
      <c r="J195" s="159"/>
      <c r="K195" s="159"/>
      <c r="L195" s="159"/>
      <c r="M195" s="159"/>
      <c r="N195" s="159"/>
      <c r="O195" s="159"/>
      <c r="P195" s="159"/>
      <c r="Q195" s="159"/>
      <c r="R195" s="159"/>
      <c r="S195" s="159"/>
      <c r="T195" s="159"/>
      <c r="U195" s="159"/>
      <c r="V195" s="145" t="s">
        <v>145</v>
      </c>
      <c r="W195" s="371"/>
      <c r="X195" s="371"/>
      <c r="Y195" s="371"/>
      <c r="Z195" s="371"/>
      <c r="AA195" s="9"/>
      <c r="AB195" s="9"/>
      <c r="AC195" s="9"/>
      <c r="AD195" s="9"/>
      <c r="AE195" s="9"/>
      <c r="AF195" s="9"/>
      <c r="AG195" s="9"/>
      <c r="AH195" s="9"/>
      <c r="AI195" s="9"/>
      <c r="AJ195" s="9"/>
      <c r="AK195" s="9"/>
      <c r="AL195" s="9"/>
      <c r="AM195" s="9"/>
      <c r="AN195" s="9"/>
      <c r="AO195" s="9"/>
      <c r="AP195" s="9"/>
      <c r="AQ195" s="9"/>
      <c r="AR195" s="9"/>
      <c r="AS195" s="9"/>
    </row>
    <row r="196" spans="1:45">
      <c r="A196" s="144"/>
      <c r="B196" s="52"/>
      <c r="C196" s="150"/>
      <c r="D196" s="150"/>
      <c r="E196" s="104"/>
      <c r="F196" s="104"/>
      <c r="G196" s="104"/>
      <c r="H196" s="104"/>
      <c r="I196" s="104"/>
      <c r="J196" s="104"/>
      <c r="K196" s="104"/>
      <c r="L196" s="104"/>
      <c r="M196" s="104"/>
      <c r="N196" s="104"/>
      <c r="O196" s="104"/>
      <c r="P196" s="104"/>
      <c r="Q196" s="104"/>
      <c r="R196" s="104"/>
      <c r="S196" s="104"/>
      <c r="T196" s="104"/>
      <c r="U196" s="104"/>
      <c r="V196" s="181"/>
      <c r="W196" s="181"/>
      <c r="X196" s="181"/>
      <c r="Y196" s="181"/>
      <c r="Z196" s="181"/>
    </row>
    <row r="197" spans="1:45" ht="189.6" customHeight="1">
      <c r="A197" s="52" t="s">
        <v>409</v>
      </c>
      <c r="B197" s="52" t="s">
        <v>410</v>
      </c>
      <c r="C197" s="150"/>
      <c r="D197" s="150"/>
      <c r="E197" s="104"/>
      <c r="F197" s="104"/>
      <c r="G197" s="104"/>
      <c r="H197" s="104"/>
      <c r="I197" s="104"/>
      <c r="J197" s="104"/>
      <c r="K197" s="104"/>
      <c r="L197" s="104"/>
      <c r="M197" s="104"/>
      <c r="N197" s="104"/>
      <c r="O197" s="104"/>
      <c r="P197" s="104"/>
      <c r="Q197" s="104"/>
      <c r="R197" s="104"/>
      <c r="S197" s="104"/>
      <c r="T197" s="104"/>
      <c r="U197" s="104"/>
      <c r="V197" s="228">
        <v>562</v>
      </c>
      <c r="W197" s="366">
        <f t="shared" si="8"/>
        <v>111.44460000000001</v>
      </c>
      <c r="X197" s="366">
        <f t="shared" si="9"/>
        <v>61.763799999999996</v>
      </c>
      <c r="Y197" s="366">
        <f t="shared" si="10"/>
        <v>114.81660000000001</v>
      </c>
      <c r="Z197" s="366">
        <f t="shared" si="11"/>
        <v>65.135800000000003</v>
      </c>
      <c r="AA197" s="171"/>
      <c r="AB197" s="171"/>
      <c r="AC197" s="171"/>
      <c r="AD197" s="171"/>
      <c r="AE197" s="171"/>
      <c r="AF197" s="171"/>
      <c r="AG197" s="171"/>
      <c r="AH197" s="171"/>
      <c r="AI197" s="171"/>
      <c r="AJ197" s="171"/>
      <c r="AK197" s="171"/>
      <c r="AL197" s="171"/>
      <c r="AM197" s="171"/>
      <c r="AN197" s="171"/>
      <c r="AO197" s="171"/>
      <c r="AP197" s="171"/>
      <c r="AQ197" s="171"/>
      <c r="AR197" s="171"/>
      <c r="AS197" s="171"/>
    </row>
    <row r="198" spans="1:45" ht="17.100000000000001" customHeight="1">
      <c r="A198" s="71"/>
      <c r="B198" s="52"/>
      <c r="C198" s="150"/>
      <c r="D198" s="150"/>
      <c r="E198" s="104"/>
      <c r="F198" s="104"/>
      <c r="G198" s="104"/>
      <c r="H198" s="104"/>
      <c r="I198" s="104"/>
      <c r="J198" s="104"/>
      <c r="K198" s="104"/>
      <c r="L198" s="104"/>
      <c r="M198" s="104"/>
      <c r="N198" s="104"/>
      <c r="O198" s="104"/>
      <c r="P198" s="104"/>
      <c r="Q198" s="104"/>
      <c r="R198" s="104"/>
      <c r="S198" s="104"/>
      <c r="T198" s="104"/>
      <c r="U198" s="104"/>
      <c r="V198" s="228"/>
      <c r="W198" s="366"/>
      <c r="X198" s="366"/>
      <c r="Y198" s="366"/>
      <c r="Z198" s="366"/>
      <c r="AA198" s="171"/>
      <c r="AB198" s="171"/>
      <c r="AC198" s="171"/>
      <c r="AD198" s="171"/>
      <c r="AE198" s="171"/>
      <c r="AF198" s="171"/>
      <c r="AG198" s="171"/>
      <c r="AH198" s="171"/>
      <c r="AI198" s="171"/>
      <c r="AJ198" s="171"/>
      <c r="AK198" s="171"/>
      <c r="AL198" s="171"/>
      <c r="AM198" s="171"/>
      <c r="AN198" s="171"/>
      <c r="AO198" s="171"/>
      <c r="AP198" s="171"/>
      <c r="AQ198" s="171"/>
      <c r="AR198" s="171"/>
      <c r="AS198" s="171"/>
    </row>
    <row r="199" spans="1:45" ht="168" customHeight="1">
      <c r="A199" s="69" t="s">
        <v>411</v>
      </c>
      <c r="B199" s="52" t="s">
        <v>412</v>
      </c>
      <c r="C199" s="150"/>
      <c r="D199" s="150"/>
      <c r="E199" s="104"/>
      <c r="F199" s="104"/>
      <c r="G199" s="104"/>
      <c r="H199" s="104"/>
      <c r="I199" s="104"/>
      <c r="J199" s="104"/>
      <c r="K199" s="104"/>
      <c r="L199" s="104"/>
      <c r="M199" s="104"/>
      <c r="N199" s="104"/>
      <c r="O199" s="104"/>
      <c r="P199" s="104"/>
      <c r="Q199" s="104"/>
      <c r="R199" s="104"/>
      <c r="S199" s="104"/>
      <c r="T199" s="104"/>
      <c r="U199" s="104"/>
      <c r="V199" s="228">
        <v>544</v>
      </c>
      <c r="W199" s="366">
        <f t="shared" si="8"/>
        <v>107.87520000000001</v>
      </c>
      <c r="X199" s="366">
        <f t="shared" si="9"/>
        <v>59.785600000000002</v>
      </c>
      <c r="Y199" s="366">
        <f t="shared" si="10"/>
        <v>111.1392</v>
      </c>
      <c r="Z199" s="366">
        <f t="shared" si="11"/>
        <v>63.049599999999998</v>
      </c>
      <c r="AA199" s="171"/>
      <c r="AB199" s="171"/>
      <c r="AC199" s="171"/>
      <c r="AD199" s="171"/>
      <c r="AE199" s="171"/>
      <c r="AF199" s="171"/>
      <c r="AG199" s="171"/>
      <c r="AH199" s="171"/>
      <c r="AI199" s="171"/>
      <c r="AJ199" s="171"/>
      <c r="AK199" s="171"/>
      <c r="AL199" s="171"/>
      <c r="AM199" s="171"/>
      <c r="AN199" s="171"/>
      <c r="AO199" s="171"/>
      <c r="AP199" s="171"/>
      <c r="AQ199" s="171"/>
      <c r="AR199" s="171"/>
      <c r="AS199" s="171"/>
    </row>
    <row r="200" spans="1:45" ht="15.6" customHeight="1">
      <c r="A200" s="71"/>
      <c r="B200" s="71"/>
      <c r="C200" s="150"/>
      <c r="D200" s="150"/>
      <c r="E200" s="104"/>
      <c r="F200" s="104"/>
      <c r="G200" s="104"/>
      <c r="H200" s="104"/>
      <c r="I200" s="104"/>
      <c r="J200" s="104"/>
      <c r="K200" s="104"/>
      <c r="L200" s="104"/>
      <c r="M200" s="104"/>
      <c r="N200" s="104"/>
      <c r="O200" s="104"/>
      <c r="P200" s="104"/>
      <c r="Q200" s="104"/>
      <c r="R200" s="104"/>
      <c r="S200" s="104"/>
      <c r="T200" s="104"/>
      <c r="U200" s="104"/>
      <c r="V200" s="228"/>
      <c r="W200" s="366"/>
      <c r="X200" s="366"/>
      <c r="Y200" s="366"/>
      <c r="Z200" s="366"/>
      <c r="AA200" s="171"/>
      <c r="AB200" s="171"/>
      <c r="AC200" s="171"/>
      <c r="AD200" s="171"/>
      <c r="AE200" s="171"/>
      <c r="AF200" s="171"/>
      <c r="AG200" s="171"/>
      <c r="AH200" s="171"/>
      <c r="AI200" s="171"/>
      <c r="AJ200" s="171"/>
      <c r="AK200" s="171"/>
      <c r="AL200" s="171"/>
      <c r="AM200" s="171"/>
      <c r="AN200" s="171"/>
      <c r="AO200" s="171"/>
      <c r="AP200" s="171"/>
      <c r="AQ200" s="171"/>
      <c r="AR200" s="171"/>
      <c r="AS200" s="171"/>
    </row>
    <row r="201" spans="1:45" ht="169.5" customHeight="1">
      <c r="A201" s="69" t="s">
        <v>1686</v>
      </c>
      <c r="B201" s="52" t="s">
        <v>413</v>
      </c>
      <c r="C201" s="150"/>
      <c r="D201" s="150"/>
      <c r="E201" s="104"/>
      <c r="F201" s="104"/>
      <c r="G201" s="104"/>
      <c r="H201" s="104"/>
      <c r="I201" s="104"/>
      <c r="J201" s="104"/>
      <c r="K201" s="104"/>
      <c r="L201" s="104"/>
      <c r="M201" s="104"/>
      <c r="N201" s="104"/>
      <c r="O201" s="104"/>
      <c r="P201" s="104"/>
      <c r="Q201" s="104"/>
      <c r="R201" s="104"/>
      <c r="S201" s="104"/>
      <c r="T201" s="104"/>
      <c r="U201" s="104"/>
      <c r="V201" s="23">
        <v>615</v>
      </c>
      <c r="W201" s="368">
        <f t="shared" si="8"/>
        <v>121.9545</v>
      </c>
      <c r="X201" s="368">
        <f t="shared" si="9"/>
        <v>67.588499999999996</v>
      </c>
      <c r="Y201" s="368">
        <f t="shared" si="10"/>
        <v>125.64450000000001</v>
      </c>
      <c r="Z201" s="368">
        <f t="shared" si="11"/>
        <v>71.278500000000008</v>
      </c>
      <c r="AA201" s="171"/>
      <c r="AB201" s="171"/>
      <c r="AC201" s="171"/>
      <c r="AD201" s="171"/>
      <c r="AE201" s="171"/>
      <c r="AF201" s="171"/>
      <c r="AG201" s="171"/>
      <c r="AH201" s="171"/>
      <c r="AI201" s="171"/>
      <c r="AJ201" s="171"/>
      <c r="AK201" s="171"/>
      <c r="AL201" s="171"/>
      <c r="AM201" s="171"/>
      <c r="AN201" s="171"/>
      <c r="AO201" s="171"/>
      <c r="AP201" s="171"/>
      <c r="AQ201" s="171"/>
      <c r="AR201" s="171"/>
      <c r="AS201" s="171"/>
    </row>
    <row r="202" spans="1:45">
      <c r="A202" s="71"/>
      <c r="B202" s="52"/>
      <c r="C202" s="150"/>
      <c r="D202" s="150"/>
      <c r="E202" s="104"/>
      <c r="F202" s="104"/>
      <c r="G202" s="104"/>
      <c r="H202" s="104"/>
      <c r="I202" s="104"/>
      <c r="J202" s="104"/>
      <c r="K202" s="104"/>
      <c r="L202" s="104"/>
      <c r="M202" s="104"/>
      <c r="N202" s="104"/>
      <c r="O202" s="104"/>
      <c r="P202" s="104"/>
      <c r="Q202" s="104"/>
      <c r="R202" s="104"/>
      <c r="S202" s="104"/>
      <c r="T202" s="104"/>
      <c r="U202" s="104"/>
      <c r="V202" s="181"/>
      <c r="W202" s="181"/>
      <c r="X202" s="181"/>
      <c r="Y202" s="181"/>
      <c r="Z202" s="181"/>
      <c r="AA202" s="171"/>
      <c r="AB202" s="171"/>
      <c r="AC202" s="171"/>
      <c r="AD202" s="171"/>
      <c r="AE202" s="171"/>
      <c r="AF202" s="171"/>
      <c r="AG202" s="171"/>
      <c r="AH202" s="171"/>
      <c r="AI202" s="171"/>
      <c r="AJ202" s="171"/>
      <c r="AK202" s="171"/>
      <c r="AL202" s="171"/>
      <c r="AM202" s="171"/>
      <c r="AN202" s="171"/>
      <c r="AO202" s="171"/>
      <c r="AP202" s="171"/>
      <c r="AQ202" s="171"/>
      <c r="AR202" s="171"/>
      <c r="AS202" s="171"/>
    </row>
    <row r="203" spans="1:45" ht="151.80000000000001">
      <c r="A203" s="71" t="s">
        <v>414</v>
      </c>
      <c r="B203" s="52" t="s">
        <v>415</v>
      </c>
      <c r="C203" s="150"/>
      <c r="D203" s="150"/>
      <c r="E203" s="104"/>
      <c r="F203" s="104"/>
      <c r="G203" s="104"/>
      <c r="H203" s="104"/>
      <c r="I203" s="104"/>
      <c r="J203" s="104"/>
      <c r="K203" s="104"/>
      <c r="L203" s="104"/>
      <c r="M203" s="104"/>
      <c r="N203" s="104"/>
      <c r="O203" s="104"/>
      <c r="P203" s="104"/>
      <c r="Q203" s="104"/>
      <c r="R203" s="104"/>
      <c r="S203" s="104"/>
      <c r="T203" s="104"/>
      <c r="U203" s="104"/>
      <c r="V203" s="228">
        <v>562</v>
      </c>
      <c r="W203" s="366">
        <f t="shared" si="8"/>
        <v>111.44460000000001</v>
      </c>
      <c r="X203" s="366">
        <f t="shared" si="9"/>
        <v>61.763799999999996</v>
      </c>
      <c r="Y203" s="366">
        <f t="shared" si="10"/>
        <v>114.81660000000001</v>
      </c>
      <c r="Z203" s="366">
        <f t="shared" si="11"/>
        <v>65.135800000000003</v>
      </c>
      <c r="AA203" s="171"/>
      <c r="AB203" s="171"/>
      <c r="AC203" s="171"/>
      <c r="AD203" s="171"/>
      <c r="AE203" s="171"/>
      <c r="AF203" s="171"/>
      <c r="AG203" s="171"/>
      <c r="AH203" s="171"/>
      <c r="AI203" s="171"/>
      <c r="AJ203" s="171"/>
      <c r="AK203" s="171"/>
      <c r="AL203" s="171"/>
      <c r="AM203" s="171"/>
      <c r="AN203" s="171"/>
      <c r="AO203" s="171"/>
      <c r="AP203" s="171"/>
      <c r="AQ203" s="171"/>
      <c r="AR203" s="171"/>
      <c r="AS203" s="171"/>
    </row>
    <row r="204" spans="1:45" ht="16.2" customHeight="1">
      <c r="A204" s="71"/>
      <c r="B204" s="71"/>
      <c r="C204" s="150"/>
      <c r="D204" s="150"/>
      <c r="E204" s="104"/>
      <c r="F204" s="104"/>
      <c r="G204" s="104"/>
      <c r="H204" s="104"/>
      <c r="I204" s="104"/>
      <c r="J204" s="104"/>
      <c r="K204" s="104"/>
      <c r="L204" s="104"/>
      <c r="M204" s="104"/>
      <c r="N204" s="104"/>
      <c r="O204" s="104"/>
      <c r="P204" s="104"/>
      <c r="Q204" s="104"/>
      <c r="R204" s="104"/>
      <c r="S204" s="104"/>
      <c r="T204" s="104"/>
      <c r="U204" s="104"/>
      <c r="V204" s="228"/>
      <c r="W204" s="366"/>
      <c r="X204" s="366"/>
      <c r="Y204" s="366"/>
      <c r="Z204" s="366"/>
      <c r="AA204" s="171"/>
      <c r="AB204" s="171"/>
      <c r="AC204" s="171"/>
      <c r="AD204" s="171"/>
      <c r="AE204" s="171"/>
      <c r="AF204" s="171"/>
      <c r="AG204" s="171"/>
      <c r="AH204" s="171"/>
      <c r="AI204" s="171"/>
      <c r="AJ204" s="171"/>
      <c r="AK204" s="171"/>
      <c r="AL204" s="171"/>
      <c r="AM204" s="171"/>
      <c r="AN204" s="171"/>
      <c r="AO204" s="171"/>
      <c r="AP204" s="171"/>
      <c r="AQ204" s="171"/>
      <c r="AR204" s="171"/>
      <c r="AS204" s="171"/>
    </row>
    <row r="205" spans="1:45" ht="151.80000000000001">
      <c r="A205" s="71" t="s">
        <v>1682</v>
      </c>
      <c r="B205" s="52" t="s">
        <v>416</v>
      </c>
      <c r="C205" s="150"/>
      <c r="D205" s="150"/>
      <c r="E205" s="104"/>
      <c r="F205" s="104"/>
      <c r="G205" s="104"/>
      <c r="H205" s="104"/>
      <c r="I205" s="104"/>
      <c r="J205" s="104"/>
      <c r="K205" s="104"/>
      <c r="L205" s="104"/>
      <c r="M205" s="104"/>
      <c r="N205" s="104"/>
      <c r="O205" s="104"/>
      <c r="P205" s="104"/>
      <c r="Q205" s="104"/>
      <c r="R205" s="104"/>
      <c r="S205" s="104"/>
      <c r="T205" s="104"/>
      <c r="U205" s="104"/>
      <c r="V205" s="23">
        <v>622</v>
      </c>
      <c r="W205" s="368">
        <f t="shared" ref="W205:W265" si="12">V205*$W$9</f>
        <v>123.3426</v>
      </c>
      <c r="X205" s="368">
        <f t="shared" ref="X205:X265" si="13">V205*$X$9</f>
        <v>68.357799999999997</v>
      </c>
      <c r="Y205" s="368">
        <f t="shared" ref="Y205:Y265" si="14">V205*$Y$9</f>
        <v>127.0746</v>
      </c>
      <c r="Z205" s="368">
        <f t="shared" ref="Z205:Z265" si="15">V205*$Z$9</f>
        <v>72.089799999999997</v>
      </c>
      <c r="AA205" s="171"/>
      <c r="AB205" s="171"/>
      <c r="AC205" s="171"/>
      <c r="AD205" s="171"/>
      <c r="AE205" s="171"/>
      <c r="AF205" s="171"/>
      <c r="AG205" s="171"/>
      <c r="AH205" s="171"/>
      <c r="AI205" s="171"/>
      <c r="AJ205" s="171"/>
      <c r="AK205" s="171"/>
      <c r="AL205" s="171"/>
      <c r="AM205" s="171"/>
      <c r="AN205" s="171"/>
      <c r="AO205" s="171"/>
      <c r="AP205" s="171"/>
      <c r="AQ205" s="171"/>
      <c r="AR205" s="171"/>
      <c r="AS205" s="171"/>
    </row>
    <row r="206" spans="1:45">
      <c r="A206" s="71"/>
      <c r="B206" s="52"/>
      <c r="C206" s="150"/>
      <c r="D206" s="150"/>
      <c r="E206" s="104"/>
      <c r="F206" s="104"/>
      <c r="G206" s="104"/>
      <c r="H206" s="104"/>
      <c r="I206" s="104"/>
      <c r="J206" s="104"/>
      <c r="K206" s="104"/>
      <c r="L206" s="104"/>
      <c r="M206" s="104"/>
      <c r="N206" s="104"/>
      <c r="O206" s="104"/>
      <c r="P206" s="104"/>
      <c r="Q206" s="104"/>
      <c r="R206" s="104"/>
      <c r="S206" s="104"/>
      <c r="T206" s="104"/>
      <c r="U206" s="104"/>
      <c r="V206" s="228"/>
      <c r="W206" s="366"/>
      <c r="X206" s="366"/>
      <c r="Y206" s="366"/>
      <c r="Z206" s="366"/>
      <c r="AA206" s="171"/>
      <c r="AB206" s="171"/>
      <c r="AC206" s="171"/>
      <c r="AD206" s="171"/>
      <c r="AE206" s="171"/>
      <c r="AF206" s="171"/>
      <c r="AG206" s="171"/>
      <c r="AH206" s="171"/>
      <c r="AI206" s="171"/>
      <c r="AJ206" s="171"/>
      <c r="AK206" s="171"/>
      <c r="AL206" s="171"/>
      <c r="AM206" s="171"/>
      <c r="AN206" s="171"/>
      <c r="AO206" s="171"/>
      <c r="AP206" s="171"/>
      <c r="AQ206" s="171"/>
      <c r="AR206" s="171"/>
      <c r="AS206" s="171"/>
    </row>
    <row r="207" spans="1:45" ht="151.80000000000001">
      <c r="A207" s="71" t="s">
        <v>1994</v>
      </c>
      <c r="B207" s="52" t="s">
        <v>417</v>
      </c>
      <c r="C207" s="150"/>
      <c r="D207" s="150"/>
      <c r="E207" s="104"/>
      <c r="F207" s="104"/>
      <c r="G207" s="104"/>
      <c r="H207" s="104"/>
      <c r="I207" s="104"/>
      <c r="J207" s="104"/>
      <c r="K207" s="104"/>
      <c r="L207" s="104"/>
      <c r="M207" s="104"/>
      <c r="N207" s="104"/>
      <c r="O207" s="104"/>
      <c r="P207" s="104"/>
      <c r="Q207" s="104"/>
      <c r="R207" s="104"/>
      <c r="S207" s="104"/>
      <c r="T207" s="104"/>
      <c r="U207" s="104"/>
      <c r="V207" s="228">
        <v>544</v>
      </c>
      <c r="W207" s="366">
        <f t="shared" si="12"/>
        <v>107.87520000000001</v>
      </c>
      <c r="X207" s="366">
        <f t="shared" si="13"/>
        <v>59.785600000000002</v>
      </c>
      <c r="Y207" s="366">
        <f t="shared" si="14"/>
        <v>111.1392</v>
      </c>
      <c r="Z207" s="366">
        <f t="shared" si="15"/>
        <v>63.049599999999998</v>
      </c>
      <c r="AA207" s="171"/>
      <c r="AB207" s="171"/>
      <c r="AC207" s="171"/>
      <c r="AD207" s="171"/>
      <c r="AE207" s="171"/>
      <c r="AF207" s="171"/>
      <c r="AG207" s="171"/>
      <c r="AH207" s="171"/>
      <c r="AI207" s="171"/>
      <c r="AJ207" s="171"/>
      <c r="AK207" s="171"/>
      <c r="AL207" s="171"/>
      <c r="AM207" s="171"/>
      <c r="AN207" s="171"/>
      <c r="AO207" s="171"/>
      <c r="AP207" s="171"/>
      <c r="AQ207" s="171"/>
      <c r="AR207" s="171"/>
      <c r="AS207" s="171"/>
    </row>
    <row r="208" spans="1:45" ht="21.6" customHeight="1">
      <c r="A208" s="71"/>
      <c r="B208" s="71"/>
      <c r="C208" s="150"/>
      <c r="D208" s="150"/>
      <c r="E208" s="104"/>
      <c r="F208" s="104"/>
      <c r="G208" s="104"/>
      <c r="H208" s="104"/>
      <c r="I208" s="104"/>
      <c r="J208" s="104"/>
      <c r="K208" s="104"/>
      <c r="L208" s="104"/>
      <c r="M208" s="104"/>
      <c r="N208" s="104"/>
      <c r="O208" s="104"/>
      <c r="P208" s="104"/>
      <c r="Q208" s="104"/>
      <c r="R208" s="104"/>
      <c r="S208" s="104"/>
      <c r="T208" s="104"/>
      <c r="U208" s="104"/>
      <c r="V208" s="228"/>
      <c r="W208" s="366"/>
      <c r="X208" s="366"/>
      <c r="Y208" s="366"/>
      <c r="Z208" s="366"/>
      <c r="AA208" s="171"/>
      <c r="AB208" s="171"/>
      <c r="AC208" s="171"/>
      <c r="AD208" s="171"/>
      <c r="AE208" s="171"/>
      <c r="AF208" s="171"/>
      <c r="AG208" s="171"/>
      <c r="AH208" s="171"/>
      <c r="AI208" s="171"/>
      <c r="AJ208" s="171"/>
      <c r="AK208" s="171"/>
      <c r="AL208" s="171"/>
      <c r="AM208" s="171"/>
      <c r="AN208" s="171"/>
      <c r="AO208" s="171"/>
      <c r="AP208" s="171"/>
      <c r="AQ208" s="171"/>
      <c r="AR208" s="171"/>
      <c r="AS208" s="171"/>
    </row>
    <row r="209" spans="1:45" ht="151.80000000000001">
      <c r="A209" s="71" t="s">
        <v>1687</v>
      </c>
      <c r="B209" s="52" t="s">
        <v>418</v>
      </c>
      <c r="C209" s="150"/>
      <c r="D209" s="150"/>
      <c r="E209" s="104"/>
      <c r="F209" s="104"/>
      <c r="G209" s="104"/>
      <c r="H209" s="104"/>
      <c r="I209" s="104"/>
      <c r="J209" s="104"/>
      <c r="K209" s="104"/>
      <c r="L209" s="104"/>
      <c r="M209" s="104"/>
      <c r="N209" s="104"/>
      <c r="O209" s="104"/>
      <c r="P209" s="104"/>
      <c r="Q209" s="104"/>
      <c r="R209" s="104"/>
      <c r="S209" s="104"/>
      <c r="T209" s="104"/>
      <c r="U209" s="104"/>
      <c r="V209" s="23">
        <v>615</v>
      </c>
      <c r="W209" s="368">
        <f t="shared" si="12"/>
        <v>121.9545</v>
      </c>
      <c r="X209" s="368">
        <f t="shared" si="13"/>
        <v>67.588499999999996</v>
      </c>
      <c r="Y209" s="368">
        <f t="shared" si="14"/>
        <v>125.64450000000001</v>
      </c>
      <c r="Z209" s="368">
        <f t="shared" si="15"/>
        <v>71.278500000000008</v>
      </c>
      <c r="AA209" s="171"/>
      <c r="AB209" s="171"/>
      <c r="AC209" s="171"/>
      <c r="AD209" s="171"/>
      <c r="AE209" s="171"/>
      <c r="AF209" s="171"/>
      <c r="AG209" s="171"/>
      <c r="AH209" s="171"/>
      <c r="AI209" s="171"/>
      <c r="AJ209" s="171"/>
      <c r="AK209" s="171"/>
      <c r="AL209" s="171"/>
      <c r="AM209" s="171"/>
      <c r="AN209" s="171"/>
      <c r="AO209" s="171"/>
      <c r="AP209" s="171"/>
      <c r="AQ209" s="171"/>
      <c r="AR209" s="171"/>
      <c r="AS209" s="171"/>
    </row>
    <row r="210" spans="1:45">
      <c r="A210" s="71"/>
      <c r="B210" s="52"/>
      <c r="C210" s="150"/>
      <c r="D210" s="150"/>
      <c r="E210" s="104"/>
      <c r="F210" s="104"/>
      <c r="G210" s="104"/>
      <c r="H210" s="104"/>
      <c r="I210" s="104"/>
      <c r="J210" s="104"/>
      <c r="K210" s="104"/>
      <c r="L210" s="104"/>
      <c r="M210" s="104"/>
      <c r="N210" s="104"/>
      <c r="O210" s="104"/>
      <c r="P210" s="104"/>
      <c r="Q210" s="104"/>
      <c r="R210" s="104"/>
      <c r="S210" s="104"/>
      <c r="T210" s="104"/>
      <c r="U210" s="104"/>
      <c r="V210" s="181"/>
      <c r="W210" s="181"/>
      <c r="X210" s="181"/>
      <c r="Y210" s="181"/>
      <c r="Z210" s="181"/>
      <c r="AA210" s="171"/>
      <c r="AB210" s="171"/>
      <c r="AC210" s="171"/>
      <c r="AD210" s="171"/>
      <c r="AE210" s="171"/>
      <c r="AF210" s="171"/>
      <c r="AG210" s="171"/>
      <c r="AH210" s="171"/>
      <c r="AI210" s="171"/>
      <c r="AJ210" s="171"/>
      <c r="AK210" s="171"/>
      <c r="AL210" s="171"/>
      <c r="AM210" s="171"/>
      <c r="AN210" s="171"/>
      <c r="AO210" s="171"/>
      <c r="AP210" s="171"/>
      <c r="AQ210" s="171"/>
      <c r="AR210" s="171"/>
      <c r="AS210" s="171"/>
    </row>
    <row r="211" spans="1:45" ht="151.80000000000001">
      <c r="A211" s="71" t="s">
        <v>1683</v>
      </c>
      <c r="B211" s="52" t="s">
        <v>419</v>
      </c>
      <c r="C211" s="150"/>
      <c r="D211" s="150"/>
      <c r="E211" s="104"/>
      <c r="F211" s="104"/>
      <c r="G211" s="104"/>
      <c r="H211" s="104"/>
      <c r="I211" s="104"/>
      <c r="J211" s="104"/>
      <c r="K211" s="104"/>
      <c r="L211" s="104"/>
      <c r="M211" s="104"/>
      <c r="N211" s="104"/>
      <c r="O211" s="104"/>
      <c r="P211" s="104"/>
      <c r="Q211" s="104"/>
      <c r="R211" s="104"/>
      <c r="S211" s="104"/>
      <c r="T211" s="104"/>
      <c r="U211" s="104"/>
      <c r="V211" s="228">
        <v>570</v>
      </c>
      <c r="W211" s="366">
        <f t="shared" si="12"/>
        <v>113.03100000000001</v>
      </c>
      <c r="X211" s="366">
        <f t="shared" si="13"/>
        <v>62.643000000000001</v>
      </c>
      <c r="Y211" s="366">
        <f t="shared" si="14"/>
        <v>116.45100000000001</v>
      </c>
      <c r="Z211" s="366">
        <f t="shared" si="15"/>
        <v>66.063000000000002</v>
      </c>
      <c r="AA211" s="171"/>
      <c r="AB211" s="171"/>
      <c r="AC211" s="171"/>
      <c r="AD211" s="171"/>
      <c r="AE211" s="171"/>
      <c r="AF211" s="171"/>
      <c r="AG211" s="171"/>
      <c r="AH211" s="171"/>
      <c r="AI211" s="171"/>
      <c r="AJ211" s="171"/>
      <c r="AK211" s="171"/>
      <c r="AL211" s="171"/>
      <c r="AM211" s="171"/>
      <c r="AN211" s="171"/>
      <c r="AO211" s="171"/>
      <c r="AP211" s="171"/>
      <c r="AQ211" s="171"/>
      <c r="AR211" s="171"/>
      <c r="AS211" s="171"/>
    </row>
    <row r="212" spans="1:45" ht="18" customHeight="1">
      <c r="A212" s="71"/>
      <c r="B212" s="71"/>
      <c r="C212" s="150"/>
      <c r="D212" s="150"/>
      <c r="E212" s="104"/>
      <c r="F212" s="104"/>
      <c r="G212" s="104"/>
      <c r="H212" s="104"/>
      <c r="I212" s="104"/>
      <c r="J212" s="104"/>
      <c r="K212" s="104"/>
      <c r="L212" s="104"/>
      <c r="M212" s="104"/>
      <c r="N212" s="104"/>
      <c r="O212" s="104"/>
      <c r="P212" s="104"/>
      <c r="Q212" s="104"/>
      <c r="R212" s="104"/>
      <c r="S212" s="104"/>
      <c r="T212" s="104"/>
      <c r="U212" s="104"/>
      <c r="V212" s="228"/>
      <c r="W212" s="366"/>
      <c r="X212" s="366"/>
      <c r="Y212" s="366"/>
      <c r="Z212" s="366"/>
      <c r="AA212" s="171"/>
      <c r="AB212" s="171"/>
      <c r="AC212" s="171"/>
      <c r="AD212" s="171"/>
      <c r="AE212" s="171"/>
      <c r="AF212" s="171"/>
      <c r="AG212" s="171"/>
      <c r="AH212" s="171"/>
      <c r="AI212" s="171"/>
      <c r="AJ212" s="171"/>
      <c r="AK212" s="171"/>
      <c r="AL212" s="171"/>
      <c r="AM212" s="171"/>
      <c r="AN212" s="171"/>
      <c r="AO212" s="171"/>
      <c r="AP212" s="171"/>
      <c r="AQ212" s="171"/>
      <c r="AR212" s="171"/>
      <c r="AS212" s="171"/>
    </row>
    <row r="213" spans="1:45" ht="151.80000000000001">
      <c r="A213" s="71" t="s">
        <v>1684</v>
      </c>
      <c r="B213" s="52" t="s">
        <v>420</v>
      </c>
      <c r="C213" s="150"/>
      <c r="D213" s="150"/>
      <c r="E213" s="104"/>
      <c r="F213" s="104"/>
      <c r="G213" s="104"/>
      <c r="H213" s="104"/>
      <c r="I213" s="104"/>
      <c r="J213" s="104"/>
      <c r="K213" s="104"/>
      <c r="L213" s="104"/>
      <c r="M213" s="104"/>
      <c r="N213" s="104"/>
      <c r="O213" s="104"/>
      <c r="P213" s="104"/>
      <c r="Q213" s="104"/>
      <c r="R213" s="104"/>
      <c r="S213" s="104"/>
      <c r="T213" s="104"/>
      <c r="U213" s="104"/>
      <c r="V213" s="23">
        <v>630</v>
      </c>
      <c r="W213" s="368">
        <f t="shared" si="12"/>
        <v>124.929</v>
      </c>
      <c r="X213" s="368">
        <f t="shared" si="13"/>
        <v>69.236999999999995</v>
      </c>
      <c r="Y213" s="368">
        <f t="shared" si="14"/>
        <v>128.709</v>
      </c>
      <c r="Z213" s="368">
        <f t="shared" si="15"/>
        <v>73.016999999999996</v>
      </c>
      <c r="AA213" s="171"/>
      <c r="AB213" s="171"/>
      <c r="AC213" s="171"/>
      <c r="AD213" s="171"/>
      <c r="AE213" s="171"/>
      <c r="AF213" s="171"/>
      <c r="AG213" s="171"/>
      <c r="AH213" s="171"/>
      <c r="AI213" s="171"/>
      <c r="AJ213" s="171"/>
      <c r="AK213" s="171"/>
      <c r="AL213" s="171"/>
      <c r="AM213" s="171"/>
      <c r="AN213" s="171"/>
      <c r="AO213" s="171"/>
      <c r="AP213" s="171"/>
      <c r="AQ213" s="171"/>
      <c r="AR213" s="171"/>
      <c r="AS213" s="171"/>
    </row>
    <row r="214" spans="1:45">
      <c r="A214" s="71"/>
      <c r="B214" s="52"/>
      <c r="C214" s="150"/>
      <c r="D214" s="150"/>
      <c r="E214" s="104"/>
      <c r="F214" s="104"/>
      <c r="G214" s="104"/>
      <c r="H214" s="104"/>
      <c r="I214" s="104"/>
      <c r="J214" s="104"/>
      <c r="K214" s="104"/>
      <c r="L214" s="104"/>
      <c r="M214" s="104"/>
      <c r="N214" s="104"/>
      <c r="O214" s="104"/>
      <c r="P214" s="104"/>
      <c r="Q214" s="104"/>
      <c r="R214" s="104"/>
      <c r="S214" s="104"/>
      <c r="T214" s="104"/>
      <c r="U214" s="104"/>
      <c r="V214" s="181"/>
      <c r="W214" s="181"/>
      <c r="X214" s="181"/>
      <c r="Y214" s="181"/>
      <c r="Z214" s="181"/>
      <c r="AA214" s="171"/>
      <c r="AB214" s="171"/>
      <c r="AC214" s="171"/>
      <c r="AD214" s="171"/>
      <c r="AE214" s="171"/>
      <c r="AF214" s="171"/>
      <c r="AG214" s="171"/>
      <c r="AH214" s="171"/>
      <c r="AI214" s="171"/>
      <c r="AJ214" s="171"/>
      <c r="AK214" s="171"/>
      <c r="AL214" s="171"/>
      <c r="AM214" s="171"/>
      <c r="AN214" s="171"/>
      <c r="AO214" s="171"/>
      <c r="AP214" s="171"/>
      <c r="AQ214" s="171"/>
      <c r="AR214" s="171"/>
      <c r="AS214" s="171"/>
    </row>
    <row r="215" spans="1:45" ht="151.80000000000001">
      <c r="A215" s="71" t="s">
        <v>1685</v>
      </c>
      <c r="B215" s="52" t="s">
        <v>421</v>
      </c>
      <c r="C215" s="150"/>
      <c r="D215" s="150"/>
      <c r="E215" s="104"/>
      <c r="F215" s="104"/>
      <c r="G215" s="104"/>
      <c r="H215" s="104"/>
      <c r="I215" s="104"/>
      <c r="J215" s="104"/>
      <c r="K215" s="104"/>
      <c r="L215" s="104"/>
      <c r="M215" s="104"/>
      <c r="N215" s="104"/>
      <c r="O215" s="104"/>
      <c r="P215" s="104"/>
      <c r="Q215" s="104"/>
      <c r="R215" s="104"/>
      <c r="S215" s="104"/>
      <c r="T215" s="104"/>
      <c r="U215" s="104"/>
      <c r="V215" s="228">
        <v>550</v>
      </c>
      <c r="W215" s="366">
        <f t="shared" si="12"/>
        <v>109.065</v>
      </c>
      <c r="X215" s="366">
        <f t="shared" si="13"/>
        <v>60.445</v>
      </c>
      <c r="Y215" s="366">
        <f t="shared" si="14"/>
        <v>112.36500000000001</v>
      </c>
      <c r="Z215" s="366">
        <f t="shared" si="15"/>
        <v>63.745000000000005</v>
      </c>
      <c r="AA215" s="171"/>
      <c r="AB215" s="171"/>
      <c r="AC215" s="171"/>
      <c r="AD215" s="171"/>
      <c r="AE215" s="171"/>
      <c r="AF215" s="171"/>
      <c r="AG215" s="171"/>
      <c r="AH215" s="171"/>
      <c r="AI215" s="171"/>
      <c r="AJ215" s="171"/>
      <c r="AK215" s="171"/>
      <c r="AL215" s="171"/>
      <c r="AM215" s="171"/>
      <c r="AN215" s="171"/>
      <c r="AO215" s="171"/>
      <c r="AP215" s="171"/>
      <c r="AQ215" s="171"/>
      <c r="AR215" s="171"/>
      <c r="AS215" s="171"/>
    </row>
    <row r="216" spans="1:45" ht="17.100000000000001" customHeight="1">
      <c r="A216" s="69"/>
      <c r="B216" s="69"/>
      <c r="C216" s="150"/>
      <c r="D216" s="150"/>
      <c r="E216" s="104"/>
      <c r="F216" s="104"/>
      <c r="G216" s="104"/>
      <c r="H216" s="104"/>
      <c r="I216" s="104"/>
      <c r="J216" s="104"/>
      <c r="K216" s="104"/>
      <c r="L216" s="104"/>
      <c r="M216" s="104"/>
      <c r="N216" s="104"/>
      <c r="O216" s="104"/>
      <c r="P216" s="104"/>
      <c r="Q216" s="104"/>
      <c r="R216" s="104"/>
      <c r="S216" s="104"/>
      <c r="T216" s="104"/>
      <c r="U216" s="104"/>
      <c r="V216" s="228"/>
      <c r="W216" s="366"/>
      <c r="X216" s="366"/>
      <c r="Y216" s="366"/>
      <c r="Z216" s="366"/>
      <c r="AA216" s="171"/>
      <c r="AB216" s="171"/>
      <c r="AC216" s="171"/>
      <c r="AD216" s="171"/>
      <c r="AE216" s="171"/>
      <c r="AF216" s="171"/>
      <c r="AG216" s="171"/>
      <c r="AH216" s="171"/>
      <c r="AI216" s="171"/>
      <c r="AJ216" s="171"/>
      <c r="AK216" s="171"/>
      <c r="AL216" s="171"/>
      <c r="AM216" s="171"/>
      <c r="AN216" s="171"/>
      <c r="AO216" s="171"/>
      <c r="AP216" s="171"/>
      <c r="AQ216" s="171"/>
      <c r="AR216" s="171"/>
      <c r="AS216" s="171"/>
    </row>
    <row r="217" spans="1:45" ht="151.80000000000001">
      <c r="A217" s="71" t="s">
        <v>1688</v>
      </c>
      <c r="B217" s="52" t="s">
        <v>422</v>
      </c>
      <c r="C217" s="150"/>
      <c r="D217" s="150"/>
      <c r="E217" s="104"/>
      <c r="F217" s="104"/>
      <c r="G217" s="104"/>
      <c r="H217" s="104"/>
      <c r="I217" s="104"/>
      <c r="J217" s="104"/>
      <c r="K217" s="104"/>
      <c r="L217" s="104"/>
      <c r="M217" s="104"/>
      <c r="N217" s="104"/>
      <c r="O217" s="104"/>
      <c r="P217" s="104"/>
      <c r="Q217" s="104"/>
      <c r="R217" s="104"/>
      <c r="S217" s="104"/>
      <c r="T217" s="104"/>
      <c r="U217" s="104"/>
      <c r="V217" s="23">
        <v>620</v>
      </c>
      <c r="W217" s="368">
        <f t="shared" si="12"/>
        <v>122.946</v>
      </c>
      <c r="X217" s="368">
        <f t="shared" si="13"/>
        <v>68.138000000000005</v>
      </c>
      <c r="Y217" s="368">
        <f t="shared" si="14"/>
        <v>126.66600000000001</v>
      </c>
      <c r="Z217" s="368">
        <f t="shared" si="15"/>
        <v>71.858000000000004</v>
      </c>
      <c r="AA217" s="171"/>
      <c r="AB217" s="171"/>
      <c r="AC217" s="171"/>
      <c r="AD217" s="171"/>
      <c r="AE217" s="171"/>
      <c r="AF217" s="171"/>
      <c r="AG217" s="171"/>
      <c r="AH217" s="171"/>
      <c r="AI217" s="171"/>
      <c r="AJ217" s="171"/>
      <c r="AK217" s="171"/>
      <c r="AL217" s="171"/>
      <c r="AM217" s="171"/>
      <c r="AN217" s="171"/>
      <c r="AO217" s="171"/>
      <c r="AP217" s="171"/>
      <c r="AQ217" s="171"/>
      <c r="AR217" s="171"/>
      <c r="AS217" s="171"/>
    </row>
    <row r="218" spans="1:45" s="253" customFormat="1">
      <c r="A218" s="235"/>
      <c r="B218" s="140"/>
      <c r="C218" s="134"/>
      <c r="D218" s="134"/>
      <c r="E218" s="45"/>
      <c r="F218" s="45"/>
      <c r="G218" s="45"/>
      <c r="H218" s="45"/>
      <c r="I218" s="45"/>
      <c r="J218" s="45"/>
      <c r="K218" s="45"/>
      <c r="L218" s="45"/>
      <c r="M218" s="45"/>
      <c r="N218" s="45"/>
      <c r="O218" s="45"/>
      <c r="P218" s="45"/>
      <c r="Q218" s="45"/>
      <c r="R218" s="45"/>
      <c r="S218" s="45"/>
      <c r="T218" s="45"/>
      <c r="U218" s="45"/>
      <c r="V218" s="183"/>
      <c r="W218" s="183"/>
      <c r="X218" s="183"/>
      <c r="Y218" s="183"/>
      <c r="Z218" s="183"/>
    </row>
    <row r="219" spans="1:45" s="10" customFormat="1" ht="27.6">
      <c r="A219" s="154" t="s">
        <v>423</v>
      </c>
      <c r="B219" s="159" t="s">
        <v>305</v>
      </c>
      <c r="C219" s="159" t="s">
        <v>143</v>
      </c>
      <c r="D219" s="159" t="s">
        <v>144</v>
      </c>
      <c r="E219" s="159" t="s">
        <v>424</v>
      </c>
      <c r="F219" s="159" t="s">
        <v>425</v>
      </c>
      <c r="G219" s="159" t="s">
        <v>426</v>
      </c>
      <c r="H219" s="159" t="s">
        <v>427</v>
      </c>
      <c r="I219" s="159" t="s">
        <v>428</v>
      </c>
      <c r="J219" s="159" t="s">
        <v>429</v>
      </c>
      <c r="K219" s="159" t="s">
        <v>430</v>
      </c>
      <c r="L219" s="159" t="s">
        <v>431</v>
      </c>
      <c r="M219" s="159" t="s">
        <v>432</v>
      </c>
      <c r="N219" s="159" t="s">
        <v>433</v>
      </c>
      <c r="O219" s="159" t="s">
        <v>434</v>
      </c>
      <c r="P219" s="159" t="s">
        <v>435</v>
      </c>
      <c r="Q219" s="159" t="s">
        <v>436</v>
      </c>
      <c r="R219" s="159" t="s">
        <v>437</v>
      </c>
      <c r="S219" s="159" t="s">
        <v>438</v>
      </c>
      <c r="T219" s="159" t="s">
        <v>439</v>
      </c>
      <c r="U219" s="159" t="s">
        <v>440</v>
      </c>
      <c r="V219" s="12"/>
      <c r="W219" s="187"/>
      <c r="X219" s="187"/>
      <c r="Y219" s="187"/>
      <c r="Z219" s="187"/>
      <c r="AA219" s="9"/>
      <c r="AB219" s="9"/>
      <c r="AC219" s="9"/>
      <c r="AD219" s="9"/>
      <c r="AE219" s="9"/>
      <c r="AF219" s="9"/>
      <c r="AG219" s="9"/>
      <c r="AH219" s="9"/>
      <c r="AI219" s="9"/>
      <c r="AJ219" s="9"/>
      <c r="AK219" s="9"/>
      <c r="AL219" s="9"/>
      <c r="AM219" s="9"/>
      <c r="AN219" s="9"/>
      <c r="AO219" s="9"/>
      <c r="AP219" s="9"/>
      <c r="AQ219" s="9"/>
      <c r="AR219" s="9"/>
      <c r="AS219" s="9"/>
    </row>
    <row r="220" spans="1:45">
      <c r="A220" s="98" t="s">
        <v>441</v>
      </c>
      <c r="B220" s="108"/>
      <c r="C220" s="108"/>
      <c r="D220" s="108"/>
      <c r="E220" s="223"/>
      <c r="F220" s="223"/>
      <c r="G220" s="223"/>
      <c r="H220" s="223"/>
      <c r="I220" s="223"/>
      <c r="J220" s="223"/>
      <c r="K220" s="223"/>
      <c r="L220" s="223"/>
      <c r="M220" s="223"/>
      <c r="N220" s="223"/>
      <c r="O220" s="223"/>
      <c r="P220" s="223"/>
      <c r="Q220" s="223"/>
      <c r="R220" s="223"/>
      <c r="S220" s="226"/>
      <c r="T220" s="226"/>
      <c r="U220" s="226"/>
      <c r="V220" s="130"/>
      <c r="W220" s="130"/>
      <c r="X220" s="130"/>
      <c r="Y220" s="130"/>
      <c r="Z220" s="130"/>
    </row>
    <row r="221" spans="1:45" ht="28.8">
      <c r="A221" s="342" t="s">
        <v>1640</v>
      </c>
      <c r="B221" s="343" t="s">
        <v>1652</v>
      </c>
      <c r="C221" s="344" t="s">
        <v>312</v>
      </c>
      <c r="D221" s="191" t="s">
        <v>1639</v>
      </c>
      <c r="E221" s="104"/>
      <c r="F221" s="67"/>
      <c r="G221" s="104"/>
      <c r="H221" s="104"/>
      <c r="I221" s="104"/>
      <c r="J221" s="104"/>
      <c r="K221" s="339" t="s">
        <v>442</v>
      </c>
      <c r="L221" s="104"/>
      <c r="M221" s="104"/>
      <c r="N221" s="104"/>
      <c r="O221" s="104"/>
      <c r="P221" s="104"/>
      <c r="Q221" s="339" t="s">
        <v>443</v>
      </c>
      <c r="R221" s="104"/>
      <c r="S221" s="104"/>
      <c r="T221" s="104"/>
      <c r="U221" s="104"/>
      <c r="V221" s="23">
        <v>75</v>
      </c>
      <c r="W221" s="368">
        <f t="shared" si="12"/>
        <v>14.8725</v>
      </c>
      <c r="X221" s="368">
        <f t="shared" si="13"/>
        <v>8.2424999999999997</v>
      </c>
      <c r="Y221" s="368">
        <f t="shared" si="14"/>
        <v>15.322500000000002</v>
      </c>
      <c r="Z221" s="368">
        <f t="shared" si="15"/>
        <v>8.6925000000000008</v>
      </c>
    </row>
    <row r="222" spans="1:45" ht="28.8">
      <c r="A222" s="342" t="s">
        <v>1641</v>
      </c>
      <c r="B222" s="343" t="s">
        <v>1653</v>
      </c>
      <c r="C222" s="40" t="s">
        <v>312</v>
      </c>
      <c r="D222" s="191" t="s">
        <v>1639</v>
      </c>
      <c r="E222" s="104"/>
      <c r="F222" s="67"/>
      <c r="G222" s="104"/>
      <c r="H222" s="104"/>
      <c r="I222" s="104"/>
      <c r="J222" s="104"/>
      <c r="K222" s="339" t="s">
        <v>444</v>
      </c>
      <c r="L222" s="104"/>
      <c r="M222" s="104"/>
      <c r="N222" s="104"/>
      <c r="O222" s="104"/>
      <c r="P222" s="104"/>
      <c r="Q222" s="339" t="s">
        <v>445</v>
      </c>
      <c r="R222" s="104"/>
      <c r="S222" s="104"/>
      <c r="T222" s="104"/>
      <c r="U222" s="104"/>
      <c r="V222" s="23">
        <v>157</v>
      </c>
      <c r="W222" s="368">
        <f t="shared" si="12"/>
        <v>31.133099999999999</v>
      </c>
      <c r="X222" s="368">
        <f t="shared" si="13"/>
        <v>17.254300000000001</v>
      </c>
      <c r="Y222" s="368">
        <f t="shared" si="14"/>
        <v>32.075099999999999</v>
      </c>
      <c r="Z222" s="368">
        <f t="shared" si="15"/>
        <v>18.196300000000001</v>
      </c>
    </row>
    <row r="223" spans="1:45" ht="28.8">
      <c r="A223" s="342" t="s">
        <v>1642</v>
      </c>
      <c r="B223" s="343" t="s">
        <v>1654</v>
      </c>
      <c r="C223" s="40" t="s">
        <v>312</v>
      </c>
      <c r="D223" s="191" t="s">
        <v>1639</v>
      </c>
      <c r="E223" s="104"/>
      <c r="F223" s="67"/>
      <c r="G223" s="104"/>
      <c r="H223" s="104"/>
      <c r="I223" s="104"/>
      <c r="J223" s="104"/>
      <c r="K223" s="339" t="s">
        <v>446</v>
      </c>
      <c r="L223" s="104"/>
      <c r="M223" s="104"/>
      <c r="N223" s="104"/>
      <c r="O223" s="104"/>
      <c r="P223" s="104"/>
      <c r="Q223" s="339" t="s">
        <v>447</v>
      </c>
      <c r="R223" s="104"/>
      <c r="S223" s="104"/>
      <c r="T223" s="104"/>
      <c r="U223" s="104"/>
      <c r="V223" s="23">
        <v>260</v>
      </c>
      <c r="W223" s="368">
        <f t="shared" si="12"/>
        <v>51.558</v>
      </c>
      <c r="X223" s="368">
        <f t="shared" si="13"/>
        <v>28.573999999999998</v>
      </c>
      <c r="Y223" s="368">
        <f t="shared" si="14"/>
        <v>53.118000000000002</v>
      </c>
      <c r="Z223" s="368">
        <f t="shared" si="15"/>
        <v>30.134</v>
      </c>
    </row>
    <row r="224" spans="1:45" ht="14.4">
      <c r="A224" s="345" t="s">
        <v>1638</v>
      </c>
      <c r="B224" s="346" t="s">
        <v>1637</v>
      </c>
      <c r="C224" s="347" t="s">
        <v>312</v>
      </c>
      <c r="D224" s="191" t="s">
        <v>1639</v>
      </c>
      <c r="E224" s="104"/>
      <c r="F224" s="339" t="s">
        <v>448</v>
      </c>
      <c r="G224" s="104"/>
      <c r="H224" s="104"/>
      <c r="I224" s="104"/>
      <c r="J224" s="104"/>
      <c r="K224" s="104"/>
      <c r="L224" s="104"/>
      <c r="M224" s="104"/>
      <c r="N224" s="104"/>
      <c r="O224" s="104"/>
      <c r="P224" s="104"/>
      <c r="Q224" s="104"/>
      <c r="R224" s="104"/>
      <c r="S224" s="104"/>
      <c r="T224" s="104"/>
      <c r="U224" s="104"/>
      <c r="V224" s="23">
        <v>157</v>
      </c>
      <c r="W224" s="368">
        <f t="shared" si="12"/>
        <v>31.133099999999999</v>
      </c>
      <c r="X224" s="368">
        <f t="shared" si="13"/>
        <v>17.254300000000001</v>
      </c>
      <c r="Y224" s="368">
        <f t="shared" si="14"/>
        <v>32.075099999999999</v>
      </c>
      <c r="Z224" s="368">
        <f t="shared" si="15"/>
        <v>18.196300000000001</v>
      </c>
    </row>
    <row r="225" spans="1:26" ht="14.4">
      <c r="A225" s="345" t="s">
        <v>1644</v>
      </c>
      <c r="B225" s="346" t="s">
        <v>1643</v>
      </c>
      <c r="C225" s="347" t="s">
        <v>312</v>
      </c>
      <c r="D225" s="191" t="s">
        <v>1639</v>
      </c>
      <c r="E225" s="104"/>
      <c r="F225" s="339" t="s">
        <v>449</v>
      </c>
      <c r="G225" s="104"/>
      <c r="H225" s="104"/>
      <c r="I225" s="104"/>
      <c r="J225" s="104"/>
      <c r="K225" s="104"/>
      <c r="L225" s="104"/>
      <c r="M225" s="104"/>
      <c r="N225" s="104"/>
      <c r="O225" s="104"/>
      <c r="P225" s="104"/>
      <c r="Q225" s="104"/>
      <c r="R225" s="104"/>
      <c r="S225" s="104"/>
      <c r="T225" s="104"/>
      <c r="U225" s="104"/>
      <c r="V225" s="23">
        <v>204</v>
      </c>
      <c r="W225" s="368">
        <f t="shared" si="12"/>
        <v>40.453200000000002</v>
      </c>
      <c r="X225" s="368">
        <f t="shared" si="13"/>
        <v>22.419599999999999</v>
      </c>
      <c r="Y225" s="368">
        <f t="shared" si="14"/>
        <v>41.677199999999999</v>
      </c>
      <c r="Z225" s="368">
        <f t="shared" si="15"/>
        <v>23.643599999999999</v>
      </c>
    </row>
    <row r="226" spans="1:26" ht="28.8">
      <c r="A226" s="342" t="s">
        <v>1645</v>
      </c>
      <c r="B226" s="343" t="s">
        <v>1655</v>
      </c>
      <c r="C226" s="150"/>
      <c r="D226" s="40" t="s">
        <v>1633</v>
      </c>
      <c r="E226" s="104"/>
      <c r="F226" s="104"/>
      <c r="G226" s="104"/>
      <c r="H226" s="104"/>
      <c r="I226" s="104"/>
      <c r="J226" s="104"/>
      <c r="K226" s="104"/>
      <c r="L226" s="339" t="s">
        <v>450</v>
      </c>
      <c r="M226" s="104"/>
      <c r="N226" s="104"/>
      <c r="O226" s="104"/>
      <c r="P226" s="104"/>
      <c r="Q226" s="104"/>
      <c r="R226" s="339" t="s">
        <v>451</v>
      </c>
      <c r="S226" s="104"/>
      <c r="T226" s="104"/>
      <c r="U226" s="104"/>
      <c r="V226" s="23">
        <v>82</v>
      </c>
      <c r="W226" s="368">
        <f t="shared" si="12"/>
        <v>16.2606</v>
      </c>
      <c r="X226" s="368">
        <f t="shared" si="13"/>
        <v>9.0117999999999991</v>
      </c>
      <c r="Y226" s="368">
        <f t="shared" si="14"/>
        <v>16.752600000000001</v>
      </c>
      <c r="Z226" s="368">
        <f t="shared" si="15"/>
        <v>9.5038</v>
      </c>
    </row>
    <row r="227" spans="1:26" ht="28.8">
      <c r="A227" s="342" t="s">
        <v>1646</v>
      </c>
      <c r="B227" s="343" t="s">
        <v>1656</v>
      </c>
      <c r="C227" s="40" t="s">
        <v>312</v>
      </c>
      <c r="D227" s="40" t="s">
        <v>1633</v>
      </c>
      <c r="E227" s="104"/>
      <c r="F227" s="104"/>
      <c r="G227" s="104"/>
      <c r="H227" s="104"/>
      <c r="I227" s="104"/>
      <c r="J227" s="104"/>
      <c r="K227" s="104"/>
      <c r="L227" s="339" t="s">
        <v>452</v>
      </c>
      <c r="M227" s="104"/>
      <c r="N227" s="104"/>
      <c r="O227" s="104"/>
      <c r="P227" s="104"/>
      <c r="Q227" s="104"/>
      <c r="R227" s="339" t="s">
        <v>453</v>
      </c>
      <c r="S227" s="104"/>
      <c r="T227" s="104"/>
      <c r="U227" s="104"/>
      <c r="V227" s="23">
        <v>75</v>
      </c>
      <c r="W227" s="368">
        <f t="shared" si="12"/>
        <v>14.8725</v>
      </c>
      <c r="X227" s="368">
        <f t="shared" si="13"/>
        <v>8.2424999999999997</v>
      </c>
      <c r="Y227" s="368">
        <f t="shared" si="14"/>
        <v>15.322500000000002</v>
      </c>
      <c r="Z227" s="368">
        <f t="shared" si="15"/>
        <v>8.6925000000000008</v>
      </c>
    </row>
    <row r="228" spans="1:26" ht="28.8">
      <c r="A228" s="342" t="s">
        <v>1647</v>
      </c>
      <c r="B228" s="343" t="s">
        <v>1657</v>
      </c>
      <c r="C228" s="40" t="s">
        <v>312</v>
      </c>
      <c r="D228" s="40" t="s">
        <v>1633</v>
      </c>
      <c r="E228" s="104"/>
      <c r="F228" s="104"/>
      <c r="G228" s="104"/>
      <c r="H228" s="104"/>
      <c r="I228" s="104"/>
      <c r="J228" s="104"/>
      <c r="K228" s="104"/>
      <c r="L228" s="339" t="s">
        <v>454</v>
      </c>
      <c r="M228" s="104"/>
      <c r="N228" s="104"/>
      <c r="O228" s="104"/>
      <c r="P228" s="104"/>
      <c r="Q228" s="104"/>
      <c r="R228" s="339" t="s">
        <v>455</v>
      </c>
      <c r="S228" s="104"/>
      <c r="T228" s="104"/>
      <c r="U228" s="104"/>
      <c r="V228" s="23">
        <v>157</v>
      </c>
      <c r="W228" s="368">
        <f t="shared" si="12"/>
        <v>31.133099999999999</v>
      </c>
      <c r="X228" s="368">
        <f t="shared" si="13"/>
        <v>17.254300000000001</v>
      </c>
      <c r="Y228" s="368">
        <f t="shared" si="14"/>
        <v>32.075099999999999</v>
      </c>
      <c r="Z228" s="368">
        <f t="shared" si="15"/>
        <v>18.196300000000001</v>
      </c>
    </row>
    <row r="229" spans="1:26" ht="28.8">
      <c r="A229" s="342" t="s">
        <v>1648</v>
      </c>
      <c r="B229" s="343" t="s">
        <v>1658</v>
      </c>
      <c r="C229" s="150"/>
      <c r="D229" s="40" t="s">
        <v>1625</v>
      </c>
      <c r="E229" s="104"/>
      <c r="F229" s="104"/>
      <c r="G229" s="104"/>
      <c r="H229" s="104"/>
      <c r="I229" s="104"/>
      <c r="J229" s="104"/>
      <c r="K229" s="104"/>
      <c r="L229" s="339" t="s">
        <v>456</v>
      </c>
      <c r="M229" s="104"/>
      <c r="N229" s="104"/>
      <c r="O229" s="104"/>
      <c r="P229" s="104"/>
      <c r="Q229" s="104"/>
      <c r="R229" s="339" t="s">
        <v>457</v>
      </c>
      <c r="S229" s="104"/>
      <c r="T229" s="104"/>
      <c r="U229" s="104"/>
      <c r="V229" s="23">
        <v>110</v>
      </c>
      <c r="W229" s="368">
        <f t="shared" si="12"/>
        <v>21.812999999999999</v>
      </c>
      <c r="X229" s="368">
        <f t="shared" si="13"/>
        <v>12.089</v>
      </c>
      <c r="Y229" s="368">
        <f t="shared" si="14"/>
        <v>22.473000000000003</v>
      </c>
      <c r="Z229" s="368">
        <f t="shared" si="15"/>
        <v>12.749000000000001</v>
      </c>
    </row>
    <row r="230" spans="1:26" ht="28.8">
      <c r="A230" s="342" t="s">
        <v>1649</v>
      </c>
      <c r="B230" s="343" t="s">
        <v>1659</v>
      </c>
      <c r="C230" s="150"/>
      <c r="D230" s="40" t="s">
        <v>1625</v>
      </c>
      <c r="E230" s="104"/>
      <c r="F230" s="104"/>
      <c r="G230" s="104"/>
      <c r="H230" s="104"/>
      <c r="I230" s="104"/>
      <c r="J230" s="104"/>
      <c r="K230" s="104"/>
      <c r="L230" s="339" t="s">
        <v>458</v>
      </c>
      <c r="M230" s="104"/>
      <c r="N230" s="104"/>
      <c r="O230" s="104"/>
      <c r="P230" s="104"/>
      <c r="Q230" s="104"/>
      <c r="R230" s="339" t="s">
        <v>459</v>
      </c>
      <c r="S230" s="104"/>
      <c r="T230" s="104"/>
      <c r="U230" s="104"/>
      <c r="V230" s="23">
        <v>155</v>
      </c>
      <c r="W230" s="368">
        <f t="shared" si="12"/>
        <v>30.736499999999999</v>
      </c>
      <c r="X230" s="368">
        <f t="shared" si="13"/>
        <v>17.034500000000001</v>
      </c>
      <c r="Y230" s="368">
        <f t="shared" si="14"/>
        <v>31.666500000000003</v>
      </c>
      <c r="Z230" s="368">
        <f t="shared" si="15"/>
        <v>17.964500000000001</v>
      </c>
    </row>
    <row r="231" spans="1:26" ht="28.8">
      <c r="A231" s="342" t="s">
        <v>1650</v>
      </c>
      <c r="B231" s="343" t="s">
        <v>1660</v>
      </c>
      <c r="C231" s="344" t="s">
        <v>312</v>
      </c>
      <c r="D231" s="40" t="s">
        <v>1630</v>
      </c>
      <c r="E231" s="104"/>
      <c r="F231" s="104"/>
      <c r="G231" s="104"/>
      <c r="H231" s="104"/>
      <c r="I231" s="104"/>
      <c r="J231" s="104"/>
      <c r="K231" s="104"/>
      <c r="L231" s="339" t="s">
        <v>460</v>
      </c>
      <c r="M231" s="104"/>
      <c r="N231" s="104"/>
      <c r="O231" s="104"/>
      <c r="P231" s="104"/>
      <c r="Q231" s="104"/>
      <c r="R231" s="339" t="s">
        <v>461</v>
      </c>
      <c r="S231" s="104"/>
      <c r="T231" s="104"/>
      <c r="U231" s="104"/>
      <c r="V231" s="23">
        <v>190</v>
      </c>
      <c r="W231" s="368">
        <f t="shared" si="12"/>
        <v>37.677</v>
      </c>
      <c r="X231" s="368">
        <f t="shared" si="13"/>
        <v>20.881</v>
      </c>
      <c r="Y231" s="368">
        <f t="shared" si="14"/>
        <v>38.817</v>
      </c>
      <c r="Z231" s="368">
        <f t="shared" si="15"/>
        <v>22.021000000000001</v>
      </c>
    </row>
    <row r="232" spans="1:26" ht="28.8">
      <c r="A232" s="342" t="s">
        <v>1651</v>
      </c>
      <c r="B232" s="189" t="s">
        <v>1661</v>
      </c>
      <c r="C232" s="40" t="s">
        <v>312</v>
      </c>
      <c r="D232" s="40" t="s">
        <v>1630</v>
      </c>
      <c r="E232" s="104"/>
      <c r="F232" s="104"/>
      <c r="G232" s="104"/>
      <c r="H232" s="104"/>
      <c r="I232" s="104"/>
      <c r="J232" s="104"/>
      <c r="K232" s="104"/>
      <c r="L232" s="339" t="s">
        <v>462</v>
      </c>
      <c r="M232" s="104"/>
      <c r="N232" s="104"/>
      <c r="O232" s="104"/>
      <c r="P232" s="104"/>
      <c r="Q232" s="104"/>
      <c r="R232" s="339" t="s">
        <v>463</v>
      </c>
      <c r="S232" s="104"/>
      <c r="T232" s="104"/>
      <c r="U232" s="104"/>
      <c r="V232" s="23">
        <v>235</v>
      </c>
      <c r="W232" s="368">
        <f t="shared" si="12"/>
        <v>46.600500000000004</v>
      </c>
      <c r="X232" s="368">
        <f t="shared" si="13"/>
        <v>25.826499999999999</v>
      </c>
      <c r="Y232" s="368">
        <f t="shared" si="14"/>
        <v>48.0105</v>
      </c>
      <c r="Z232" s="368">
        <f t="shared" si="15"/>
        <v>27.236499999999999</v>
      </c>
    </row>
    <row r="233" spans="1:26">
      <c r="A233" s="235"/>
      <c r="B233" s="140"/>
      <c r="C233" s="134"/>
      <c r="D233" s="134"/>
      <c r="E233" s="45"/>
      <c r="F233" s="45"/>
      <c r="G233" s="45"/>
      <c r="H233" s="45"/>
      <c r="I233" s="45"/>
      <c r="J233" s="45"/>
      <c r="K233" s="45"/>
      <c r="L233" s="45"/>
      <c r="M233" s="45"/>
      <c r="N233" s="45"/>
      <c r="O233" s="45"/>
      <c r="P233" s="45"/>
      <c r="Q233" s="45"/>
      <c r="R233" s="45"/>
      <c r="S233" s="45"/>
      <c r="T233" s="45"/>
      <c r="U233" s="45"/>
      <c r="V233" s="28"/>
      <c r="W233" s="369"/>
      <c r="X233" s="369"/>
      <c r="Y233" s="369"/>
      <c r="Z233" s="369"/>
    </row>
    <row r="234" spans="1:26">
      <c r="A234" s="98" t="s">
        <v>464</v>
      </c>
      <c r="B234" s="108"/>
      <c r="C234" s="108"/>
      <c r="D234" s="108"/>
      <c r="E234" s="223"/>
      <c r="F234" s="223"/>
      <c r="G234" s="223"/>
      <c r="H234" s="223"/>
      <c r="I234" s="223"/>
      <c r="J234" s="223"/>
      <c r="K234" s="223"/>
      <c r="L234" s="223"/>
      <c r="M234" s="223"/>
      <c r="N234" s="223"/>
      <c r="O234" s="223"/>
      <c r="P234" s="223"/>
      <c r="Q234" s="223"/>
      <c r="R234" s="223"/>
      <c r="S234" s="226"/>
      <c r="T234" s="226"/>
      <c r="U234" s="226"/>
      <c r="V234" s="126"/>
      <c r="W234" s="126"/>
      <c r="X234" s="126"/>
      <c r="Y234" s="126"/>
      <c r="Z234" s="126"/>
    </row>
    <row r="235" spans="1:26" s="171" customFormat="1" ht="14.4">
      <c r="A235" s="346" t="s">
        <v>1991</v>
      </c>
      <c r="B235" s="346" t="s">
        <v>1663</v>
      </c>
      <c r="C235" s="191" t="s">
        <v>312</v>
      </c>
      <c r="D235" s="191" t="s">
        <v>1662</v>
      </c>
      <c r="E235" s="48"/>
      <c r="F235" s="48"/>
      <c r="G235" s="48"/>
      <c r="H235" s="339" t="s">
        <v>465</v>
      </c>
      <c r="I235" s="48"/>
      <c r="J235" s="48"/>
      <c r="K235" s="48"/>
      <c r="L235" s="48"/>
      <c r="M235" s="48"/>
      <c r="N235" s="48"/>
      <c r="O235" s="48"/>
      <c r="P235" s="48"/>
      <c r="Q235" s="48"/>
      <c r="R235" s="48"/>
      <c r="S235" s="48"/>
      <c r="T235" s="48"/>
      <c r="U235" s="48"/>
      <c r="V235" s="23">
        <v>82</v>
      </c>
      <c r="W235" s="368">
        <f t="shared" si="12"/>
        <v>16.2606</v>
      </c>
      <c r="X235" s="368">
        <f t="shared" si="13"/>
        <v>9.0117999999999991</v>
      </c>
      <c r="Y235" s="368">
        <f t="shared" si="14"/>
        <v>16.752600000000001</v>
      </c>
      <c r="Z235" s="368">
        <f t="shared" si="15"/>
        <v>9.5038</v>
      </c>
    </row>
    <row r="236" spans="1:26" s="171" customFormat="1" ht="14.4">
      <c r="A236" s="346" t="s">
        <v>1992</v>
      </c>
      <c r="B236" s="346" t="s">
        <v>1664</v>
      </c>
      <c r="C236" s="191" t="s">
        <v>312</v>
      </c>
      <c r="D236" s="191" t="s">
        <v>1662</v>
      </c>
      <c r="E236" s="48"/>
      <c r="F236" s="48"/>
      <c r="G236" s="48"/>
      <c r="H236" s="339" t="s">
        <v>466</v>
      </c>
      <c r="I236" s="48"/>
      <c r="J236" s="48"/>
      <c r="K236" s="48"/>
      <c r="L236" s="48"/>
      <c r="M236" s="48"/>
      <c r="N236" s="48"/>
      <c r="O236" s="48"/>
      <c r="P236" s="48"/>
      <c r="Q236" s="48"/>
      <c r="R236" s="48"/>
      <c r="S236" s="48"/>
      <c r="T236" s="48"/>
      <c r="U236" s="48"/>
      <c r="V236" s="23">
        <v>179</v>
      </c>
      <c r="W236" s="368">
        <f t="shared" si="12"/>
        <v>35.495699999999999</v>
      </c>
      <c r="X236" s="368">
        <f t="shared" si="13"/>
        <v>19.6721</v>
      </c>
      <c r="Y236" s="368">
        <f t="shared" si="14"/>
        <v>36.569700000000005</v>
      </c>
      <c r="Z236" s="368">
        <f t="shared" si="15"/>
        <v>20.746100000000002</v>
      </c>
    </row>
    <row r="237" spans="1:26" s="171" customFormat="1" ht="28.8">
      <c r="A237" s="342" t="s">
        <v>1989</v>
      </c>
      <c r="B237" s="343" t="s">
        <v>1665</v>
      </c>
      <c r="C237" s="40" t="s">
        <v>312</v>
      </c>
      <c r="D237" s="191" t="s">
        <v>1662</v>
      </c>
      <c r="E237" s="48"/>
      <c r="F237" s="48"/>
      <c r="G237" s="48"/>
      <c r="H237" s="48"/>
      <c r="I237" s="48"/>
      <c r="J237" s="48"/>
      <c r="K237" s="48"/>
      <c r="L237" s="48"/>
      <c r="M237" s="48"/>
      <c r="N237" s="339" t="s">
        <v>467</v>
      </c>
      <c r="O237" s="48"/>
      <c r="P237" s="48"/>
      <c r="Q237" s="48"/>
      <c r="R237" s="48"/>
      <c r="S237" s="48"/>
      <c r="T237" s="339" t="s">
        <v>468</v>
      </c>
      <c r="U237" s="48"/>
      <c r="V237" s="23">
        <v>97</v>
      </c>
      <c r="W237" s="368">
        <f t="shared" si="12"/>
        <v>19.235099999999999</v>
      </c>
      <c r="X237" s="368">
        <f t="shared" si="13"/>
        <v>10.660299999999999</v>
      </c>
      <c r="Y237" s="368">
        <f t="shared" si="14"/>
        <v>19.8171</v>
      </c>
      <c r="Z237" s="368">
        <f t="shared" si="15"/>
        <v>11.2423</v>
      </c>
    </row>
    <row r="238" spans="1:26" s="171" customFormat="1" ht="28.8">
      <c r="A238" s="342" t="s">
        <v>1667</v>
      </c>
      <c r="B238" s="343" t="s">
        <v>1669</v>
      </c>
      <c r="C238" s="40"/>
      <c r="D238" s="40" t="s">
        <v>1666</v>
      </c>
      <c r="E238" s="48"/>
      <c r="F238" s="48"/>
      <c r="G238" s="48"/>
      <c r="H238" s="48"/>
      <c r="I238" s="48"/>
      <c r="J238" s="48"/>
      <c r="K238" s="48"/>
      <c r="L238" s="48"/>
      <c r="M238" s="48"/>
      <c r="N238" s="48"/>
      <c r="O238" s="339" t="s">
        <v>469</v>
      </c>
      <c r="P238" s="48"/>
      <c r="Q238" s="48"/>
      <c r="R238" s="339"/>
      <c r="S238" s="48"/>
      <c r="T238" s="48"/>
      <c r="U238" s="339" t="s">
        <v>470</v>
      </c>
      <c r="V238" s="23">
        <v>75</v>
      </c>
      <c r="W238" s="368">
        <f t="shared" si="12"/>
        <v>14.8725</v>
      </c>
      <c r="X238" s="368">
        <f t="shared" si="13"/>
        <v>8.2424999999999997</v>
      </c>
      <c r="Y238" s="368">
        <f t="shared" si="14"/>
        <v>15.322500000000002</v>
      </c>
      <c r="Z238" s="368">
        <f t="shared" si="15"/>
        <v>8.6925000000000008</v>
      </c>
    </row>
    <row r="239" spans="1:26" s="171" customFormat="1" ht="28.8">
      <c r="A239" s="342" t="s">
        <v>1990</v>
      </c>
      <c r="B239" s="343" t="s">
        <v>1670</v>
      </c>
      <c r="C239" s="40" t="s">
        <v>312</v>
      </c>
      <c r="D239" s="40" t="s">
        <v>1666</v>
      </c>
      <c r="E239" s="48"/>
      <c r="F239" s="48"/>
      <c r="G239" s="48"/>
      <c r="H239" s="48"/>
      <c r="I239" s="48"/>
      <c r="J239" s="48"/>
      <c r="K239" s="48"/>
      <c r="L239" s="48"/>
      <c r="M239" s="48"/>
      <c r="N239" s="48"/>
      <c r="O239" s="339" t="s">
        <v>471</v>
      </c>
      <c r="P239" s="48"/>
      <c r="Q239" s="48"/>
      <c r="R239" s="339"/>
      <c r="S239" s="48"/>
      <c r="T239" s="48"/>
      <c r="U239" s="339" t="s">
        <v>472</v>
      </c>
      <c r="V239" s="23">
        <v>35</v>
      </c>
      <c r="W239" s="368">
        <f t="shared" si="12"/>
        <v>6.9405000000000001</v>
      </c>
      <c r="X239" s="368">
        <f t="shared" si="13"/>
        <v>3.8464999999999998</v>
      </c>
      <c r="Y239" s="368">
        <f t="shared" si="14"/>
        <v>7.1505000000000001</v>
      </c>
      <c r="Z239" s="368">
        <f t="shared" si="15"/>
        <v>4.0564999999999998</v>
      </c>
    </row>
    <row r="240" spans="1:26" s="171" customFormat="1" ht="14.4">
      <c r="A240" s="339" t="s">
        <v>2004</v>
      </c>
      <c r="B240" s="343" t="s">
        <v>2011</v>
      </c>
      <c r="C240" s="40"/>
      <c r="D240" s="40" t="s">
        <v>1666</v>
      </c>
      <c r="E240" s="48"/>
      <c r="F240" s="48"/>
      <c r="G240" s="48"/>
      <c r="H240" s="48"/>
      <c r="I240" s="48" t="s">
        <v>2006</v>
      </c>
      <c r="J240" s="48"/>
      <c r="K240" s="48"/>
      <c r="L240" s="48"/>
      <c r="M240" s="48"/>
      <c r="N240" s="48"/>
      <c r="O240" s="339"/>
      <c r="P240" s="48"/>
      <c r="Q240" s="48"/>
      <c r="R240" s="339"/>
      <c r="S240" s="48"/>
      <c r="T240" s="48"/>
      <c r="U240" s="339"/>
      <c r="V240" s="23">
        <v>80</v>
      </c>
      <c r="W240" s="368">
        <f t="shared" si="12"/>
        <v>15.864000000000001</v>
      </c>
      <c r="X240" s="368">
        <f t="shared" si="13"/>
        <v>8.7919999999999998</v>
      </c>
      <c r="Y240" s="368">
        <f t="shared" si="14"/>
        <v>16.344000000000001</v>
      </c>
      <c r="Z240" s="368">
        <f t="shared" si="15"/>
        <v>9.2720000000000002</v>
      </c>
    </row>
    <row r="241" spans="1:26" s="171" customFormat="1" ht="14.4">
      <c r="A241" s="339" t="s">
        <v>2005</v>
      </c>
      <c r="B241" s="343" t="s">
        <v>2012</v>
      </c>
      <c r="C241" s="40"/>
      <c r="D241" s="40" t="s">
        <v>1666</v>
      </c>
      <c r="E241" s="48"/>
      <c r="F241" s="48"/>
      <c r="G241" s="48"/>
      <c r="H241" s="48"/>
      <c r="I241" s="48" t="s">
        <v>2007</v>
      </c>
      <c r="J241" s="48"/>
      <c r="K241" s="48"/>
      <c r="L241" s="48"/>
      <c r="M241" s="48"/>
      <c r="N241" s="48"/>
      <c r="O241" s="339"/>
      <c r="P241" s="48"/>
      <c r="Q241" s="48"/>
      <c r="R241" s="339"/>
      <c r="S241" s="48"/>
      <c r="T241" s="48"/>
      <c r="U241" s="339"/>
      <c r="V241" s="23">
        <v>260</v>
      </c>
      <c r="W241" s="368">
        <f t="shared" si="12"/>
        <v>51.558</v>
      </c>
      <c r="X241" s="368">
        <f t="shared" si="13"/>
        <v>28.573999999999998</v>
      </c>
      <c r="Y241" s="368">
        <f t="shared" si="14"/>
        <v>53.118000000000002</v>
      </c>
      <c r="Z241" s="368">
        <f t="shared" si="15"/>
        <v>30.134</v>
      </c>
    </row>
    <row r="242" spans="1:26" s="171" customFormat="1" ht="14.4">
      <c r="A242" s="339" t="s">
        <v>1668</v>
      </c>
      <c r="B242" s="339" t="s">
        <v>473</v>
      </c>
      <c r="C242" s="40"/>
      <c r="D242" s="40" t="s">
        <v>1666</v>
      </c>
      <c r="E242" s="48"/>
      <c r="F242" s="48"/>
      <c r="G242" s="48"/>
      <c r="H242" s="48"/>
      <c r="I242" s="339" t="s">
        <v>474</v>
      </c>
      <c r="J242" s="48"/>
      <c r="K242" s="48"/>
      <c r="L242" s="48"/>
      <c r="M242" s="48"/>
      <c r="N242" s="48"/>
      <c r="O242" s="339"/>
      <c r="P242" s="48"/>
      <c r="Q242" s="48"/>
      <c r="R242" s="339"/>
      <c r="S242" s="48"/>
      <c r="T242" s="48"/>
      <c r="U242" s="339"/>
      <c r="V242" s="23">
        <v>155</v>
      </c>
      <c r="W242" s="368">
        <f t="shared" si="12"/>
        <v>30.736499999999999</v>
      </c>
      <c r="X242" s="368">
        <f t="shared" si="13"/>
        <v>17.034500000000001</v>
      </c>
      <c r="Y242" s="368">
        <f t="shared" si="14"/>
        <v>31.666500000000003</v>
      </c>
      <c r="Z242" s="368">
        <f t="shared" si="15"/>
        <v>17.964500000000001</v>
      </c>
    </row>
    <row r="243" spans="1:26" s="171" customFormat="1" ht="14.4">
      <c r="A243" s="339" t="s">
        <v>1993</v>
      </c>
      <c r="B243" s="339" t="s">
        <v>475</v>
      </c>
      <c r="C243" s="40" t="s">
        <v>312</v>
      </c>
      <c r="D243" s="40" t="s">
        <v>1666</v>
      </c>
      <c r="E243" s="48"/>
      <c r="F243" s="48"/>
      <c r="G243" s="48"/>
      <c r="H243" s="48"/>
      <c r="I243" s="339" t="s">
        <v>476</v>
      </c>
      <c r="J243" s="48"/>
      <c r="K243" s="48"/>
      <c r="L243" s="48"/>
      <c r="M243" s="48"/>
      <c r="N243" s="48"/>
      <c r="O243" s="339"/>
      <c r="P243" s="48"/>
      <c r="Q243" s="48"/>
      <c r="R243" s="339"/>
      <c r="S243" s="48"/>
      <c r="T243" s="48"/>
      <c r="U243" s="339"/>
      <c r="V243" s="23">
        <v>190</v>
      </c>
      <c r="W243" s="368">
        <f t="shared" si="12"/>
        <v>37.677</v>
      </c>
      <c r="X243" s="368">
        <f t="shared" si="13"/>
        <v>20.881</v>
      </c>
      <c r="Y243" s="368">
        <f t="shared" si="14"/>
        <v>38.817</v>
      </c>
      <c r="Z243" s="368">
        <f t="shared" si="15"/>
        <v>22.021000000000001</v>
      </c>
    </row>
    <row r="244" spans="1:26" s="171" customFormat="1" ht="14.4">
      <c r="A244" s="339" t="s">
        <v>2014</v>
      </c>
      <c r="B244" s="339" t="s">
        <v>2008</v>
      </c>
      <c r="C244" s="40"/>
      <c r="D244" s="40" t="s">
        <v>1666</v>
      </c>
      <c r="E244" s="48"/>
      <c r="F244" s="48"/>
      <c r="G244" s="48"/>
      <c r="H244" s="48"/>
      <c r="I244" s="339" t="s">
        <v>2009</v>
      </c>
      <c r="J244" s="48"/>
      <c r="K244" s="48"/>
      <c r="L244" s="48"/>
      <c r="M244" s="48"/>
      <c r="N244" s="48"/>
      <c r="O244" s="339"/>
      <c r="P244" s="48"/>
      <c r="Q244" s="48"/>
      <c r="R244" s="339"/>
      <c r="S244" s="48"/>
      <c r="T244" s="48"/>
      <c r="U244" s="339"/>
      <c r="V244" s="23">
        <v>335</v>
      </c>
      <c r="W244" s="368">
        <f t="shared" si="12"/>
        <v>66.430499999999995</v>
      </c>
      <c r="X244" s="368">
        <f t="shared" si="13"/>
        <v>36.816499999999998</v>
      </c>
      <c r="Y244" s="368">
        <f t="shared" si="14"/>
        <v>68.4405</v>
      </c>
      <c r="Z244" s="368">
        <f t="shared" si="15"/>
        <v>38.826500000000003</v>
      </c>
    </row>
    <row r="245" spans="1:26" s="171" customFormat="1" ht="14.4">
      <c r="A245" s="339" t="s">
        <v>2003</v>
      </c>
      <c r="B245" s="339" t="s">
        <v>2013</v>
      </c>
      <c r="C245" s="40" t="s">
        <v>312</v>
      </c>
      <c r="D245" s="40" t="s">
        <v>1666</v>
      </c>
      <c r="E245" s="48"/>
      <c r="F245" s="48"/>
      <c r="G245" s="48"/>
      <c r="H245" s="48"/>
      <c r="I245" s="339" t="s">
        <v>2010</v>
      </c>
      <c r="J245" s="48"/>
      <c r="K245" s="48"/>
      <c r="L245" s="48"/>
      <c r="M245" s="48"/>
      <c r="N245" s="48"/>
      <c r="O245" s="339"/>
      <c r="P245" s="48"/>
      <c r="Q245" s="48"/>
      <c r="R245" s="339"/>
      <c r="S245" s="48"/>
      <c r="T245" s="48"/>
      <c r="U245" s="339"/>
      <c r="V245" s="23">
        <v>370</v>
      </c>
      <c r="W245" s="368">
        <f t="shared" si="12"/>
        <v>73.370999999999995</v>
      </c>
      <c r="X245" s="368">
        <f t="shared" si="13"/>
        <v>40.662999999999997</v>
      </c>
      <c r="Y245" s="368">
        <f t="shared" si="14"/>
        <v>75.591000000000008</v>
      </c>
      <c r="Z245" s="368">
        <f t="shared" si="15"/>
        <v>42.883000000000003</v>
      </c>
    </row>
    <row r="246" spans="1:26" s="253" customFormat="1" ht="14.4">
      <c r="A246" s="297"/>
      <c r="B246" s="307"/>
      <c r="C246" s="107"/>
      <c r="D246" s="330"/>
      <c r="E246" s="331"/>
      <c r="F246" s="331"/>
      <c r="G246" s="331"/>
      <c r="H246" s="331"/>
      <c r="I246" s="331"/>
      <c r="J246" s="331"/>
      <c r="K246" s="331"/>
      <c r="L246" s="331"/>
      <c r="M246" s="331"/>
      <c r="N246" s="298"/>
      <c r="O246" s="297"/>
      <c r="P246" s="331"/>
      <c r="Q246" s="298"/>
      <c r="R246" s="297"/>
      <c r="S246" s="331"/>
      <c r="T246" s="298"/>
      <c r="U246" s="297"/>
      <c r="V246" s="257"/>
      <c r="W246" s="372"/>
      <c r="X246" s="372"/>
      <c r="Y246" s="372"/>
      <c r="Z246" s="372"/>
    </row>
    <row r="247" spans="1:26">
      <c r="A247" s="98" t="s">
        <v>313</v>
      </c>
      <c r="B247" s="108"/>
      <c r="C247" s="108"/>
      <c r="D247" s="108"/>
      <c r="E247" s="223"/>
      <c r="F247" s="223"/>
      <c r="G247" s="223"/>
      <c r="H247" s="223"/>
      <c r="I247" s="223"/>
      <c r="J247" s="223"/>
      <c r="K247" s="223"/>
      <c r="L247" s="223"/>
      <c r="M247" s="223"/>
      <c r="N247" s="223"/>
      <c r="O247" s="223"/>
      <c r="P247" s="223"/>
      <c r="Q247" s="223"/>
      <c r="R247" s="223"/>
      <c r="S247" s="223"/>
      <c r="T247" s="223"/>
      <c r="U247" s="223"/>
      <c r="V247" s="126"/>
      <c r="W247" s="126"/>
      <c r="X247" s="126"/>
      <c r="Y247" s="126"/>
      <c r="Z247" s="126"/>
    </row>
    <row r="248" spans="1:26" s="171" customFormat="1" ht="14.4">
      <c r="A248" s="69" t="s">
        <v>477</v>
      </c>
      <c r="B248" s="69" t="s">
        <v>478</v>
      </c>
      <c r="C248" s="40"/>
      <c r="D248" s="40"/>
      <c r="E248" s="48"/>
      <c r="F248" s="48"/>
      <c r="G248" s="48"/>
      <c r="H248" s="48"/>
      <c r="I248" s="48"/>
      <c r="J248" s="48"/>
      <c r="K248" s="339" t="s">
        <v>479</v>
      </c>
      <c r="L248" s="48"/>
      <c r="M248" s="48"/>
      <c r="N248" s="339" t="s">
        <v>480</v>
      </c>
      <c r="O248" s="339" t="s">
        <v>481</v>
      </c>
      <c r="P248" s="48"/>
      <c r="Q248" s="339" t="s">
        <v>482</v>
      </c>
      <c r="R248" s="339"/>
      <c r="S248" s="48"/>
      <c r="T248" s="339" t="s">
        <v>484</v>
      </c>
      <c r="U248" s="339" t="s">
        <v>483</v>
      </c>
      <c r="V248" s="23">
        <v>3</v>
      </c>
      <c r="W248" s="368">
        <f t="shared" si="12"/>
        <v>0.59489999999999998</v>
      </c>
      <c r="X248" s="368">
        <f t="shared" si="13"/>
        <v>0.32969999999999999</v>
      </c>
      <c r="Y248" s="368">
        <f t="shared" si="14"/>
        <v>0.6129</v>
      </c>
      <c r="Z248" s="368">
        <f t="shared" si="15"/>
        <v>0.34770000000000001</v>
      </c>
    </row>
    <row r="249" spans="1:26" s="171" customFormat="1" ht="14.4">
      <c r="A249" s="69" t="s">
        <v>485</v>
      </c>
      <c r="B249" s="69" t="s">
        <v>314</v>
      </c>
      <c r="C249" s="40"/>
      <c r="D249" s="40"/>
      <c r="E249" s="48"/>
      <c r="F249" s="48"/>
      <c r="G249" s="48"/>
      <c r="H249" s="48"/>
      <c r="I249" s="48"/>
      <c r="J249" s="48"/>
      <c r="K249" s="339" t="s">
        <v>486</v>
      </c>
      <c r="L249" s="48"/>
      <c r="M249" s="48"/>
      <c r="N249" s="339" t="s">
        <v>487</v>
      </c>
      <c r="O249" s="339" t="s">
        <v>488</v>
      </c>
      <c r="P249" s="48"/>
      <c r="Q249" s="339" t="s">
        <v>489</v>
      </c>
      <c r="R249" s="339"/>
      <c r="S249" s="48"/>
      <c r="T249" s="339" t="s">
        <v>491</v>
      </c>
      <c r="U249" s="339" t="s">
        <v>490</v>
      </c>
      <c r="V249" s="23">
        <v>82</v>
      </c>
      <c r="W249" s="368">
        <f t="shared" si="12"/>
        <v>16.2606</v>
      </c>
      <c r="X249" s="368">
        <f t="shared" si="13"/>
        <v>9.0117999999999991</v>
      </c>
      <c r="Y249" s="368">
        <f t="shared" si="14"/>
        <v>16.752600000000001</v>
      </c>
      <c r="Z249" s="368">
        <f t="shared" si="15"/>
        <v>9.5038</v>
      </c>
    </row>
    <row r="250" spans="1:26" s="177" customFormat="1" ht="14.4">
      <c r="A250" s="69" t="s">
        <v>492</v>
      </c>
      <c r="B250" s="69" t="s">
        <v>315</v>
      </c>
      <c r="C250" s="40"/>
      <c r="D250" s="40"/>
      <c r="E250" s="48"/>
      <c r="F250" s="48"/>
      <c r="G250" s="48"/>
      <c r="H250" s="48"/>
      <c r="I250" s="48"/>
      <c r="J250" s="48"/>
      <c r="K250" s="339" t="s">
        <v>493</v>
      </c>
      <c r="L250" s="48"/>
      <c r="M250" s="48"/>
      <c r="N250" s="339" t="s">
        <v>494</v>
      </c>
      <c r="O250" s="339" t="s">
        <v>495</v>
      </c>
      <c r="P250" s="48"/>
      <c r="Q250" s="339" t="s">
        <v>496</v>
      </c>
      <c r="R250" s="339"/>
      <c r="S250" s="48"/>
      <c r="T250" s="339" t="s">
        <v>498</v>
      </c>
      <c r="U250" s="339" t="s">
        <v>497</v>
      </c>
      <c r="V250" s="23">
        <v>82</v>
      </c>
      <c r="W250" s="368">
        <f t="shared" si="12"/>
        <v>16.2606</v>
      </c>
      <c r="X250" s="368">
        <f t="shared" si="13"/>
        <v>9.0117999999999991</v>
      </c>
      <c r="Y250" s="368">
        <f t="shared" si="14"/>
        <v>16.752600000000001</v>
      </c>
      <c r="Z250" s="368">
        <f t="shared" si="15"/>
        <v>9.5038</v>
      </c>
    </row>
    <row r="251" spans="1:26" s="171" customFormat="1" ht="14.4">
      <c r="A251" s="69" t="s">
        <v>499</v>
      </c>
      <c r="B251" s="69" t="s">
        <v>316</v>
      </c>
      <c r="C251" s="40"/>
      <c r="D251" s="40"/>
      <c r="E251" s="48"/>
      <c r="F251" s="48"/>
      <c r="G251" s="48"/>
      <c r="H251" s="48"/>
      <c r="I251" s="48"/>
      <c r="J251" s="48"/>
      <c r="K251" s="339" t="s">
        <v>500</v>
      </c>
      <c r="L251" s="48"/>
      <c r="M251" s="48"/>
      <c r="N251" s="339" t="s">
        <v>501</v>
      </c>
      <c r="O251" s="339" t="s">
        <v>502</v>
      </c>
      <c r="P251" s="48"/>
      <c r="Q251" s="339" t="s">
        <v>503</v>
      </c>
      <c r="R251" s="339"/>
      <c r="S251" s="48"/>
      <c r="T251" s="339" t="s">
        <v>505</v>
      </c>
      <c r="U251" s="339" t="s">
        <v>504</v>
      </c>
      <c r="V251" s="23">
        <v>183</v>
      </c>
      <c r="W251" s="368">
        <f t="shared" si="12"/>
        <v>36.288899999999998</v>
      </c>
      <c r="X251" s="368">
        <f t="shared" si="13"/>
        <v>20.111699999999999</v>
      </c>
      <c r="Y251" s="368">
        <f t="shared" si="14"/>
        <v>37.386900000000004</v>
      </c>
      <c r="Z251" s="368">
        <f t="shared" si="15"/>
        <v>21.209700000000002</v>
      </c>
    </row>
    <row r="252" spans="1:26" s="171" customFormat="1">
      <c r="A252" s="71"/>
      <c r="B252" s="52"/>
      <c r="C252" s="150"/>
      <c r="D252" s="150"/>
      <c r="E252" s="104"/>
      <c r="F252" s="104"/>
      <c r="G252" s="104"/>
      <c r="H252" s="104"/>
      <c r="I252" s="104"/>
      <c r="J252" s="104"/>
      <c r="K252" s="104"/>
      <c r="L252" s="104"/>
      <c r="M252" s="104"/>
      <c r="N252" s="104"/>
      <c r="O252" s="104"/>
      <c r="P252" s="104"/>
      <c r="Q252" s="104"/>
      <c r="R252" s="104"/>
      <c r="S252" s="104"/>
      <c r="T252" s="104"/>
      <c r="U252" s="104"/>
      <c r="V252" s="23"/>
      <c r="W252" s="368"/>
      <c r="X252" s="368"/>
      <c r="Y252" s="368"/>
      <c r="Z252" s="368"/>
    </row>
    <row r="253" spans="1:26">
      <c r="A253" s="98" t="s">
        <v>317</v>
      </c>
      <c r="B253" s="108"/>
      <c r="C253" s="108"/>
      <c r="D253" s="108"/>
      <c r="E253" s="223"/>
      <c r="F253" s="223"/>
      <c r="G253" s="223"/>
      <c r="H253" s="223"/>
      <c r="I253" s="223"/>
      <c r="J253" s="223"/>
      <c r="K253" s="223"/>
      <c r="L253" s="223"/>
      <c r="M253" s="223"/>
      <c r="N253" s="223"/>
      <c r="O253" s="223"/>
      <c r="P253" s="223"/>
      <c r="Q253" s="223"/>
      <c r="R253" s="223"/>
      <c r="S253" s="226"/>
      <c r="T253" s="226"/>
      <c r="U253" s="226"/>
      <c r="V253" s="126"/>
      <c r="W253" s="126"/>
      <c r="X253" s="126"/>
      <c r="Y253" s="126"/>
      <c r="Z253" s="126"/>
    </row>
    <row r="254" spans="1:26" s="166" customFormat="1"/>
    <row r="255" spans="1:26" s="163" customFormat="1">
      <c r="A255" s="348" t="s">
        <v>1696</v>
      </c>
      <c r="B255" s="69" t="s">
        <v>506</v>
      </c>
      <c r="C255" s="69"/>
      <c r="D255" s="69"/>
      <c r="E255" s="69"/>
      <c r="F255" s="69" t="s">
        <v>539</v>
      </c>
      <c r="G255" s="69"/>
      <c r="H255" s="69" t="s">
        <v>507</v>
      </c>
      <c r="I255" s="69" t="s">
        <v>508</v>
      </c>
      <c r="J255" s="69"/>
      <c r="K255" s="69"/>
      <c r="L255" s="69"/>
      <c r="M255" s="69"/>
      <c r="N255" s="69"/>
      <c r="O255" s="69"/>
      <c r="P255" s="69"/>
      <c r="Q255" s="69"/>
      <c r="R255" s="69"/>
      <c r="S255" s="69"/>
      <c r="T255" s="69"/>
      <c r="U255" s="69"/>
      <c r="V255" s="23">
        <v>0</v>
      </c>
      <c r="W255" s="368">
        <f t="shared" si="12"/>
        <v>0</v>
      </c>
      <c r="X255" s="368">
        <f t="shared" si="13"/>
        <v>0</v>
      </c>
      <c r="Y255" s="368">
        <f t="shared" si="14"/>
        <v>0</v>
      </c>
      <c r="Z255" s="368">
        <f t="shared" si="15"/>
        <v>0</v>
      </c>
    </row>
    <row r="256" spans="1:26" s="163" customFormat="1">
      <c r="A256" s="348" t="s">
        <v>1697</v>
      </c>
      <c r="B256" s="69" t="s">
        <v>509</v>
      </c>
      <c r="C256" s="69"/>
      <c r="D256" s="69"/>
      <c r="E256" s="69"/>
      <c r="F256" s="69" t="s">
        <v>540</v>
      </c>
      <c r="G256" s="69"/>
      <c r="H256" s="69" t="s">
        <v>510</v>
      </c>
      <c r="I256" s="69" t="s">
        <v>511</v>
      </c>
      <c r="J256" s="69"/>
      <c r="K256" s="69"/>
      <c r="L256" s="69"/>
      <c r="M256" s="69"/>
      <c r="N256" s="69"/>
      <c r="O256" s="69"/>
      <c r="P256" s="69"/>
      <c r="Q256" s="69"/>
      <c r="R256" s="69"/>
      <c r="S256" s="69"/>
      <c r="T256" s="69"/>
      <c r="U256" s="69"/>
      <c r="V256" s="23">
        <v>25</v>
      </c>
      <c r="W256" s="368">
        <f t="shared" si="12"/>
        <v>4.9575000000000005</v>
      </c>
      <c r="X256" s="368">
        <f t="shared" si="13"/>
        <v>2.7475000000000001</v>
      </c>
      <c r="Y256" s="368">
        <f t="shared" si="14"/>
        <v>5.1074999999999999</v>
      </c>
      <c r="Z256" s="368">
        <f t="shared" si="15"/>
        <v>2.8975</v>
      </c>
    </row>
    <row r="257" spans="1:45" s="163" customFormat="1">
      <c r="A257" s="348" t="s">
        <v>1960</v>
      </c>
      <c r="B257" s="69" t="s">
        <v>512</v>
      </c>
      <c r="C257" s="69"/>
      <c r="D257" s="69"/>
      <c r="E257" s="69"/>
      <c r="F257" s="69" t="s">
        <v>541</v>
      </c>
      <c r="G257" s="69"/>
      <c r="H257" s="69" t="s">
        <v>513</v>
      </c>
      <c r="I257" s="69" t="s">
        <v>514</v>
      </c>
      <c r="J257" s="69"/>
      <c r="K257" s="69"/>
      <c r="L257" s="69"/>
      <c r="M257" s="69"/>
      <c r="N257" s="69"/>
      <c r="O257" s="69"/>
      <c r="P257" s="69"/>
      <c r="Q257" s="69"/>
      <c r="R257" s="69"/>
      <c r="S257" s="69"/>
      <c r="T257" s="69"/>
      <c r="U257" s="69"/>
      <c r="V257" s="23">
        <v>0</v>
      </c>
      <c r="W257" s="368">
        <f t="shared" si="12"/>
        <v>0</v>
      </c>
      <c r="X257" s="368">
        <f t="shared" si="13"/>
        <v>0</v>
      </c>
      <c r="Y257" s="368">
        <f t="shared" si="14"/>
        <v>0</v>
      </c>
      <c r="Z257" s="368">
        <f t="shared" si="15"/>
        <v>0</v>
      </c>
    </row>
    <row r="258" spans="1:45" s="163" customFormat="1">
      <c r="A258" s="348" t="s">
        <v>1961</v>
      </c>
      <c r="B258" s="69" t="s">
        <v>515</v>
      </c>
      <c r="C258" s="69"/>
      <c r="D258" s="69"/>
      <c r="E258" s="69"/>
      <c r="F258" s="69" t="s">
        <v>548</v>
      </c>
      <c r="G258" s="69"/>
      <c r="H258" s="69" t="s">
        <v>516</v>
      </c>
      <c r="I258" s="69" t="s">
        <v>517</v>
      </c>
      <c r="J258" s="69"/>
      <c r="K258" s="69"/>
      <c r="L258" s="69"/>
      <c r="M258" s="69"/>
      <c r="N258" s="69"/>
      <c r="O258" s="69"/>
      <c r="P258" s="69"/>
      <c r="Q258" s="69"/>
      <c r="R258" s="69"/>
      <c r="S258" s="69"/>
      <c r="T258" s="69"/>
      <c r="U258" s="69"/>
      <c r="V258" s="23">
        <v>8</v>
      </c>
      <c r="W258" s="368">
        <f t="shared" si="12"/>
        <v>1.5864</v>
      </c>
      <c r="X258" s="368">
        <f t="shared" si="13"/>
        <v>0.87919999999999998</v>
      </c>
      <c r="Y258" s="368">
        <f t="shared" si="14"/>
        <v>1.6344000000000001</v>
      </c>
      <c r="Z258" s="368">
        <f t="shared" si="15"/>
        <v>0.92720000000000002</v>
      </c>
    </row>
    <row r="259" spans="1:45" s="163" customFormat="1">
      <c r="A259" s="348" t="s">
        <v>1962</v>
      </c>
      <c r="B259" s="69" t="s">
        <v>518</v>
      </c>
      <c r="C259" s="69"/>
      <c r="D259" s="69"/>
      <c r="E259" s="69"/>
      <c r="F259" s="69" t="s">
        <v>549</v>
      </c>
      <c r="G259" s="69"/>
      <c r="H259" s="69" t="s">
        <v>519</v>
      </c>
      <c r="I259" s="69" t="s">
        <v>520</v>
      </c>
      <c r="J259" s="69"/>
      <c r="K259" s="69"/>
      <c r="L259" s="69"/>
      <c r="M259" s="69"/>
      <c r="N259" s="69"/>
      <c r="O259" s="69"/>
      <c r="P259" s="69"/>
      <c r="Q259" s="69"/>
      <c r="R259" s="69"/>
      <c r="S259" s="69"/>
      <c r="T259" s="69"/>
      <c r="U259" s="69"/>
      <c r="V259" s="23">
        <v>33</v>
      </c>
      <c r="W259" s="368">
        <f t="shared" si="12"/>
        <v>6.5438999999999998</v>
      </c>
      <c r="X259" s="368">
        <f t="shared" si="13"/>
        <v>3.6267</v>
      </c>
      <c r="Y259" s="368">
        <f t="shared" si="14"/>
        <v>6.7419000000000002</v>
      </c>
      <c r="Z259" s="368">
        <f t="shared" si="15"/>
        <v>3.8247</v>
      </c>
    </row>
    <row r="260" spans="1:45" s="163" customFormat="1" ht="27.6">
      <c r="A260" s="142" t="s">
        <v>1706</v>
      </c>
      <c r="B260" s="69" t="s">
        <v>533</v>
      </c>
      <c r="C260" s="69"/>
      <c r="D260" s="69"/>
      <c r="E260" s="69"/>
      <c r="F260" s="69" t="s">
        <v>546</v>
      </c>
      <c r="G260" s="69"/>
      <c r="H260" s="69" t="s">
        <v>534</v>
      </c>
      <c r="I260" s="69" t="s">
        <v>535</v>
      </c>
      <c r="J260" s="69"/>
      <c r="K260" s="69"/>
      <c r="L260" s="69"/>
      <c r="M260" s="69"/>
      <c r="N260" s="69"/>
      <c r="O260" s="69"/>
      <c r="P260" s="69"/>
      <c r="Q260" s="69"/>
      <c r="R260" s="69"/>
      <c r="S260" s="69"/>
      <c r="T260" s="69"/>
      <c r="U260" s="69"/>
      <c r="V260" s="23">
        <v>33</v>
      </c>
      <c r="W260" s="368">
        <f t="shared" si="12"/>
        <v>6.5438999999999998</v>
      </c>
      <c r="X260" s="368">
        <f t="shared" si="13"/>
        <v>3.6267</v>
      </c>
      <c r="Y260" s="368">
        <f t="shared" si="14"/>
        <v>6.7419000000000002</v>
      </c>
      <c r="Z260" s="368">
        <f t="shared" si="15"/>
        <v>3.8247</v>
      </c>
    </row>
    <row r="261" spans="1:45" s="163" customFormat="1" ht="27.6">
      <c r="A261" s="142" t="s">
        <v>1705</v>
      </c>
      <c r="B261" s="69" t="s">
        <v>530</v>
      </c>
      <c r="C261" s="69"/>
      <c r="D261" s="69"/>
      <c r="E261" s="69"/>
      <c r="F261" s="69" t="s">
        <v>545</v>
      </c>
      <c r="G261" s="69"/>
      <c r="H261" s="69" t="s">
        <v>531</v>
      </c>
      <c r="I261" s="69" t="s">
        <v>532</v>
      </c>
      <c r="J261" s="69"/>
      <c r="K261" s="69"/>
      <c r="L261" s="69"/>
      <c r="M261" s="69"/>
      <c r="N261" s="69"/>
      <c r="O261" s="69"/>
      <c r="P261" s="69"/>
      <c r="Q261" s="69"/>
      <c r="R261" s="69"/>
      <c r="S261" s="69"/>
      <c r="T261" s="69"/>
      <c r="U261" s="69"/>
      <c r="V261" s="23">
        <v>33</v>
      </c>
      <c r="W261" s="368">
        <f t="shared" si="12"/>
        <v>6.5438999999999998</v>
      </c>
      <c r="X261" s="368">
        <f t="shared" si="13"/>
        <v>3.6267</v>
      </c>
      <c r="Y261" s="368">
        <f t="shared" si="14"/>
        <v>6.7419000000000002</v>
      </c>
      <c r="Z261" s="368">
        <f t="shared" si="15"/>
        <v>3.8247</v>
      </c>
    </row>
    <row r="262" spans="1:45" s="163" customFormat="1" ht="27.6">
      <c r="A262" s="142" t="s">
        <v>1964</v>
      </c>
      <c r="B262" s="69" t="s">
        <v>536</v>
      </c>
      <c r="C262" s="69"/>
      <c r="D262" s="69"/>
      <c r="E262" s="69"/>
      <c r="F262" s="69" t="s">
        <v>547</v>
      </c>
      <c r="G262" s="69"/>
      <c r="H262" s="69" t="s">
        <v>537</v>
      </c>
      <c r="I262" s="69" t="s">
        <v>538</v>
      </c>
      <c r="J262" s="69"/>
      <c r="K262" s="69"/>
      <c r="L262" s="69"/>
      <c r="M262" s="69"/>
      <c r="N262" s="69"/>
      <c r="O262" s="69"/>
      <c r="P262" s="69"/>
      <c r="Q262" s="69"/>
      <c r="R262" s="69"/>
      <c r="S262" s="69"/>
      <c r="T262" s="69"/>
      <c r="U262" s="69"/>
      <c r="V262" s="23">
        <v>41</v>
      </c>
      <c r="W262" s="368">
        <f t="shared" si="12"/>
        <v>8.1303000000000001</v>
      </c>
      <c r="X262" s="368">
        <f t="shared" si="13"/>
        <v>4.5058999999999996</v>
      </c>
      <c r="Y262" s="368">
        <f t="shared" si="14"/>
        <v>8.3763000000000005</v>
      </c>
      <c r="Z262" s="368">
        <f t="shared" si="15"/>
        <v>4.7519</v>
      </c>
    </row>
    <row r="263" spans="1:45" s="163" customFormat="1" ht="27.6">
      <c r="A263" s="142" t="s">
        <v>1703</v>
      </c>
      <c r="B263" s="69" t="s">
        <v>521</v>
      </c>
      <c r="C263" s="69"/>
      <c r="D263" s="69"/>
      <c r="E263" s="69"/>
      <c r="F263" s="69" t="s">
        <v>543</v>
      </c>
      <c r="G263" s="69"/>
      <c r="H263" s="69" t="s">
        <v>522</v>
      </c>
      <c r="I263" s="69" t="s">
        <v>523</v>
      </c>
      <c r="J263" s="69"/>
      <c r="K263" s="69"/>
      <c r="L263" s="69"/>
      <c r="M263" s="69"/>
      <c r="N263" s="69"/>
      <c r="O263" s="69"/>
      <c r="P263" s="69"/>
      <c r="Q263" s="69"/>
      <c r="R263" s="69"/>
      <c r="S263" s="69"/>
      <c r="T263" s="69"/>
      <c r="U263" s="69"/>
      <c r="V263" s="23">
        <v>91</v>
      </c>
      <c r="W263" s="368">
        <f t="shared" si="12"/>
        <v>18.045300000000001</v>
      </c>
      <c r="X263" s="368">
        <f t="shared" si="13"/>
        <v>10.0009</v>
      </c>
      <c r="Y263" s="368">
        <f t="shared" si="14"/>
        <v>18.5913</v>
      </c>
      <c r="Z263" s="368">
        <f t="shared" si="15"/>
        <v>10.546900000000001</v>
      </c>
    </row>
    <row r="264" spans="1:45" s="163" customFormat="1" ht="27.6">
      <c r="A264" s="142" t="s">
        <v>1704</v>
      </c>
      <c r="B264" s="69" t="s">
        <v>524</v>
      </c>
      <c r="C264" s="69"/>
      <c r="D264" s="69"/>
      <c r="E264" s="69"/>
      <c r="F264" s="69" t="s">
        <v>542</v>
      </c>
      <c r="G264" s="69"/>
      <c r="H264" s="69" t="s">
        <v>525</v>
      </c>
      <c r="I264" s="69" t="s">
        <v>526</v>
      </c>
      <c r="J264" s="69"/>
      <c r="K264" s="69"/>
      <c r="L264" s="69"/>
      <c r="M264" s="69"/>
      <c r="N264" s="69"/>
      <c r="O264" s="69"/>
      <c r="P264" s="69"/>
      <c r="Q264" s="69"/>
      <c r="R264" s="69"/>
      <c r="S264" s="69"/>
      <c r="T264" s="69"/>
      <c r="U264" s="69"/>
      <c r="V264" s="23">
        <v>91</v>
      </c>
      <c r="W264" s="368">
        <f t="shared" si="12"/>
        <v>18.045300000000001</v>
      </c>
      <c r="X264" s="368">
        <f t="shared" si="13"/>
        <v>10.0009</v>
      </c>
      <c r="Y264" s="368">
        <f t="shared" si="14"/>
        <v>18.5913</v>
      </c>
      <c r="Z264" s="368">
        <f t="shared" si="15"/>
        <v>10.546900000000001</v>
      </c>
    </row>
    <row r="265" spans="1:45" s="163" customFormat="1" ht="27.6">
      <c r="A265" s="142" t="s">
        <v>1963</v>
      </c>
      <c r="B265" s="69" t="s">
        <v>527</v>
      </c>
      <c r="C265" s="69"/>
      <c r="D265" s="69"/>
      <c r="E265" s="69"/>
      <c r="F265" s="69" t="s">
        <v>544</v>
      </c>
      <c r="G265" s="69"/>
      <c r="H265" s="69" t="s">
        <v>528</v>
      </c>
      <c r="I265" s="69" t="s">
        <v>529</v>
      </c>
      <c r="J265" s="69"/>
      <c r="K265" s="69"/>
      <c r="L265" s="69"/>
      <c r="M265" s="69"/>
      <c r="N265" s="69"/>
      <c r="O265" s="69"/>
      <c r="P265" s="69"/>
      <c r="Q265" s="69"/>
      <c r="R265" s="69"/>
      <c r="S265" s="69"/>
      <c r="T265" s="69"/>
      <c r="U265" s="69"/>
      <c r="V265" s="349">
        <v>99</v>
      </c>
      <c r="W265" s="373">
        <f t="shared" si="12"/>
        <v>19.631700000000002</v>
      </c>
      <c r="X265" s="373">
        <f t="shared" si="13"/>
        <v>10.880100000000001</v>
      </c>
      <c r="Y265" s="373">
        <f t="shared" si="14"/>
        <v>20.2257</v>
      </c>
      <c r="Z265" s="373">
        <f t="shared" si="15"/>
        <v>11.4741</v>
      </c>
    </row>
    <row r="266" spans="1:45" s="166" customFormat="1">
      <c r="A266" s="308"/>
      <c r="B266" s="142"/>
      <c r="C266" s="142"/>
      <c r="D266" s="142"/>
      <c r="E266" s="142"/>
      <c r="F266" s="142"/>
      <c r="G266" s="142"/>
      <c r="H266" s="142"/>
      <c r="I266" s="142"/>
      <c r="J266" s="142"/>
      <c r="K266" s="142"/>
      <c r="L266" s="142"/>
      <c r="M266" s="142"/>
      <c r="N266" s="142"/>
      <c r="O266" s="142"/>
      <c r="P266" s="142"/>
      <c r="Q266" s="142"/>
      <c r="R266" s="142"/>
      <c r="S266" s="142"/>
      <c r="T266" s="142"/>
      <c r="U266" s="142"/>
      <c r="V266" s="71"/>
      <c r="W266" s="71"/>
      <c r="X266" s="71"/>
      <c r="Y266" s="71"/>
      <c r="Z266" s="71"/>
    </row>
    <row r="267" spans="1:45">
      <c r="A267" s="98" t="s">
        <v>197</v>
      </c>
      <c r="B267" s="103"/>
      <c r="C267" s="103"/>
      <c r="D267" s="103"/>
      <c r="E267" s="226"/>
      <c r="F267" s="226"/>
      <c r="G267" s="226"/>
      <c r="H267" s="226"/>
      <c r="I267" s="226"/>
      <c r="J267" s="226"/>
      <c r="K267" s="226"/>
      <c r="L267" s="226"/>
      <c r="M267" s="226"/>
      <c r="N267" s="226"/>
      <c r="O267" s="226"/>
      <c r="P267" s="226"/>
      <c r="Q267" s="226"/>
      <c r="R267" s="226"/>
      <c r="S267" s="226"/>
      <c r="T267" s="226"/>
      <c r="U267" s="226"/>
      <c r="V267" s="126"/>
      <c r="W267" s="126"/>
      <c r="X267" s="126"/>
      <c r="Y267" s="126"/>
      <c r="Z267" s="126"/>
    </row>
    <row r="268" spans="1:45" s="33" customFormat="1">
      <c r="A268" s="69"/>
      <c r="B268" s="69"/>
      <c r="C268" s="150"/>
      <c r="D268" s="150"/>
      <c r="E268" s="104"/>
      <c r="F268" s="104"/>
      <c r="G268" s="104"/>
      <c r="H268" s="104"/>
      <c r="I268" s="104"/>
      <c r="J268" s="138"/>
      <c r="K268" s="138"/>
      <c r="L268" s="138"/>
      <c r="M268" s="138"/>
      <c r="N268" s="138"/>
      <c r="O268" s="138"/>
      <c r="P268" s="104"/>
      <c r="Q268" s="104"/>
      <c r="R268" s="104"/>
      <c r="S268" s="104"/>
      <c r="T268" s="104"/>
      <c r="U268" s="104"/>
      <c r="V268" s="23"/>
      <c r="W268" s="368"/>
      <c r="X268" s="368"/>
      <c r="Y268" s="368"/>
      <c r="Z268" s="368"/>
      <c r="AA268" s="166"/>
      <c r="AB268" s="166"/>
      <c r="AC268" s="166"/>
      <c r="AD268" s="166"/>
      <c r="AE268" s="166"/>
      <c r="AF268" s="166"/>
      <c r="AG268" s="166"/>
      <c r="AH268" s="166"/>
      <c r="AI268" s="166"/>
      <c r="AJ268" s="166"/>
      <c r="AK268" s="166"/>
      <c r="AL268" s="166"/>
      <c r="AM268" s="166"/>
      <c r="AN268" s="166"/>
      <c r="AO268" s="166"/>
      <c r="AP268" s="166"/>
      <c r="AQ268" s="166"/>
      <c r="AR268" s="166"/>
      <c r="AS268" s="166"/>
    </row>
    <row r="269" spans="1:45" s="163" customFormat="1" ht="31.5" customHeight="1">
      <c r="A269" s="69" t="s">
        <v>1698</v>
      </c>
      <c r="B269" s="69" t="s">
        <v>550</v>
      </c>
      <c r="C269" s="69"/>
      <c r="D269" s="69"/>
      <c r="E269" s="69"/>
      <c r="F269" s="69"/>
      <c r="G269" s="69"/>
      <c r="H269" s="69"/>
      <c r="I269" s="69"/>
      <c r="J269" s="69"/>
      <c r="K269" s="69" t="s">
        <v>551</v>
      </c>
      <c r="L269" s="69" t="s">
        <v>580</v>
      </c>
      <c r="M269" s="69"/>
      <c r="N269" s="69" t="s">
        <v>592</v>
      </c>
      <c r="O269" s="69" t="s">
        <v>607</v>
      </c>
      <c r="P269" s="69"/>
      <c r="Q269" s="69"/>
      <c r="R269" s="69"/>
      <c r="S269" s="69"/>
      <c r="T269" s="69"/>
      <c r="U269" s="69"/>
      <c r="V269" s="23">
        <v>0</v>
      </c>
      <c r="W269" s="368">
        <f t="shared" ref="W269:W332" si="16">V269*$W$9</f>
        <v>0</v>
      </c>
      <c r="X269" s="368">
        <f t="shared" ref="X269:X332" si="17">V269*$X$9</f>
        <v>0</v>
      </c>
      <c r="Y269" s="368">
        <f t="shared" ref="Y269:Y332" si="18">V269*$Y$9</f>
        <v>0</v>
      </c>
      <c r="Z269" s="368">
        <f t="shared" ref="Z269:Z332" si="19">V269*$Z$9</f>
        <v>0</v>
      </c>
    </row>
    <row r="270" spans="1:45" s="163" customFormat="1" ht="31.5" customHeight="1">
      <c r="A270" s="69" t="s">
        <v>1965</v>
      </c>
      <c r="B270" s="69" t="s">
        <v>554</v>
      </c>
      <c r="C270" s="69"/>
      <c r="D270" s="69"/>
      <c r="E270" s="69"/>
      <c r="F270" s="69"/>
      <c r="G270" s="69"/>
      <c r="H270" s="69"/>
      <c r="I270" s="69"/>
      <c r="J270" s="69"/>
      <c r="K270" s="69" t="s">
        <v>555</v>
      </c>
      <c r="L270" s="69" t="s">
        <v>583</v>
      </c>
      <c r="M270" s="69"/>
      <c r="N270" s="69" t="s">
        <v>595</v>
      </c>
      <c r="O270" s="69" t="s">
        <v>610</v>
      </c>
      <c r="P270" s="69"/>
      <c r="Q270" s="69"/>
      <c r="R270" s="69"/>
      <c r="S270" s="69"/>
      <c r="T270" s="69"/>
      <c r="U270" s="69"/>
      <c r="V270" s="23">
        <v>8</v>
      </c>
      <c r="W270" s="368">
        <f t="shared" si="16"/>
        <v>1.5864</v>
      </c>
      <c r="X270" s="368">
        <f t="shared" si="17"/>
        <v>0.87919999999999998</v>
      </c>
      <c r="Y270" s="368">
        <f t="shared" si="18"/>
        <v>1.6344000000000001</v>
      </c>
      <c r="Z270" s="368">
        <f t="shared" si="19"/>
        <v>0.92720000000000002</v>
      </c>
    </row>
    <row r="271" spans="1:45" s="163" customFormat="1" ht="31.5" customHeight="1">
      <c r="A271" s="69" t="s">
        <v>1966</v>
      </c>
      <c r="B271" s="69" t="s">
        <v>568</v>
      </c>
      <c r="C271" s="69"/>
      <c r="D271" s="69"/>
      <c r="E271" s="69"/>
      <c r="F271" s="69"/>
      <c r="G271" s="69"/>
      <c r="H271" s="69"/>
      <c r="I271" s="69"/>
      <c r="J271" s="69"/>
      <c r="K271" s="69" t="s">
        <v>569</v>
      </c>
      <c r="L271" s="69" t="s">
        <v>582</v>
      </c>
      <c r="M271" s="69"/>
      <c r="N271" s="69" t="s">
        <v>594</v>
      </c>
      <c r="O271" s="69" t="s">
        <v>609</v>
      </c>
      <c r="P271" s="69"/>
      <c r="Q271" s="69"/>
      <c r="R271" s="69"/>
      <c r="S271" s="69"/>
      <c r="T271" s="69"/>
      <c r="U271" s="69"/>
      <c r="V271" s="23">
        <v>8</v>
      </c>
      <c r="W271" s="368">
        <f t="shared" si="16"/>
        <v>1.5864</v>
      </c>
      <c r="X271" s="368">
        <f t="shared" si="17"/>
        <v>0.87919999999999998</v>
      </c>
      <c r="Y271" s="368">
        <f t="shared" si="18"/>
        <v>1.6344000000000001</v>
      </c>
      <c r="Z271" s="368">
        <f t="shared" si="19"/>
        <v>0.92720000000000002</v>
      </c>
    </row>
    <row r="272" spans="1:45" s="163" customFormat="1" ht="31.5" customHeight="1">
      <c r="A272" s="69" t="s">
        <v>1699</v>
      </c>
      <c r="B272" s="69" t="s">
        <v>552</v>
      </c>
      <c r="C272" s="69"/>
      <c r="D272" s="69"/>
      <c r="E272" s="69"/>
      <c r="F272" s="69"/>
      <c r="G272" s="69"/>
      <c r="H272" s="69"/>
      <c r="I272" s="69"/>
      <c r="J272" s="69"/>
      <c r="K272" s="69" t="s">
        <v>553</v>
      </c>
      <c r="L272" s="69" t="s">
        <v>581</v>
      </c>
      <c r="M272" s="69"/>
      <c r="N272" s="69" t="s">
        <v>593</v>
      </c>
      <c r="O272" s="69" t="s">
        <v>608</v>
      </c>
      <c r="P272" s="69"/>
      <c r="Q272" s="69"/>
      <c r="R272" s="69"/>
      <c r="S272" s="69"/>
      <c r="T272" s="69"/>
      <c r="U272" s="69"/>
      <c r="V272" s="23">
        <v>28</v>
      </c>
      <c r="W272" s="368">
        <f t="shared" si="16"/>
        <v>5.5524000000000004</v>
      </c>
      <c r="X272" s="368">
        <f t="shared" si="17"/>
        <v>3.0771999999999999</v>
      </c>
      <c r="Y272" s="368">
        <f t="shared" si="18"/>
        <v>5.7204000000000006</v>
      </c>
      <c r="Z272" s="368">
        <f t="shared" si="19"/>
        <v>3.2452000000000001</v>
      </c>
    </row>
    <row r="273" spans="1:45" s="163" customFormat="1" ht="31.5" customHeight="1">
      <c r="A273" s="69" t="s">
        <v>1967</v>
      </c>
      <c r="B273" s="69" t="s">
        <v>570</v>
      </c>
      <c r="C273" s="69"/>
      <c r="D273" s="69"/>
      <c r="E273" s="69"/>
      <c r="F273" s="69"/>
      <c r="G273" s="69"/>
      <c r="H273" s="69"/>
      <c r="I273" s="69"/>
      <c r="J273" s="69"/>
      <c r="K273" s="69" t="s">
        <v>571</v>
      </c>
      <c r="L273" s="69" t="s">
        <v>584</v>
      </c>
      <c r="M273" s="69"/>
      <c r="N273" s="69" t="s">
        <v>596</v>
      </c>
      <c r="O273" s="69" t="s">
        <v>611</v>
      </c>
      <c r="P273" s="69"/>
      <c r="Q273" s="69"/>
      <c r="R273" s="69"/>
      <c r="S273" s="69"/>
      <c r="T273" s="69"/>
      <c r="U273" s="69"/>
      <c r="V273" s="23">
        <v>36</v>
      </c>
      <c r="W273" s="368">
        <f t="shared" si="16"/>
        <v>7.1387999999999998</v>
      </c>
      <c r="X273" s="368">
        <f t="shared" si="17"/>
        <v>3.9563999999999999</v>
      </c>
      <c r="Y273" s="368">
        <f t="shared" si="18"/>
        <v>7.3548</v>
      </c>
      <c r="Z273" s="368">
        <f t="shared" si="19"/>
        <v>4.1723999999999997</v>
      </c>
    </row>
    <row r="274" spans="1:45" s="163" customFormat="1" ht="31.5" customHeight="1">
      <c r="A274" s="69" t="s">
        <v>1925</v>
      </c>
      <c r="B274" s="69" t="s">
        <v>564</v>
      </c>
      <c r="C274" s="69"/>
      <c r="D274" s="69"/>
      <c r="E274" s="69"/>
      <c r="F274" s="69"/>
      <c r="G274" s="69"/>
      <c r="H274" s="69"/>
      <c r="I274" s="69"/>
      <c r="J274" s="69"/>
      <c r="K274" s="69" t="s">
        <v>565</v>
      </c>
      <c r="L274" s="69" t="s">
        <v>591</v>
      </c>
      <c r="M274" s="69"/>
      <c r="N274" s="69" t="s">
        <v>603</v>
      </c>
      <c r="O274" s="69" t="s">
        <v>617</v>
      </c>
      <c r="P274" s="69"/>
      <c r="Q274" s="69"/>
      <c r="R274" s="69"/>
      <c r="S274" s="69"/>
      <c r="T274" s="69"/>
      <c r="U274" s="69"/>
      <c r="V274" s="23">
        <v>71</v>
      </c>
      <c r="W274" s="368">
        <f t="shared" si="16"/>
        <v>14.0793</v>
      </c>
      <c r="X274" s="368">
        <f t="shared" si="17"/>
        <v>7.8029000000000002</v>
      </c>
      <c r="Y274" s="368">
        <f t="shared" si="18"/>
        <v>14.5053</v>
      </c>
      <c r="Z274" s="368">
        <f t="shared" si="19"/>
        <v>8.2288999999999994</v>
      </c>
    </row>
    <row r="275" spans="1:45" s="163" customFormat="1" ht="31.5" customHeight="1">
      <c r="A275" s="69" t="s">
        <v>1926</v>
      </c>
      <c r="B275" s="69" t="s">
        <v>562</v>
      </c>
      <c r="C275" s="69"/>
      <c r="D275" s="69"/>
      <c r="E275" s="69"/>
      <c r="F275" s="69"/>
      <c r="G275" s="69"/>
      <c r="H275" s="69"/>
      <c r="I275" s="69"/>
      <c r="J275" s="69"/>
      <c r="K275" s="69" t="s">
        <v>563</v>
      </c>
      <c r="L275" s="69" t="s">
        <v>590</v>
      </c>
      <c r="M275" s="69"/>
      <c r="N275" s="69" t="s">
        <v>602</v>
      </c>
      <c r="O275" s="69"/>
      <c r="P275" s="69"/>
      <c r="Q275" s="69"/>
      <c r="R275" s="69"/>
      <c r="S275" s="69"/>
      <c r="T275" s="69"/>
      <c r="U275" s="69"/>
      <c r="V275" s="23">
        <v>71</v>
      </c>
      <c r="W275" s="368">
        <f t="shared" si="16"/>
        <v>14.0793</v>
      </c>
      <c r="X275" s="368">
        <f t="shared" si="17"/>
        <v>7.8029000000000002</v>
      </c>
      <c r="Y275" s="368">
        <f t="shared" si="18"/>
        <v>14.5053</v>
      </c>
      <c r="Z275" s="368">
        <f t="shared" si="19"/>
        <v>8.2288999999999994</v>
      </c>
    </row>
    <row r="276" spans="1:45" s="163" customFormat="1" ht="31.5" customHeight="1">
      <c r="A276" s="69" t="s">
        <v>1968</v>
      </c>
      <c r="B276" s="69" t="s">
        <v>566</v>
      </c>
      <c r="C276" s="69"/>
      <c r="D276" s="69"/>
      <c r="E276" s="69"/>
      <c r="F276" s="69"/>
      <c r="G276" s="69"/>
      <c r="H276" s="69"/>
      <c r="I276" s="69"/>
      <c r="J276" s="69"/>
      <c r="K276" s="69" t="s">
        <v>567</v>
      </c>
      <c r="L276" s="69"/>
      <c r="M276" s="69"/>
      <c r="N276" s="69" t="s">
        <v>604</v>
      </c>
      <c r="O276" s="69"/>
      <c r="P276" s="69"/>
      <c r="Q276" s="69"/>
      <c r="R276" s="69"/>
      <c r="S276" s="69"/>
      <c r="T276" s="69"/>
      <c r="U276" s="69"/>
      <c r="V276" s="23">
        <v>79</v>
      </c>
      <c r="W276" s="368">
        <f t="shared" si="16"/>
        <v>15.665700000000001</v>
      </c>
      <c r="X276" s="368">
        <f t="shared" si="17"/>
        <v>8.6821000000000002</v>
      </c>
      <c r="Y276" s="368">
        <f t="shared" si="18"/>
        <v>16.139700000000001</v>
      </c>
      <c r="Z276" s="368">
        <f t="shared" si="19"/>
        <v>9.1561000000000003</v>
      </c>
    </row>
    <row r="277" spans="1:45" s="163" customFormat="1" ht="31.5" customHeight="1">
      <c r="A277" s="142" t="s">
        <v>1702</v>
      </c>
      <c r="B277" s="69" t="s">
        <v>560</v>
      </c>
      <c r="C277" s="69"/>
      <c r="D277" s="69"/>
      <c r="E277" s="69"/>
      <c r="F277" s="69"/>
      <c r="G277" s="69"/>
      <c r="H277" s="69"/>
      <c r="I277" s="69"/>
      <c r="J277" s="69"/>
      <c r="K277" s="69" t="s">
        <v>561</v>
      </c>
      <c r="L277" s="69" t="s">
        <v>587</v>
      </c>
      <c r="M277" s="69"/>
      <c r="N277" s="69" t="s">
        <v>599</v>
      </c>
      <c r="O277" s="69" t="s">
        <v>614</v>
      </c>
      <c r="P277" s="69"/>
      <c r="Q277" s="69"/>
      <c r="R277" s="69"/>
      <c r="S277" s="69"/>
      <c r="T277" s="69"/>
      <c r="U277" s="69"/>
      <c r="V277" s="23">
        <v>117</v>
      </c>
      <c r="W277" s="368">
        <f t="shared" si="16"/>
        <v>23.2011</v>
      </c>
      <c r="X277" s="368">
        <f t="shared" si="17"/>
        <v>12.8583</v>
      </c>
      <c r="Y277" s="368">
        <f t="shared" si="18"/>
        <v>23.903100000000002</v>
      </c>
      <c r="Z277" s="368">
        <f t="shared" si="19"/>
        <v>13.5603</v>
      </c>
    </row>
    <row r="278" spans="1:45" s="163" customFormat="1" ht="31.5" customHeight="1">
      <c r="A278" s="142" t="s">
        <v>1900</v>
      </c>
      <c r="B278" s="69" t="s">
        <v>556</v>
      </c>
      <c r="C278" s="69"/>
      <c r="D278" s="69"/>
      <c r="E278" s="69"/>
      <c r="F278" s="69"/>
      <c r="G278" s="69"/>
      <c r="H278" s="69"/>
      <c r="I278" s="69"/>
      <c r="J278" s="69"/>
      <c r="K278" s="69" t="s">
        <v>557</v>
      </c>
      <c r="L278" s="69" t="s">
        <v>585</v>
      </c>
      <c r="M278" s="69"/>
      <c r="N278" s="69" t="s">
        <v>597</v>
      </c>
      <c r="O278" s="69" t="s">
        <v>612</v>
      </c>
      <c r="P278" s="69"/>
      <c r="Q278" s="69"/>
      <c r="R278" s="69"/>
      <c r="S278" s="69"/>
      <c r="T278" s="69"/>
      <c r="U278" s="69"/>
      <c r="V278" s="23">
        <v>117</v>
      </c>
      <c r="W278" s="368">
        <f t="shared" si="16"/>
        <v>23.2011</v>
      </c>
      <c r="X278" s="368">
        <f t="shared" si="17"/>
        <v>12.8583</v>
      </c>
      <c r="Y278" s="368">
        <f t="shared" si="18"/>
        <v>23.903100000000002</v>
      </c>
      <c r="Z278" s="368">
        <f t="shared" si="19"/>
        <v>13.5603</v>
      </c>
    </row>
    <row r="279" spans="1:45" s="163" customFormat="1" ht="31.5" customHeight="1">
      <c r="A279" s="69" t="s">
        <v>1969</v>
      </c>
      <c r="B279" s="69" t="s">
        <v>572</v>
      </c>
      <c r="C279" s="69"/>
      <c r="D279" s="69"/>
      <c r="E279" s="69"/>
      <c r="F279" s="69"/>
      <c r="G279" s="69"/>
      <c r="H279" s="69"/>
      <c r="I279" s="69"/>
      <c r="J279" s="69"/>
      <c r="K279" s="69" t="s">
        <v>573</v>
      </c>
      <c r="L279" s="69" t="s">
        <v>588</v>
      </c>
      <c r="M279" s="69"/>
      <c r="N279" s="69" t="s">
        <v>600</v>
      </c>
      <c r="O279" s="69" t="s">
        <v>615</v>
      </c>
      <c r="P279" s="69"/>
      <c r="Q279" s="69"/>
      <c r="R279" s="69"/>
      <c r="S279" s="69"/>
      <c r="T279" s="69"/>
      <c r="U279" s="69"/>
      <c r="V279" s="23">
        <v>125</v>
      </c>
      <c r="W279" s="368">
        <f t="shared" si="16"/>
        <v>24.787500000000001</v>
      </c>
      <c r="X279" s="368">
        <f t="shared" si="17"/>
        <v>13.737499999999999</v>
      </c>
      <c r="Y279" s="368">
        <f t="shared" si="18"/>
        <v>25.537500000000001</v>
      </c>
      <c r="Z279" s="368">
        <f t="shared" si="19"/>
        <v>14.487500000000001</v>
      </c>
    </row>
    <row r="280" spans="1:45" s="163" customFormat="1" ht="31.5" customHeight="1">
      <c r="A280" s="142" t="s">
        <v>1927</v>
      </c>
      <c r="B280" s="69" t="s">
        <v>558</v>
      </c>
      <c r="C280" s="69"/>
      <c r="D280" s="69"/>
      <c r="E280" s="69"/>
      <c r="F280" s="69"/>
      <c r="G280" s="69"/>
      <c r="H280" s="69"/>
      <c r="I280" s="69"/>
      <c r="J280" s="69"/>
      <c r="K280" s="69" t="s">
        <v>559</v>
      </c>
      <c r="L280" s="69" t="s">
        <v>586</v>
      </c>
      <c r="M280" s="69"/>
      <c r="N280" s="69" t="s">
        <v>598</v>
      </c>
      <c r="O280" s="69" t="s">
        <v>613</v>
      </c>
      <c r="P280" s="69"/>
      <c r="Q280" s="69"/>
      <c r="R280" s="69"/>
      <c r="S280" s="69"/>
      <c r="T280" s="69"/>
      <c r="U280" s="69"/>
      <c r="V280" s="23">
        <v>150</v>
      </c>
      <c r="W280" s="368">
        <f t="shared" si="16"/>
        <v>29.745000000000001</v>
      </c>
      <c r="X280" s="368">
        <f t="shared" si="17"/>
        <v>16.484999999999999</v>
      </c>
      <c r="Y280" s="368">
        <f t="shared" si="18"/>
        <v>30.645000000000003</v>
      </c>
      <c r="Z280" s="368">
        <f t="shared" si="19"/>
        <v>17.385000000000002</v>
      </c>
    </row>
    <row r="281" spans="1:45" s="163" customFormat="1" ht="31.5" customHeight="1">
      <c r="A281" s="69" t="s">
        <v>1928</v>
      </c>
      <c r="B281" s="69" t="s">
        <v>574</v>
      </c>
      <c r="C281" s="69"/>
      <c r="D281" s="69"/>
      <c r="E281" s="69"/>
      <c r="F281" s="69"/>
      <c r="G281" s="69"/>
      <c r="H281" s="69"/>
      <c r="I281" s="69"/>
      <c r="J281" s="69"/>
      <c r="K281" s="69" t="s">
        <v>575</v>
      </c>
      <c r="L281" s="69" t="s">
        <v>589</v>
      </c>
      <c r="M281" s="69"/>
      <c r="N281" s="69" t="s">
        <v>601</v>
      </c>
      <c r="O281" s="69" t="s">
        <v>616</v>
      </c>
      <c r="P281" s="69"/>
      <c r="Q281" s="69"/>
      <c r="R281" s="69"/>
      <c r="S281" s="69"/>
      <c r="T281" s="69"/>
      <c r="U281" s="69"/>
      <c r="V281" s="23">
        <v>158</v>
      </c>
      <c r="W281" s="368">
        <f t="shared" si="16"/>
        <v>31.331400000000002</v>
      </c>
      <c r="X281" s="368">
        <f t="shared" si="17"/>
        <v>17.3642</v>
      </c>
      <c r="Y281" s="368">
        <f t="shared" si="18"/>
        <v>32.279400000000003</v>
      </c>
      <c r="Z281" s="368">
        <f t="shared" si="19"/>
        <v>18.312200000000001</v>
      </c>
    </row>
    <row r="282" spans="1:45" s="163" customFormat="1" ht="31.5" customHeight="1">
      <c r="A282" s="69" t="s">
        <v>1929</v>
      </c>
      <c r="B282" s="69" t="s">
        <v>576</v>
      </c>
      <c r="C282" s="69"/>
      <c r="D282" s="69"/>
      <c r="E282" s="69"/>
      <c r="F282" s="69"/>
      <c r="G282" s="69"/>
      <c r="H282" s="69"/>
      <c r="I282" s="69"/>
      <c r="J282" s="69"/>
      <c r="K282" s="69"/>
      <c r="L282" s="69" t="s">
        <v>577</v>
      </c>
      <c r="M282" s="69"/>
      <c r="N282" s="69"/>
      <c r="O282" s="69" t="s">
        <v>605</v>
      </c>
      <c r="P282" s="69"/>
      <c r="Q282" s="69"/>
      <c r="R282" s="69"/>
      <c r="S282" s="69"/>
      <c r="T282" s="69"/>
      <c r="U282" s="69"/>
      <c r="V282" s="23">
        <v>62</v>
      </c>
      <c r="W282" s="368">
        <f t="shared" si="16"/>
        <v>12.294600000000001</v>
      </c>
      <c r="X282" s="368">
        <f t="shared" si="17"/>
        <v>6.8137999999999996</v>
      </c>
      <c r="Y282" s="368">
        <f t="shared" si="18"/>
        <v>12.666600000000001</v>
      </c>
      <c r="Z282" s="368">
        <f t="shared" si="19"/>
        <v>7.1858000000000004</v>
      </c>
    </row>
    <row r="283" spans="1:45" s="163" customFormat="1" ht="31.5" customHeight="1">
      <c r="A283" s="69" t="s">
        <v>1970</v>
      </c>
      <c r="B283" s="69" t="s">
        <v>578</v>
      </c>
      <c r="C283" s="69"/>
      <c r="D283" s="69"/>
      <c r="E283" s="69"/>
      <c r="F283" s="69"/>
      <c r="G283" s="69"/>
      <c r="H283" s="69"/>
      <c r="I283" s="69"/>
      <c r="J283" s="69"/>
      <c r="K283" s="69"/>
      <c r="L283" s="69" t="s">
        <v>579</v>
      </c>
      <c r="M283" s="69"/>
      <c r="N283" s="69"/>
      <c r="O283" s="69" t="s">
        <v>606</v>
      </c>
      <c r="P283" s="69"/>
      <c r="Q283" s="69"/>
      <c r="R283" s="69"/>
      <c r="S283" s="69"/>
      <c r="T283" s="69"/>
      <c r="U283" s="69"/>
      <c r="V283" s="23">
        <v>70</v>
      </c>
      <c r="W283" s="368">
        <f t="shared" si="16"/>
        <v>13.881</v>
      </c>
      <c r="X283" s="368">
        <f t="shared" si="17"/>
        <v>7.6929999999999996</v>
      </c>
      <c r="Y283" s="368">
        <f t="shared" si="18"/>
        <v>14.301</v>
      </c>
      <c r="Z283" s="368">
        <f t="shared" si="19"/>
        <v>8.1129999999999995</v>
      </c>
    </row>
    <row r="284" spans="1:45" s="163" customFormat="1">
      <c r="A284" s="29"/>
      <c r="B284" s="29"/>
      <c r="C284" s="29"/>
      <c r="D284" s="29"/>
      <c r="E284" s="29"/>
      <c r="F284" s="29"/>
      <c r="G284" s="29"/>
      <c r="H284" s="29"/>
      <c r="I284" s="29"/>
      <c r="J284" s="29"/>
      <c r="K284" s="29"/>
      <c r="L284" s="29"/>
      <c r="M284" s="29"/>
      <c r="N284" s="29"/>
      <c r="O284" s="29"/>
      <c r="P284" s="29"/>
      <c r="Q284" s="29"/>
      <c r="R284" s="29"/>
      <c r="S284" s="29"/>
      <c r="T284" s="29"/>
      <c r="U284" s="29"/>
      <c r="V284" s="29"/>
      <c r="W284" s="29"/>
      <c r="X284" s="29"/>
      <c r="Y284" s="29"/>
      <c r="Z284" s="29"/>
    </row>
    <row r="285" spans="1:45" s="163" customFormat="1">
      <c r="A285" s="98" t="s">
        <v>618</v>
      </c>
      <c r="B285" s="103"/>
      <c r="C285" s="103"/>
      <c r="D285" s="103"/>
      <c r="E285" s="226"/>
      <c r="F285" s="226"/>
      <c r="G285" s="226"/>
      <c r="H285" s="226"/>
      <c r="I285" s="226"/>
      <c r="J285" s="226"/>
      <c r="K285" s="226"/>
      <c r="L285" s="226"/>
      <c r="M285" s="226"/>
      <c r="N285" s="226"/>
      <c r="O285" s="226"/>
      <c r="P285" s="226"/>
      <c r="Q285" s="226"/>
      <c r="R285" s="226"/>
      <c r="S285" s="226"/>
      <c r="T285" s="226"/>
      <c r="U285" s="226"/>
      <c r="V285" s="126"/>
      <c r="W285" s="126"/>
      <c r="X285" s="126"/>
      <c r="Y285" s="126"/>
      <c r="Z285" s="126"/>
      <c r="AA285" s="166"/>
      <c r="AB285" s="166"/>
      <c r="AC285" s="166"/>
      <c r="AD285" s="166"/>
      <c r="AE285" s="166"/>
      <c r="AF285" s="166"/>
      <c r="AG285" s="166"/>
      <c r="AH285" s="166"/>
      <c r="AI285" s="166"/>
      <c r="AJ285" s="166"/>
      <c r="AK285" s="166"/>
      <c r="AL285" s="166"/>
      <c r="AM285" s="166"/>
      <c r="AN285" s="166"/>
      <c r="AO285" s="166"/>
      <c r="AP285" s="166"/>
      <c r="AQ285" s="166"/>
      <c r="AR285" s="166"/>
      <c r="AS285" s="166"/>
    </row>
    <row r="286" spans="1:45" s="177" customFormat="1">
      <c r="A286" s="69"/>
      <c r="B286" s="69"/>
      <c r="C286" s="40"/>
      <c r="D286" s="40"/>
      <c r="E286" s="48"/>
      <c r="F286" s="48"/>
      <c r="G286" s="48"/>
      <c r="H286" s="48"/>
      <c r="I286" s="48"/>
      <c r="J286" s="48"/>
      <c r="K286" s="48"/>
      <c r="L286" s="48"/>
      <c r="M286" s="48"/>
      <c r="N286" s="48"/>
      <c r="O286" s="48"/>
      <c r="P286" s="48"/>
      <c r="Q286" s="48"/>
      <c r="R286" s="48"/>
      <c r="S286" s="48"/>
      <c r="T286" s="48"/>
      <c r="U286" s="48"/>
      <c r="V286" s="28"/>
      <c r="W286" s="369"/>
      <c r="X286" s="369"/>
      <c r="Y286" s="369"/>
      <c r="Z286" s="369"/>
      <c r="AA286" s="172"/>
      <c r="AB286" s="172"/>
      <c r="AC286" s="172"/>
      <c r="AD286" s="172"/>
      <c r="AE286" s="172"/>
      <c r="AF286" s="172"/>
      <c r="AG286" s="172"/>
      <c r="AH286" s="172"/>
      <c r="AI286" s="172"/>
      <c r="AJ286" s="172"/>
      <c r="AK286" s="172"/>
      <c r="AL286" s="172"/>
      <c r="AM286" s="172"/>
      <c r="AN286" s="172"/>
      <c r="AO286" s="172"/>
      <c r="AP286" s="172"/>
      <c r="AQ286" s="172"/>
      <c r="AR286" s="172"/>
      <c r="AS286" s="172"/>
    </row>
    <row r="287" spans="1:45" s="177" customFormat="1" ht="31.5" customHeight="1">
      <c r="A287" s="69" t="s">
        <v>1700</v>
      </c>
      <c r="B287" s="69" t="s">
        <v>619</v>
      </c>
      <c r="C287" s="69"/>
      <c r="D287" s="69"/>
      <c r="E287" s="69"/>
      <c r="F287" s="69"/>
      <c r="G287" s="69"/>
      <c r="H287" s="69"/>
      <c r="I287" s="69"/>
      <c r="J287" s="69"/>
      <c r="K287" s="69"/>
      <c r="L287" s="69"/>
      <c r="M287" s="69"/>
      <c r="N287" s="69"/>
      <c r="O287" s="69"/>
      <c r="P287" s="69"/>
      <c r="Q287" s="69" t="s">
        <v>653</v>
      </c>
      <c r="R287" s="69" t="s">
        <v>665</v>
      </c>
      <c r="S287" s="69"/>
      <c r="T287" s="69" t="s">
        <v>620</v>
      </c>
      <c r="U287" s="69" t="s">
        <v>643</v>
      </c>
      <c r="V287" s="23">
        <v>0</v>
      </c>
      <c r="W287" s="368">
        <f t="shared" si="16"/>
        <v>0</v>
      </c>
      <c r="X287" s="368">
        <f t="shared" si="17"/>
        <v>0</v>
      </c>
      <c r="Y287" s="368">
        <f t="shared" si="18"/>
        <v>0</v>
      </c>
      <c r="Z287" s="368">
        <f t="shared" si="19"/>
        <v>0</v>
      </c>
    </row>
    <row r="288" spans="1:45" s="177" customFormat="1" ht="31.5" customHeight="1">
      <c r="A288" s="69" t="s">
        <v>1932</v>
      </c>
      <c r="B288" s="69" t="s">
        <v>623</v>
      </c>
      <c r="C288" s="69"/>
      <c r="D288" s="69"/>
      <c r="E288" s="69"/>
      <c r="F288" s="69"/>
      <c r="G288" s="69"/>
      <c r="H288" s="69"/>
      <c r="I288" s="69"/>
      <c r="J288" s="69"/>
      <c r="K288" s="69"/>
      <c r="L288" s="69"/>
      <c r="M288" s="69"/>
      <c r="N288" s="69"/>
      <c r="O288" s="69"/>
      <c r="P288" s="69"/>
      <c r="Q288" s="69" t="s">
        <v>655</v>
      </c>
      <c r="R288" s="69" t="s">
        <v>667</v>
      </c>
      <c r="S288" s="69"/>
      <c r="T288" s="69" t="s">
        <v>624</v>
      </c>
      <c r="U288" s="69" t="s">
        <v>645</v>
      </c>
      <c r="V288" s="23">
        <v>8</v>
      </c>
      <c r="W288" s="368">
        <f t="shared" si="16"/>
        <v>1.5864</v>
      </c>
      <c r="X288" s="368">
        <f t="shared" si="17"/>
        <v>0.87919999999999998</v>
      </c>
      <c r="Y288" s="368">
        <f t="shared" si="18"/>
        <v>1.6344000000000001</v>
      </c>
      <c r="Z288" s="368">
        <f t="shared" si="19"/>
        <v>0.92720000000000002</v>
      </c>
    </row>
    <row r="289" spans="1:45" s="177" customFormat="1" ht="31.5" customHeight="1">
      <c r="A289" s="69" t="s">
        <v>1933</v>
      </c>
      <c r="B289" s="69" t="s">
        <v>625</v>
      </c>
      <c r="C289" s="69"/>
      <c r="D289" s="69"/>
      <c r="E289" s="69"/>
      <c r="F289" s="69"/>
      <c r="G289" s="69"/>
      <c r="H289" s="69"/>
      <c r="I289" s="69"/>
      <c r="J289" s="69"/>
      <c r="K289" s="69"/>
      <c r="L289" s="69"/>
      <c r="M289" s="69"/>
      <c r="N289" s="69"/>
      <c r="O289" s="69"/>
      <c r="P289" s="69"/>
      <c r="Q289" s="69" t="s">
        <v>661</v>
      </c>
      <c r="R289" s="69" t="s">
        <v>668</v>
      </c>
      <c r="S289" s="69"/>
      <c r="T289" s="69" t="s">
        <v>626</v>
      </c>
      <c r="U289" s="69" t="s">
        <v>646</v>
      </c>
      <c r="V289" s="23">
        <v>0</v>
      </c>
      <c r="W289" s="368">
        <f t="shared" si="16"/>
        <v>0</v>
      </c>
      <c r="X289" s="368">
        <f t="shared" si="17"/>
        <v>0</v>
      </c>
      <c r="Y289" s="368">
        <f t="shared" si="18"/>
        <v>0</v>
      </c>
      <c r="Z289" s="368">
        <f t="shared" si="19"/>
        <v>0</v>
      </c>
    </row>
    <row r="290" spans="1:45" s="177" customFormat="1" ht="31.5" customHeight="1">
      <c r="A290" s="69" t="s">
        <v>1931</v>
      </c>
      <c r="B290" s="69" t="s">
        <v>621</v>
      </c>
      <c r="C290" s="69"/>
      <c r="D290" s="69"/>
      <c r="E290" s="69"/>
      <c r="F290" s="69"/>
      <c r="G290" s="69"/>
      <c r="H290" s="69"/>
      <c r="I290" s="69"/>
      <c r="J290" s="69"/>
      <c r="K290" s="69"/>
      <c r="L290" s="69"/>
      <c r="M290" s="69"/>
      <c r="N290" s="69"/>
      <c r="O290" s="69"/>
      <c r="P290" s="69"/>
      <c r="Q290" s="69" t="s">
        <v>654</v>
      </c>
      <c r="R290" s="69" t="s">
        <v>666</v>
      </c>
      <c r="S290" s="69"/>
      <c r="T290" s="69" t="s">
        <v>622</v>
      </c>
      <c r="U290" s="69" t="s">
        <v>644</v>
      </c>
      <c r="V290" s="23">
        <v>30</v>
      </c>
      <c r="W290" s="368">
        <f t="shared" si="16"/>
        <v>5.9489999999999998</v>
      </c>
      <c r="X290" s="368">
        <f t="shared" si="17"/>
        <v>3.2969999999999997</v>
      </c>
      <c r="Y290" s="368">
        <f t="shared" si="18"/>
        <v>6.1290000000000004</v>
      </c>
      <c r="Z290" s="368">
        <f t="shared" si="19"/>
        <v>3.4770000000000003</v>
      </c>
    </row>
    <row r="291" spans="1:45" s="177" customFormat="1" ht="31.5" customHeight="1">
      <c r="A291" s="69" t="s">
        <v>1930</v>
      </c>
      <c r="B291" s="69" t="s">
        <v>627</v>
      </c>
      <c r="C291" s="69"/>
      <c r="D291" s="69"/>
      <c r="E291" s="69"/>
      <c r="F291" s="69"/>
      <c r="G291" s="69"/>
      <c r="H291" s="69"/>
      <c r="I291" s="69"/>
      <c r="J291" s="69"/>
      <c r="K291" s="69"/>
      <c r="L291" s="69"/>
      <c r="M291" s="69"/>
      <c r="N291" s="69"/>
      <c r="O291" s="69"/>
      <c r="P291" s="69"/>
      <c r="Q291" s="69" t="s">
        <v>662</v>
      </c>
      <c r="R291" s="69" t="s">
        <v>669</v>
      </c>
      <c r="S291" s="69"/>
      <c r="T291" s="69" t="s">
        <v>628</v>
      </c>
      <c r="U291" s="69" t="s">
        <v>647</v>
      </c>
      <c r="V291" s="23">
        <v>38</v>
      </c>
      <c r="W291" s="368">
        <f t="shared" si="16"/>
        <v>7.5354000000000001</v>
      </c>
      <c r="X291" s="368">
        <f t="shared" si="17"/>
        <v>4.1761999999999997</v>
      </c>
      <c r="Y291" s="368">
        <f t="shared" si="18"/>
        <v>7.7634000000000007</v>
      </c>
      <c r="Z291" s="368">
        <f t="shared" si="19"/>
        <v>4.4042000000000003</v>
      </c>
    </row>
    <row r="292" spans="1:45" s="177" customFormat="1" ht="31.5" customHeight="1">
      <c r="A292" s="69" t="s">
        <v>1934</v>
      </c>
      <c r="B292" s="69" t="s">
        <v>635</v>
      </c>
      <c r="C292" s="69"/>
      <c r="D292" s="69"/>
      <c r="E292" s="69"/>
      <c r="F292" s="69"/>
      <c r="G292" s="69"/>
      <c r="H292" s="69"/>
      <c r="I292" s="69"/>
      <c r="J292" s="69"/>
      <c r="K292" s="69"/>
      <c r="L292" s="69"/>
      <c r="M292" s="69"/>
      <c r="N292" s="69"/>
      <c r="O292" s="69"/>
      <c r="P292" s="69"/>
      <c r="Q292" s="69" t="s">
        <v>659</v>
      </c>
      <c r="R292" s="69" t="s">
        <v>673</v>
      </c>
      <c r="S292" s="69"/>
      <c r="T292" s="69" t="s">
        <v>636</v>
      </c>
      <c r="U292" s="69" t="s">
        <v>651</v>
      </c>
      <c r="V292" s="23">
        <v>74</v>
      </c>
      <c r="W292" s="368">
        <f t="shared" si="16"/>
        <v>14.674200000000001</v>
      </c>
      <c r="X292" s="368">
        <f t="shared" si="17"/>
        <v>8.1326000000000001</v>
      </c>
      <c r="Y292" s="368">
        <f t="shared" si="18"/>
        <v>15.1182</v>
      </c>
      <c r="Z292" s="368">
        <f t="shared" si="19"/>
        <v>8.5766000000000009</v>
      </c>
    </row>
    <row r="293" spans="1:45" s="177" customFormat="1" ht="31.5" customHeight="1">
      <c r="A293" s="69" t="s">
        <v>1971</v>
      </c>
      <c r="B293" s="69" t="s">
        <v>637</v>
      </c>
      <c r="C293" s="69"/>
      <c r="D293" s="69"/>
      <c r="E293" s="69"/>
      <c r="F293" s="69"/>
      <c r="G293" s="69"/>
      <c r="H293" s="69"/>
      <c r="I293" s="69"/>
      <c r="J293" s="69"/>
      <c r="K293" s="69"/>
      <c r="L293" s="69"/>
      <c r="M293" s="69"/>
      <c r="N293" s="69"/>
      <c r="O293" s="69"/>
      <c r="P293" s="69"/>
      <c r="Q293" s="69" t="s">
        <v>660</v>
      </c>
      <c r="R293" s="69" t="s">
        <v>674</v>
      </c>
      <c r="S293" s="69"/>
      <c r="T293" s="69" t="s">
        <v>638</v>
      </c>
      <c r="U293" s="69" t="s">
        <v>652</v>
      </c>
      <c r="V293" s="23">
        <v>82</v>
      </c>
      <c r="W293" s="368">
        <f t="shared" si="16"/>
        <v>16.2606</v>
      </c>
      <c r="X293" s="368">
        <f t="shared" si="17"/>
        <v>9.0117999999999991</v>
      </c>
      <c r="Y293" s="368">
        <f t="shared" si="18"/>
        <v>16.752600000000001</v>
      </c>
      <c r="Z293" s="368">
        <f t="shared" si="19"/>
        <v>9.5038</v>
      </c>
    </row>
    <row r="294" spans="1:45" s="177" customFormat="1" ht="31.5" customHeight="1">
      <c r="A294" s="69" t="s">
        <v>1935</v>
      </c>
      <c r="B294" s="69" t="s">
        <v>631</v>
      </c>
      <c r="C294" s="69"/>
      <c r="D294" s="69"/>
      <c r="E294" s="69"/>
      <c r="F294" s="69"/>
      <c r="G294" s="69"/>
      <c r="H294" s="69"/>
      <c r="I294" s="69"/>
      <c r="J294" s="69"/>
      <c r="K294" s="69"/>
      <c r="L294" s="69"/>
      <c r="M294" s="69"/>
      <c r="N294" s="69"/>
      <c r="O294" s="69"/>
      <c r="P294" s="69"/>
      <c r="Q294" s="69" t="s">
        <v>657</v>
      </c>
      <c r="R294" s="69" t="s">
        <v>671</v>
      </c>
      <c r="S294" s="69"/>
      <c r="T294" s="69" t="s">
        <v>632</v>
      </c>
      <c r="U294" s="69" t="s">
        <v>649</v>
      </c>
      <c r="V294" s="23">
        <v>143</v>
      </c>
      <c r="W294" s="368">
        <f t="shared" si="16"/>
        <v>28.3569</v>
      </c>
      <c r="X294" s="368">
        <f t="shared" si="17"/>
        <v>15.7157</v>
      </c>
      <c r="Y294" s="368">
        <f t="shared" si="18"/>
        <v>29.2149</v>
      </c>
      <c r="Z294" s="368">
        <f t="shared" si="19"/>
        <v>16.573699999999999</v>
      </c>
    </row>
    <row r="295" spans="1:45" s="177" customFormat="1" ht="31.5" customHeight="1">
      <c r="A295" s="69" t="s">
        <v>1936</v>
      </c>
      <c r="B295" s="69" t="s">
        <v>629</v>
      </c>
      <c r="C295" s="69"/>
      <c r="D295" s="69"/>
      <c r="E295" s="69"/>
      <c r="F295" s="69"/>
      <c r="G295" s="69"/>
      <c r="H295" s="69"/>
      <c r="I295" s="69"/>
      <c r="J295" s="69"/>
      <c r="K295" s="69"/>
      <c r="L295" s="69"/>
      <c r="M295" s="69"/>
      <c r="N295" s="69"/>
      <c r="O295" s="69"/>
      <c r="P295" s="69"/>
      <c r="Q295" s="69" t="s">
        <v>656</v>
      </c>
      <c r="R295" s="69" t="s">
        <v>670</v>
      </c>
      <c r="S295" s="69"/>
      <c r="T295" s="69" t="s">
        <v>630</v>
      </c>
      <c r="U295" s="69" t="s">
        <v>648</v>
      </c>
      <c r="V295" s="23">
        <v>143</v>
      </c>
      <c r="W295" s="368">
        <f t="shared" si="16"/>
        <v>28.3569</v>
      </c>
      <c r="X295" s="368">
        <f t="shared" si="17"/>
        <v>15.7157</v>
      </c>
      <c r="Y295" s="368">
        <f t="shared" si="18"/>
        <v>29.2149</v>
      </c>
      <c r="Z295" s="368">
        <f t="shared" si="19"/>
        <v>16.573699999999999</v>
      </c>
    </row>
    <row r="296" spans="1:45" s="177" customFormat="1" ht="31.5" customHeight="1">
      <c r="A296" s="69" t="s">
        <v>1937</v>
      </c>
      <c r="B296" s="69" t="s">
        <v>633</v>
      </c>
      <c r="C296" s="69"/>
      <c r="D296" s="69"/>
      <c r="E296" s="69"/>
      <c r="F296" s="69"/>
      <c r="G296" s="69"/>
      <c r="H296" s="69"/>
      <c r="I296" s="69"/>
      <c r="J296" s="69"/>
      <c r="K296" s="69"/>
      <c r="L296" s="69"/>
      <c r="M296" s="69"/>
      <c r="N296" s="69"/>
      <c r="O296" s="69"/>
      <c r="P296" s="69"/>
      <c r="Q296" s="69" t="s">
        <v>658</v>
      </c>
      <c r="R296" s="69" t="s">
        <v>672</v>
      </c>
      <c r="S296" s="69"/>
      <c r="T296" s="69" t="s">
        <v>634</v>
      </c>
      <c r="U296" s="69" t="s">
        <v>650</v>
      </c>
      <c r="V296" s="23">
        <v>151</v>
      </c>
      <c r="W296" s="368">
        <f t="shared" si="16"/>
        <v>29.943300000000001</v>
      </c>
      <c r="X296" s="368">
        <f t="shared" si="17"/>
        <v>16.594899999999999</v>
      </c>
      <c r="Y296" s="368">
        <f t="shared" si="18"/>
        <v>30.849300000000003</v>
      </c>
      <c r="Z296" s="368">
        <f t="shared" si="19"/>
        <v>17.500900000000001</v>
      </c>
    </row>
    <row r="297" spans="1:45" s="177" customFormat="1" ht="31.5" customHeight="1">
      <c r="A297" s="69" t="s">
        <v>1701</v>
      </c>
      <c r="B297" s="69" t="s">
        <v>639</v>
      </c>
      <c r="C297" s="69"/>
      <c r="D297" s="69"/>
      <c r="E297" s="69"/>
      <c r="F297" s="69"/>
      <c r="G297" s="69"/>
      <c r="H297" s="69"/>
      <c r="I297" s="69"/>
      <c r="J297" s="69"/>
      <c r="K297" s="69"/>
      <c r="L297" s="69"/>
      <c r="M297" s="69"/>
      <c r="N297" s="69"/>
      <c r="O297" s="69"/>
      <c r="P297" s="69"/>
      <c r="Q297" s="69"/>
      <c r="R297" s="69" t="s">
        <v>663</v>
      </c>
      <c r="S297" s="69"/>
      <c r="T297" s="69"/>
      <c r="U297" s="69" t="s">
        <v>640</v>
      </c>
      <c r="V297" s="23">
        <v>105</v>
      </c>
      <c r="W297" s="368">
        <f t="shared" si="16"/>
        <v>20.8215</v>
      </c>
      <c r="X297" s="368">
        <f t="shared" si="17"/>
        <v>11.5395</v>
      </c>
      <c r="Y297" s="368">
        <f t="shared" si="18"/>
        <v>21.451499999999999</v>
      </c>
      <c r="Z297" s="368">
        <f t="shared" si="19"/>
        <v>12.169500000000001</v>
      </c>
    </row>
    <row r="298" spans="1:45" s="177" customFormat="1" ht="31.5" customHeight="1">
      <c r="A298" s="69" t="s">
        <v>1938</v>
      </c>
      <c r="B298" s="69" t="s">
        <v>641</v>
      </c>
      <c r="C298" s="69"/>
      <c r="D298" s="69"/>
      <c r="E298" s="69"/>
      <c r="F298" s="69"/>
      <c r="G298" s="69"/>
      <c r="H298" s="69"/>
      <c r="I298" s="69"/>
      <c r="J298" s="69"/>
      <c r="K298" s="69"/>
      <c r="L298" s="69"/>
      <c r="M298" s="69"/>
      <c r="N298" s="69"/>
      <c r="O298" s="69"/>
      <c r="P298" s="69"/>
      <c r="Q298" s="69"/>
      <c r="R298" s="69" t="s">
        <v>664</v>
      </c>
      <c r="S298" s="69"/>
      <c r="T298" s="69"/>
      <c r="U298" s="69" t="s">
        <v>642</v>
      </c>
      <c r="V298" s="23">
        <v>113</v>
      </c>
      <c r="W298" s="368">
        <f t="shared" si="16"/>
        <v>22.407900000000001</v>
      </c>
      <c r="X298" s="368">
        <f t="shared" si="17"/>
        <v>12.418699999999999</v>
      </c>
      <c r="Y298" s="368">
        <f t="shared" si="18"/>
        <v>23.085900000000002</v>
      </c>
      <c r="Z298" s="368">
        <f t="shared" si="19"/>
        <v>13.0967</v>
      </c>
    </row>
    <row r="299" spans="1:45" s="177" customFormat="1">
      <c r="A299" s="69"/>
      <c r="B299" s="69"/>
      <c r="C299" s="40"/>
      <c r="D299" s="40"/>
      <c r="E299" s="48"/>
      <c r="F299" s="48"/>
      <c r="G299" s="48"/>
      <c r="H299" s="48"/>
      <c r="I299" s="48"/>
      <c r="J299" s="48"/>
      <c r="K299" s="48"/>
      <c r="L299" s="48"/>
      <c r="M299" s="48"/>
      <c r="N299" s="48"/>
      <c r="O299" s="48"/>
      <c r="P299" s="48"/>
      <c r="Q299" s="48"/>
      <c r="R299" s="48"/>
      <c r="S299" s="48"/>
      <c r="T299" s="48"/>
      <c r="U299" s="48"/>
      <c r="V299" s="28"/>
      <c r="W299" s="369"/>
      <c r="X299" s="369"/>
      <c r="Y299" s="369"/>
      <c r="Z299" s="369"/>
      <c r="AA299" s="172"/>
      <c r="AB299" s="172"/>
      <c r="AC299" s="172"/>
      <c r="AD299" s="172"/>
      <c r="AE299" s="172"/>
      <c r="AF299" s="172"/>
      <c r="AG299" s="172"/>
      <c r="AH299" s="172"/>
      <c r="AI299" s="172"/>
      <c r="AJ299" s="172"/>
      <c r="AK299" s="172"/>
      <c r="AL299" s="172"/>
      <c r="AM299" s="172"/>
      <c r="AN299" s="172"/>
      <c r="AO299" s="172"/>
      <c r="AP299" s="172"/>
      <c r="AQ299" s="172"/>
      <c r="AR299" s="172"/>
      <c r="AS299" s="172"/>
    </row>
    <row r="300" spans="1:45" s="177" customFormat="1">
      <c r="A300" s="98" t="s">
        <v>228</v>
      </c>
      <c r="B300" s="103"/>
      <c r="C300" s="103"/>
      <c r="D300" s="103"/>
      <c r="E300" s="226"/>
      <c r="F300" s="226"/>
      <c r="G300" s="226"/>
      <c r="H300" s="226"/>
      <c r="I300" s="226"/>
      <c r="J300" s="226"/>
      <c r="K300" s="226"/>
      <c r="L300" s="226"/>
      <c r="M300" s="226"/>
      <c r="N300" s="226"/>
      <c r="O300" s="226"/>
      <c r="P300" s="226"/>
      <c r="Q300" s="226"/>
      <c r="R300" s="226"/>
      <c r="S300" s="223"/>
      <c r="T300" s="223"/>
      <c r="U300" s="223"/>
      <c r="V300" s="126"/>
      <c r="W300" s="126"/>
      <c r="X300" s="126"/>
      <c r="Y300" s="126"/>
      <c r="Z300" s="126"/>
      <c r="AA300" s="172"/>
      <c r="AB300" s="172"/>
      <c r="AC300" s="172"/>
      <c r="AD300" s="172"/>
      <c r="AE300" s="172"/>
      <c r="AF300" s="172"/>
      <c r="AG300" s="172"/>
      <c r="AH300" s="172"/>
      <c r="AI300" s="172"/>
      <c r="AJ300" s="172"/>
      <c r="AK300" s="172"/>
      <c r="AL300" s="172"/>
      <c r="AM300" s="172"/>
      <c r="AN300" s="172"/>
      <c r="AO300" s="172"/>
      <c r="AP300" s="172"/>
      <c r="AQ300" s="172"/>
      <c r="AR300" s="172"/>
      <c r="AS300" s="172"/>
    </row>
    <row r="301" spans="1:45" s="163" customFormat="1" ht="14.4">
      <c r="A301" s="69" t="s">
        <v>675</v>
      </c>
      <c r="B301" s="69" t="s">
        <v>676</v>
      </c>
      <c r="C301" s="40"/>
      <c r="D301" s="40"/>
      <c r="E301" s="48"/>
      <c r="F301" s="339" t="s">
        <v>677</v>
      </c>
      <c r="G301" s="48"/>
      <c r="H301" s="339" t="s">
        <v>678</v>
      </c>
      <c r="I301" s="339" t="s">
        <v>679</v>
      </c>
      <c r="J301" s="48"/>
      <c r="K301" s="339" t="s">
        <v>680</v>
      </c>
      <c r="L301" s="339" t="s">
        <v>681</v>
      </c>
      <c r="M301" s="48"/>
      <c r="N301" s="339"/>
      <c r="O301" s="339" t="s">
        <v>682</v>
      </c>
      <c r="P301" s="48"/>
      <c r="Q301" s="339" t="s">
        <v>683</v>
      </c>
      <c r="R301" s="339" t="s">
        <v>684</v>
      </c>
      <c r="S301" s="48"/>
      <c r="T301" s="339" t="s">
        <v>685</v>
      </c>
      <c r="U301" s="339" t="s">
        <v>686</v>
      </c>
      <c r="V301" s="28">
        <v>82</v>
      </c>
      <c r="W301" s="369">
        <f t="shared" si="16"/>
        <v>16.2606</v>
      </c>
      <c r="X301" s="369">
        <f t="shared" si="17"/>
        <v>9.0117999999999991</v>
      </c>
      <c r="Y301" s="369">
        <f t="shared" si="18"/>
        <v>16.752600000000001</v>
      </c>
      <c r="Z301" s="369">
        <f t="shared" si="19"/>
        <v>9.5038</v>
      </c>
      <c r="AA301" s="166"/>
      <c r="AB301" s="166"/>
      <c r="AC301" s="166"/>
      <c r="AD301" s="166"/>
      <c r="AE301" s="166"/>
      <c r="AF301" s="166"/>
      <c r="AG301" s="166"/>
      <c r="AH301" s="166"/>
      <c r="AI301" s="166"/>
      <c r="AJ301" s="166"/>
      <c r="AK301" s="166"/>
      <c r="AL301" s="166"/>
      <c r="AM301" s="166"/>
      <c r="AN301" s="166"/>
      <c r="AO301" s="166"/>
      <c r="AP301" s="166"/>
      <c r="AQ301" s="166"/>
      <c r="AR301" s="166"/>
      <c r="AS301" s="166"/>
    </row>
    <row r="302" spans="1:45" s="163" customFormat="1">
      <c r="A302" s="22"/>
      <c r="B302" s="22"/>
      <c r="C302" s="22"/>
      <c r="D302" s="22"/>
      <c r="E302" s="155"/>
      <c r="F302" s="155"/>
      <c r="G302" s="155"/>
      <c r="H302" s="155"/>
      <c r="I302" s="155"/>
      <c r="J302" s="155"/>
      <c r="K302" s="155"/>
      <c r="L302" s="155"/>
      <c r="M302" s="155"/>
      <c r="N302" s="155"/>
      <c r="O302" s="155"/>
      <c r="P302" s="155"/>
      <c r="Q302" s="155"/>
      <c r="R302" s="155"/>
      <c r="S302" s="155"/>
      <c r="T302" s="155"/>
      <c r="U302" s="155"/>
      <c r="V302" s="28"/>
      <c r="W302" s="369"/>
      <c r="X302" s="369"/>
      <c r="Y302" s="369"/>
      <c r="Z302" s="369"/>
      <c r="AA302" s="166"/>
      <c r="AB302" s="166"/>
      <c r="AC302" s="166"/>
      <c r="AD302" s="166"/>
      <c r="AE302" s="166"/>
      <c r="AF302" s="166"/>
      <c r="AG302" s="166"/>
      <c r="AH302" s="166"/>
      <c r="AI302" s="166"/>
      <c r="AJ302" s="166"/>
      <c r="AK302" s="166"/>
      <c r="AL302" s="166"/>
      <c r="AM302" s="166"/>
      <c r="AN302" s="166"/>
      <c r="AO302" s="166"/>
      <c r="AP302" s="166"/>
      <c r="AQ302" s="166"/>
      <c r="AR302" s="166"/>
      <c r="AS302" s="166"/>
    </row>
    <row r="303" spans="1:45" s="177" customFormat="1">
      <c r="A303" s="98" t="s">
        <v>688</v>
      </c>
      <c r="B303" s="103"/>
      <c r="C303" s="103"/>
      <c r="D303" s="103"/>
      <c r="E303" s="226"/>
      <c r="F303" s="226"/>
      <c r="G303" s="226"/>
      <c r="H303" s="226"/>
      <c r="I303" s="226"/>
      <c r="J303" s="226"/>
      <c r="K303" s="226"/>
      <c r="L303" s="226"/>
      <c r="M303" s="226"/>
      <c r="N303" s="226"/>
      <c r="O303" s="226"/>
      <c r="P303" s="226"/>
      <c r="Q303" s="226"/>
      <c r="R303" s="226"/>
      <c r="S303" s="223"/>
      <c r="T303" s="223"/>
      <c r="U303" s="226"/>
      <c r="V303" s="126"/>
      <c r="W303" s="126"/>
      <c r="X303" s="126"/>
      <c r="Y303" s="126"/>
      <c r="Z303" s="126"/>
      <c r="AA303" s="172"/>
      <c r="AB303" s="172"/>
      <c r="AC303" s="172"/>
      <c r="AD303" s="172"/>
      <c r="AE303" s="172"/>
      <c r="AF303" s="172"/>
      <c r="AG303" s="172"/>
      <c r="AH303" s="172"/>
      <c r="AI303" s="172"/>
      <c r="AJ303" s="172"/>
      <c r="AK303" s="172"/>
      <c r="AL303" s="172"/>
      <c r="AM303" s="172"/>
      <c r="AN303" s="172"/>
      <c r="AO303" s="172"/>
      <c r="AP303" s="172"/>
      <c r="AQ303" s="172"/>
      <c r="AR303" s="172"/>
      <c r="AS303" s="172"/>
    </row>
    <row r="304" spans="1:45" s="177" customFormat="1" ht="14.4">
      <c r="A304" s="69" t="s">
        <v>247</v>
      </c>
      <c r="B304" s="69" t="s">
        <v>369</v>
      </c>
      <c r="C304" s="40"/>
      <c r="D304" s="40"/>
      <c r="E304" s="48"/>
      <c r="F304" s="339" t="s">
        <v>689</v>
      </c>
      <c r="G304" s="48"/>
      <c r="H304" s="339" t="s">
        <v>690</v>
      </c>
      <c r="I304" s="339" t="s">
        <v>691</v>
      </c>
      <c r="J304" s="48"/>
      <c r="K304" s="339" t="s">
        <v>692</v>
      </c>
      <c r="L304" s="339" t="s">
        <v>693</v>
      </c>
      <c r="M304" s="48"/>
      <c r="N304" s="339" t="s">
        <v>694</v>
      </c>
      <c r="O304" s="339" t="s">
        <v>695</v>
      </c>
      <c r="P304" s="48"/>
      <c r="Q304" s="339" t="s">
        <v>696</v>
      </c>
      <c r="R304" s="339" t="s">
        <v>697</v>
      </c>
      <c r="S304" s="48"/>
      <c r="T304" s="339" t="s">
        <v>698</v>
      </c>
      <c r="U304" s="339" t="s">
        <v>699</v>
      </c>
      <c r="V304" s="23">
        <v>5</v>
      </c>
      <c r="W304" s="368">
        <f t="shared" si="16"/>
        <v>0.99150000000000005</v>
      </c>
      <c r="X304" s="368">
        <f t="shared" si="17"/>
        <v>0.54949999999999999</v>
      </c>
      <c r="Y304" s="368">
        <f t="shared" si="18"/>
        <v>1.0215000000000001</v>
      </c>
      <c r="Z304" s="368">
        <f t="shared" si="19"/>
        <v>0.57950000000000002</v>
      </c>
    </row>
    <row r="305" spans="1:45" s="177" customFormat="1">
      <c r="A305" s="235"/>
      <c r="B305" s="140"/>
      <c r="C305" s="134"/>
      <c r="D305" s="134"/>
      <c r="E305" s="45"/>
      <c r="F305" s="45"/>
      <c r="G305" s="45"/>
      <c r="H305" s="45"/>
      <c r="I305" s="45"/>
      <c r="J305" s="45"/>
      <c r="K305" s="45"/>
      <c r="L305" s="45"/>
      <c r="M305" s="45"/>
      <c r="N305" s="45"/>
      <c r="O305" s="45"/>
      <c r="P305" s="45"/>
      <c r="Q305" s="45"/>
      <c r="R305" s="45"/>
      <c r="S305" s="53"/>
      <c r="T305" s="53"/>
      <c r="U305" s="45"/>
      <c r="V305" s="28"/>
      <c r="W305" s="369"/>
      <c r="X305" s="369"/>
      <c r="Y305" s="369"/>
      <c r="Z305" s="369"/>
      <c r="AA305" s="172"/>
      <c r="AB305" s="172"/>
      <c r="AC305" s="172"/>
      <c r="AD305" s="172"/>
      <c r="AE305" s="172"/>
      <c r="AF305" s="172"/>
      <c r="AG305" s="172"/>
      <c r="AH305" s="172"/>
      <c r="AI305" s="172"/>
      <c r="AJ305" s="172"/>
      <c r="AK305" s="172"/>
      <c r="AL305" s="172"/>
      <c r="AM305" s="172"/>
      <c r="AN305" s="172"/>
      <c r="AO305" s="172"/>
      <c r="AP305" s="172"/>
      <c r="AQ305" s="172"/>
      <c r="AR305" s="172"/>
      <c r="AS305" s="172"/>
    </row>
    <row r="306" spans="1:45">
      <c r="A306" s="98" t="s">
        <v>253</v>
      </c>
      <c r="B306" s="103"/>
      <c r="C306" s="103"/>
      <c r="D306" s="103"/>
      <c r="E306" s="226"/>
      <c r="F306" s="226"/>
      <c r="G306" s="226"/>
      <c r="H306" s="226"/>
      <c r="I306" s="226"/>
      <c r="J306" s="226"/>
      <c r="K306" s="226"/>
      <c r="L306" s="226"/>
      <c r="M306" s="226"/>
      <c r="N306" s="226"/>
      <c r="O306" s="226"/>
      <c r="P306" s="226"/>
      <c r="Q306" s="226"/>
      <c r="R306" s="226"/>
      <c r="S306" s="223"/>
      <c r="T306" s="223"/>
      <c r="U306" s="226"/>
      <c r="V306" s="126"/>
      <c r="W306" s="126"/>
      <c r="X306" s="126"/>
      <c r="Y306" s="126"/>
      <c r="Z306" s="126"/>
    </row>
    <row r="307" spans="1:45" ht="14.4">
      <c r="A307" s="69" t="s">
        <v>700</v>
      </c>
      <c r="B307" s="69" t="s">
        <v>701</v>
      </c>
      <c r="C307" s="40"/>
      <c r="D307" s="40"/>
      <c r="E307" s="48"/>
      <c r="F307" s="339" t="s">
        <v>1671</v>
      </c>
      <c r="G307" s="48"/>
      <c r="H307" s="339" t="s">
        <v>1672</v>
      </c>
      <c r="I307" s="339" t="s">
        <v>1673</v>
      </c>
      <c r="J307" s="48"/>
      <c r="K307" s="339" t="s">
        <v>1674</v>
      </c>
      <c r="L307" s="339" t="s">
        <v>1675</v>
      </c>
      <c r="M307" s="48"/>
      <c r="N307" s="339" t="s">
        <v>1676</v>
      </c>
      <c r="O307" s="339" t="s">
        <v>1677</v>
      </c>
      <c r="P307" s="48"/>
      <c r="Q307" s="48"/>
      <c r="R307" s="95"/>
      <c r="S307" s="48"/>
      <c r="T307" s="48"/>
      <c r="U307" s="95"/>
      <c r="V307" s="28">
        <v>0</v>
      </c>
      <c r="W307" s="369">
        <f t="shared" si="16"/>
        <v>0</v>
      </c>
      <c r="X307" s="369">
        <f t="shared" si="17"/>
        <v>0</v>
      </c>
      <c r="Y307" s="369">
        <f t="shared" si="18"/>
        <v>0</v>
      </c>
      <c r="Z307" s="369">
        <f t="shared" si="19"/>
        <v>0</v>
      </c>
    </row>
    <row r="308" spans="1:45" ht="14.4">
      <c r="A308" s="69" t="s">
        <v>702</v>
      </c>
      <c r="B308" s="69" t="s">
        <v>701</v>
      </c>
      <c r="C308" s="40"/>
      <c r="D308" s="40"/>
      <c r="E308" s="48"/>
      <c r="F308" s="48"/>
      <c r="G308" s="48"/>
      <c r="H308" s="48"/>
      <c r="I308" s="48"/>
      <c r="J308" s="48"/>
      <c r="K308" s="48"/>
      <c r="L308" s="48"/>
      <c r="M308" s="48"/>
      <c r="N308" s="48"/>
      <c r="O308" s="48"/>
      <c r="P308" s="48"/>
      <c r="Q308" s="339" t="s">
        <v>1678</v>
      </c>
      <c r="R308" s="339" t="s">
        <v>1679</v>
      </c>
      <c r="S308" s="48"/>
      <c r="T308" s="339" t="s">
        <v>1680</v>
      </c>
      <c r="U308" s="339" t="s">
        <v>1681</v>
      </c>
      <c r="V308" s="28">
        <v>0</v>
      </c>
      <c r="W308" s="369">
        <f t="shared" si="16"/>
        <v>0</v>
      </c>
      <c r="X308" s="369">
        <f t="shared" si="17"/>
        <v>0</v>
      </c>
      <c r="Y308" s="369">
        <f t="shared" si="18"/>
        <v>0</v>
      </c>
      <c r="Z308" s="369">
        <f t="shared" si="19"/>
        <v>0</v>
      </c>
    </row>
    <row r="309" spans="1:45">
      <c r="A309" s="235"/>
      <c r="B309" s="140"/>
      <c r="C309" s="134"/>
      <c r="D309" s="134"/>
      <c r="E309" s="45"/>
      <c r="F309" s="45"/>
      <c r="G309" s="45"/>
      <c r="H309" s="45"/>
      <c r="I309" s="45"/>
      <c r="J309" s="45"/>
      <c r="K309" s="45"/>
      <c r="L309" s="45"/>
      <c r="M309" s="45"/>
      <c r="N309" s="45"/>
      <c r="O309" s="45"/>
      <c r="P309" s="45"/>
      <c r="Q309" s="45"/>
      <c r="R309" s="45"/>
      <c r="S309" s="53"/>
      <c r="T309" s="53"/>
      <c r="U309" s="45"/>
      <c r="V309" s="28"/>
      <c r="W309" s="369"/>
      <c r="X309" s="369"/>
      <c r="Y309" s="369"/>
      <c r="Z309" s="369"/>
    </row>
    <row r="310" spans="1:45">
      <c r="A310" s="98" t="s">
        <v>263</v>
      </c>
      <c r="B310" s="103"/>
      <c r="C310" s="103"/>
      <c r="D310" s="103"/>
      <c r="E310" s="226"/>
      <c r="F310" s="226"/>
      <c r="G310" s="226"/>
      <c r="H310" s="226"/>
      <c r="I310" s="226"/>
      <c r="J310" s="226"/>
      <c r="K310" s="226"/>
      <c r="L310" s="226"/>
      <c r="M310" s="226"/>
      <c r="N310" s="226"/>
      <c r="O310" s="226"/>
      <c r="P310" s="226"/>
      <c r="Q310" s="226"/>
      <c r="R310" s="226"/>
      <c r="S310" s="223"/>
      <c r="T310" s="223"/>
      <c r="U310" s="226"/>
      <c r="V310" s="126"/>
      <c r="W310" s="126">
        <f t="shared" si="16"/>
        <v>0</v>
      </c>
      <c r="X310" s="126">
        <f t="shared" si="17"/>
        <v>0</v>
      </c>
      <c r="Y310" s="126">
        <f t="shared" si="18"/>
        <v>0</v>
      </c>
      <c r="Z310" s="126">
        <f t="shared" si="19"/>
        <v>0</v>
      </c>
    </row>
    <row r="311" spans="1:45" ht="14.4">
      <c r="A311" s="69" t="s">
        <v>382</v>
      </c>
      <c r="B311" s="69" t="s">
        <v>383</v>
      </c>
      <c r="C311" s="40"/>
      <c r="D311" s="40"/>
      <c r="E311" s="48"/>
      <c r="F311" s="339" t="s">
        <v>703</v>
      </c>
      <c r="G311" s="48"/>
      <c r="H311" s="339" t="s">
        <v>704</v>
      </c>
      <c r="I311" s="339" t="s">
        <v>705</v>
      </c>
      <c r="J311" s="48"/>
      <c r="K311" s="48"/>
      <c r="L311" s="339" t="s">
        <v>706</v>
      </c>
      <c r="M311" s="48"/>
      <c r="N311" s="339" t="s">
        <v>707</v>
      </c>
      <c r="O311" s="339" t="s">
        <v>708</v>
      </c>
      <c r="P311" s="48"/>
      <c r="Q311" s="339" t="s">
        <v>709</v>
      </c>
      <c r="R311" s="339" t="s">
        <v>710</v>
      </c>
      <c r="S311" s="48"/>
      <c r="T311" s="339" t="s">
        <v>711</v>
      </c>
      <c r="U311" s="339" t="s">
        <v>712</v>
      </c>
      <c r="V311" s="28">
        <v>2</v>
      </c>
      <c r="W311" s="369">
        <f t="shared" si="16"/>
        <v>0.39660000000000001</v>
      </c>
      <c r="X311" s="369">
        <f t="shared" si="17"/>
        <v>0.2198</v>
      </c>
      <c r="Y311" s="369">
        <f t="shared" si="18"/>
        <v>0.40860000000000002</v>
      </c>
      <c r="Z311" s="369">
        <f t="shared" si="19"/>
        <v>0.23180000000000001</v>
      </c>
    </row>
    <row r="312" spans="1:45" ht="14.4">
      <c r="A312" s="69" t="s">
        <v>113</v>
      </c>
      <c r="B312" s="69" t="s">
        <v>264</v>
      </c>
      <c r="C312" s="40"/>
      <c r="D312" s="40"/>
      <c r="E312" s="48"/>
      <c r="F312" s="339" t="s">
        <v>713</v>
      </c>
      <c r="G312" s="48"/>
      <c r="H312" s="339" t="s">
        <v>714</v>
      </c>
      <c r="I312" s="339" t="s">
        <v>715</v>
      </c>
      <c r="J312" s="48"/>
      <c r="K312" s="48"/>
      <c r="L312" s="339" t="s">
        <v>716</v>
      </c>
      <c r="M312" s="48"/>
      <c r="N312" s="339" t="s">
        <v>717</v>
      </c>
      <c r="O312" s="339" t="s">
        <v>718</v>
      </c>
      <c r="P312" s="48"/>
      <c r="Q312" s="339" t="s">
        <v>719</v>
      </c>
      <c r="R312" s="339" t="s">
        <v>720</v>
      </c>
      <c r="S312" s="48"/>
      <c r="T312" s="339" t="s">
        <v>721</v>
      </c>
      <c r="U312" s="339" t="s">
        <v>722</v>
      </c>
      <c r="V312" s="28">
        <v>6</v>
      </c>
      <c r="W312" s="369">
        <f t="shared" si="16"/>
        <v>1.1898</v>
      </c>
      <c r="X312" s="369">
        <f t="shared" si="17"/>
        <v>0.65939999999999999</v>
      </c>
      <c r="Y312" s="369">
        <f t="shared" si="18"/>
        <v>1.2258</v>
      </c>
      <c r="Z312" s="369">
        <f t="shared" si="19"/>
        <v>0.69540000000000002</v>
      </c>
    </row>
    <row r="313" spans="1:45">
      <c r="A313" s="235"/>
      <c r="B313" s="140"/>
      <c r="C313" s="134"/>
      <c r="D313" s="134"/>
      <c r="E313" s="45"/>
      <c r="F313" s="45"/>
      <c r="G313" s="45"/>
      <c r="H313" s="45"/>
      <c r="I313" s="45"/>
      <c r="J313" s="45"/>
      <c r="K313" s="45"/>
      <c r="L313" s="45"/>
      <c r="M313" s="45"/>
      <c r="N313" s="45"/>
      <c r="O313" s="45"/>
      <c r="P313" s="45"/>
      <c r="Q313" s="45"/>
      <c r="R313" s="45"/>
      <c r="S313" s="53"/>
      <c r="T313" s="53"/>
      <c r="U313" s="45"/>
      <c r="V313" s="28"/>
      <c r="W313" s="369"/>
      <c r="X313" s="369"/>
      <c r="Y313" s="369"/>
      <c r="Z313" s="369"/>
    </row>
    <row r="314" spans="1:45">
      <c r="A314" s="98" t="s">
        <v>384</v>
      </c>
      <c r="B314" s="103"/>
      <c r="C314" s="103"/>
      <c r="D314" s="103"/>
      <c r="E314" s="226"/>
      <c r="F314" s="226"/>
      <c r="G314" s="226"/>
      <c r="H314" s="226"/>
      <c r="I314" s="226"/>
      <c r="J314" s="226"/>
      <c r="K314" s="226"/>
      <c r="L314" s="226"/>
      <c r="M314" s="226"/>
      <c r="N314" s="226"/>
      <c r="O314" s="226"/>
      <c r="P314" s="226"/>
      <c r="Q314" s="226"/>
      <c r="R314" s="226"/>
      <c r="S314" s="223"/>
      <c r="T314" s="223"/>
      <c r="U314" s="226"/>
      <c r="V314" s="126"/>
      <c r="W314" s="126"/>
      <c r="X314" s="126"/>
      <c r="Y314" s="126"/>
      <c r="Z314" s="126"/>
    </row>
    <row r="315" spans="1:45" ht="14.4">
      <c r="A315" s="69" t="s">
        <v>385</v>
      </c>
      <c r="B315" s="69" t="s">
        <v>386</v>
      </c>
      <c r="C315" s="40"/>
      <c r="D315" s="40"/>
      <c r="E315" s="48"/>
      <c r="F315" s="339" t="s">
        <v>723</v>
      </c>
      <c r="G315" s="48"/>
      <c r="H315" s="339" t="s">
        <v>724</v>
      </c>
      <c r="I315" s="339" t="s">
        <v>725</v>
      </c>
      <c r="J315" s="48"/>
      <c r="K315" s="339" t="s">
        <v>726</v>
      </c>
      <c r="L315" s="339" t="s">
        <v>727</v>
      </c>
      <c r="M315" s="48"/>
      <c r="N315" s="339" t="s">
        <v>728</v>
      </c>
      <c r="O315" s="339" t="s">
        <v>729</v>
      </c>
      <c r="P315" s="48"/>
      <c r="Q315" s="339" t="s">
        <v>730</v>
      </c>
      <c r="R315" s="339" t="s">
        <v>731</v>
      </c>
      <c r="S315" s="48"/>
      <c r="T315" s="339" t="s">
        <v>732</v>
      </c>
      <c r="U315" s="339" t="s">
        <v>733</v>
      </c>
      <c r="V315" s="28">
        <v>6</v>
      </c>
      <c r="W315" s="369">
        <f t="shared" si="16"/>
        <v>1.1898</v>
      </c>
      <c r="X315" s="369">
        <f t="shared" si="17"/>
        <v>0.65939999999999999</v>
      </c>
      <c r="Y315" s="369">
        <f t="shared" si="18"/>
        <v>1.2258</v>
      </c>
      <c r="Z315" s="369">
        <f t="shared" si="19"/>
        <v>0.69540000000000002</v>
      </c>
    </row>
    <row r="316" spans="1:45" ht="14.4">
      <c r="A316" s="69" t="s">
        <v>734</v>
      </c>
      <c r="B316" s="69" t="s">
        <v>735</v>
      </c>
      <c r="C316" s="40"/>
      <c r="D316" s="40"/>
      <c r="E316" s="48"/>
      <c r="F316" s="48"/>
      <c r="G316" s="48"/>
      <c r="H316" s="48"/>
      <c r="I316" s="48"/>
      <c r="J316" s="48"/>
      <c r="K316" s="48"/>
      <c r="L316" s="48"/>
      <c r="M316" s="48"/>
      <c r="N316" s="48"/>
      <c r="O316" s="339" t="s">
        <v>736</v>
      </c>
      <c r="P316" s="48"/>
      <c r="Q316" s="48"/>
      <c r="R316" s="339"/>
      <c r="S316" s="48"/>
      <c r="T316" s="48"/>
      <c r="U316" s="339" t="s">
        <v>737</v>
      </c>
      <c r="V316" s="28">
        <v>7</v>
      </c>
      <c r="W316" s="369">
        <f t="shared" si="16"/>
        <v>1.3881000000000001</v>
      </c>
      <c r="X316" s="369">
        <f t="shared" si="17"/>
        <v>0.76929999999999998</v>
      </c>
      <c r="Y316" s="369">
        <f t="shared" si="18"/>
        <v>1.4301000000000001</v>
      </c>
      <c r="Z316" s="369">
        <f t="shared" si="19"/>
        <v>0.81130000000000002</v>
      </c>
    </row>
    <row r="317" spans="1:45" ht="14.4">
      <c r="A317" t="s">
        <v>738</v>
      </c>
      <c r="B317" t="s">
        <v>738</v>
      </c>
      <c r="C317" s="40"/>
      <c r="D317" s="40"/>
      <c r="E317" s="48"/>
      <c r="F317" s="48"/>
      <c r="G317" s="48"/>
      <c r="H317" s="48"/>
      <c r="I317" s="48"/>
      <c r="J317" s="48"/>
      <c r="K317" s="48"/>
      <c r="L317" s="48"/>
      <c r="M317" s="48"/>
      <c r="N317" s="339" t="s">
        <v>739</v>
      </c>
      <c r="O317" s="339"/>
      <c r="P317" s="48"/>
      <c r="Q317" s="48"/>
      <c r="R317" s="339"/>
      <c r="S317" s="48"/>
      <c r="T317" s="339" t="s">
        <v>740</v>
      </c>
      <c r="U317" s="339"/>
      <c r="V317" s="28">
        <v>5</v>
      </c>
      <c r="W317" s="369">
        <f t="shared" si="16"/>
        <v>0.99150000000000005</v>
      </c>
      <c r="X317" s="369">
        <f t="shared" si="17"/>
        <v>0.54949999999999999</v>
      </c>
      <c r="Y317" s="369">
        <f t="shared" si="18"/>
        <v>1.0215000000000001</v>
      </c>
      <c r="Z317" s="369">
        <f t="shared" si="19"/>
        <v>0.57950000000000002</v>
      </c>
    </row>
    <row r="318" spans="1:45" ht="14.4">
      <c r="A318" s="69" t="s">
        <v>387</v>
      </c>
      <c r="B318" s="69" t="s">
        <v>388</v>
      </c>
      <c r="C318" s="40"/>
      <c r="D318" s="40"/>
      <c r="E318" s="48"/>
      <c r="F318" s="339" t="s">
        <v>741</v>
      </c>
      <c r="G318" s="48"/>
      <c r="H318" s="48"/>
      <c r="I318" s="48"/>
      <c r="J318" s="48"/>
      <c r="K318" s="339" t="s">
        <v>742</v>
      </c>
      <c r="L318" s="48"/>
      <c r="M318" s="48"/>
      <c r="N318" s="48"/>
      <c r="O318" s="48"/>
      <c r="P318" s="48"/>
      <c r="Q318" s="339" t="s">
        <v>743</v>
      </c>
      <c r="R318" s="48"/>
      <c r="S318" s="48"/>
      <c r="T318" s="48"/>
      <c r="U318" s="48"/>
      <c r="V318" s="28">
        <v>7</v>
      </c>
      <c r="W318" s="369">
        <f t="shared" si="16"/>
        <v>1.3881000000000001</v>
      </c>
      <c r="X318" s="369">
        <f t="shared" si="17"/>
        <v>0.76929999999999998</v>
      </c>
      <c r="Y318" s="369">
        <f t="shared" si="18"/>
        <v>1.4301000000000001</v>
      </c>
      <c r="Z318" s="369">
        <f t="shared" si="19"/>
        <v>0.81130000000000002</v>
      </c>
    </row>
    <row r="319" spans="1:45" ht="14.4">
      <c r="A319" s="69" t="s">
        <v>389</v>
      </c>
      <c r="B319" s="69" t="s">
        <v>390</v>
      </c>
      <c r="C319" s="40"/>
      <c r="D319" s="40"/>
      <c r="E319" s="48"/>
      <c r="F319" s="339" t="s">
        <v>744</v>
      </c>
      <c r="G319" s="48"/>
      <c r="H319" s="339" t="s">
        <v>745</v>
      </c>
      <c r="J319" s="48"/>
      <c r="K319" s="339" t="s">
        <v>746</v>
      </c>
      <c r="M319" s="48"/>
      <c r="N319" s="339" t="s">
        <v>747</v>
      </c>
      <c r="P319" s="48"/>
      <c r="Q319" s="339" t="s">
        <v>748</v>
      </c>
      <c r="S319" s="48"/>
      <c r="T319" s="339" t="s">
        <v>749</v>
      </c>
      <c r="V319" s="28">
        <v>87</v>
      </c>
      <c r="W319" s="369">
        <f t="shared" si="16"/>
        <v>17.252099999999999</v>
      </c>
      <c r="X319" s="369">
        <f t="shared" si="17"/>
        <v>9.5612999999999992</v>
      </c>
      <c r="Y319" s="369">
        <f t="shared" si="18"/>
        <v>17.774100000000001</v>
      </c>
      <c r="Z319" s="369">
        <f t="shared" si="19"/>
        <v>10.083299999999999</v>
      </c>
    </row>
    <row r="320" spans="1:45" ht="14.4">
      <c r="A320" s="69" t="s">
        <v>750</v>
      </c>
      <c r="B320" s="69" t="s">
        <v>751</v>
      </c>
      <c r="C320" s="40"/>
      <c r="D320" s="40"/>
      <c r="E320" s="48"/>
      <c r="F320" s="339" t="s">
        <v>752</v>
      </c>
      <c r="G320" s="48"/>
      <c r="H320" s="339" t="s">
        <v>753</v>
      </c>
      <c r="I320" s="339" t="s">
        <v>754</v>
      </c>
      <c r="J320" s="48"/>
      <c r="K320" s="339" t="s">
        <v>755</v>
      </c>
      <c r="L320" s="339" t="s">
        <v>756</v>
      </c>
      <c r="M320" s="48"/>
      <c r="N320" s="339" t="s">
        <v>757</v>
      </c>
      <c r="O320" s="339" t="s">
        <v>758</v>
      </c>
      <c r="P320" s="48"/>
      <c r="Q320" s="339" t="s">
        <v>759</v>
      </c>
      <c r="R320" s="339" t="s">
        <v>760</v>
      </c>
      <c r="S320" s="48"/>
      <c r="T320" s="339" t="s">
        <v>761</v>
      </c>
      <c r="U320" s="339" t="s">
        <v>762</v>
      </c>
      <c r="V320" s="23">
        <v>117</v>
      </c>
      <c r="W320" s="368">
        <f t="shared" si="16"/>
        <v>23.2011</v>
      </c>
      <c r="X320" s="368">
        <f t="shared" si="17"/>
        <v>12.8583</v>
      </c>
      <c r="Y320" s="368">
        <f t="shared" si="18"/>
        <v>23.903100000000002</v>
      </c>
      <c r="Z320" s="368">
        <f t="shared" si="19"/>
        <v>13.5603</v>
      </c>
    </row>
    <row r="321" spans="1:45" ht="14.4">
      <c r="A321" t="s">
        <v>763</v>
      </c>
      <c r="B321" t="s">
        <v>763</v>
      </c>
      <c r="C321" s="150"/>
      <c r="D321" s="150"/>
      <c r="E321" s="104"/>
      <c r="F321" s="104"/>
      <c r="G321" s="104"/>
      <c r="H321" s="339" t="s">
        <v>764</v>
      </c>
      <c r="I321" s="339" t="s">
        <v>765</v>
      </c>
      <c r="J321" s="104"/>
      <c r="K321" s="339" t="s">
        <v>766</v>
      </c>
      <c r="L321" s="339" t="s">
        <v>767</v>
      </c>
      <c r="M321" s="104"/>
      <c r="N321" s="104"/>
      <c r="O321" s="104"/>
      <c r="P321" s="104"/>
      <c r="Q321" s="104"/>
      <c r="R321" s="339" t="s">
        <v>768</v>
      </c>
      <c r="S321" s="138"/>
      <c r="T321" s="138"/>
      <c r="U321" s="104"/>
      <c r="V321" s="28">
        <v>5</v>
      </c>
      <c r="W321" s="369">
        <f t="shared" si="16"/>
        <v>0.99150000000000005</v>
      </c>
      <c r="X321" s="369">
        <f t="shared" si="17"/>
        <v>0.54949999999999999</v>
      </c>
      <c r="Y321" s="369">
        <f t="shared" si="18"/>
        <v>1.0215000000000001</v>
      </c>
      <c r="Z321" s="369">
        <f t="shared" si="19"/>
        <v>0.57950000000000002</v>
      </c>
    </row>
    <row r="322" spans="1:45">
      <c r="A322" s="98" t="s">
        <v>391</v>
      </c>
      <c r="B322" s="103"/>
      <c r="C322" s="103"/>
      <c r="D322" s="103"/>
      <c r="E322" s="226"/>
      <c r="F322" s="226"/>
      <c r="G322" s="226"/>
      <c r="H322" s="208"/>
      <c r="I322" s="226"/>
      <c r="J322" s="226"/>
      <c r="K322" s="226"/>
      <c r="L322" s="226"/>
      <c r="M322" s="226"/>
      <c r="N322" s="226"/>
      <c r="O322" s="226"/>
      <c r="P322" s="226"/>
      <c r="Q322" s="226"/>
      <c r="R322" s="226"/>
      <c r="S322" s="223"/>
      <c r="T322" s="223"/>
      <c r="U322" s="226"/>
      <c r="V322" s="126"/>
      <c r="W322" s="126"/>
      <c r="X322" s="126"/>
      <c r="Y322" s="126"/>
      <c r="Z322" s="126"/>
    </row>
    <row r="323" spans="1:45" ht="14.4">
      <c r="A323" s="69" t="s">
        <v>769</v>
      </c>
      <c r="B323" s="69" t="s">
        <v>770</v>
      </c>
      <c r="C323" s="40"/>
      <c r="D323" s="40"/>
      <c r="E323" s="48"/>
      <c r="F323" s="48"/>
      <c r="G323" s="48"/>
      <c r="H323" s="48"/>
      <c r="I323" s="339" t="s">
        <v>771</v>
      </c>
      <c r="J323" s="48"/>
      <c r="K323" s="48"/>
      <c r="L323" s="339" t="s">
        <v>771</v>
      </c>
      <c r="M323" s="48"/>
      <c r="N323" s="48"/>
      <c r="O323" s="339" t="s">
        <v>771</v>
      </c>
      <c r="P323" s="48"/>
      <c r="Q323" s="48"/>
      <c r="R323" s="339" t="s">
        <v>771</v>
      </c>
      <c r="S323" s="48"/>
      <c r="T323" s="48"/>
      <c r="U323" s="339" t="s">
        <v>771</v>
      </c>
      <c r="V323" s="28">
        <v>1</v>
      </c>
      <c r="W323" s="369">
        <f t="shared" si="16"/>
        <v>0.1983</v>
      </c>
      <c r="X323" s="369">
        <f t="shared" si="17"/>
        <v>0.1099</v>
      </c>
      <c r="Y323" s="369">
        <f t="shared" si="18"/>
        <v>0.20430000000000001</v>
      </c>
      <c r="Z323" s="369">
        <f t="shared" si="19"/>
        <v>0.1159</v>
      </c>
    </row>
    <row r="324" spans="1:45" s="177" customFormat="1" ht="14.4">
      <c r="A324" s="69" t="s">
        <v>772</v>
      </c>
      <c r="B324" s="69" t="s">
        <v>773</v>
      </c>
      <c r="C324" s="40"/>
      <c r="D324" s="40"/>
      <c r="E324" s="48"/>
      <c r="F324" s="339" t="s">
        <v>774</v>
      </c>
      <c r="G324" s="48"/>
      <c r="H324" s="339" t="s">
        <v>775</v>
      </c>
      <c r="I324" s="48"/>
      <c r="J324" s="48"/>
      <c r="K324" s="339" t="s">
        <v>776</v>
      </c>
      <c r="L324" s="339" t="s">
        <v>777</v>
      </c>
      <c r="M324" s="48"/>
      <c r="N324" s="339" t="s">
        <v>778</v>
      </c>
      <c r="O324" s="48"/>
      <c r="P324" s="48"/>
      <c r="Q324" s="339" t="s">
        <v>779</v>
      </c>
      <c r="R324" s="339" t="s">
        <v>780</v>
      </c>
      <c r="S324" s="48"/>
      <c r="T324" s="339" t="s">
        <v>781</v>
      </c>
      <c r="U324" s="48"/>
      <c r="V324" s="28">
        <v>7</v>
      </c>
      <c r="W324" s="369">
        <f t="shared" si="16"/>
        <v>1.3881000000000001</v>
      </c>
      <c r="X324" s="369">
        <f t="shared" si="17"/>
        <v>0.76929999999999998</v>
      </c>
      <c r="Y324" s="369">
        <f t="shared" si="18"/>
        <v>1.4301000000000001</v>
      </c>
      <c r="Z324" s="369">
        <f t="shared" si="19"/>
        <v>0.81130000000000002</v>
      </c>
      <c r="AA324" s="172"/>
      <c r="AB324" s="172"/>
      <c r="AC324" s="172"/>
      <c r="AD324" s="172"/>
      <c r="AE324" s="172"/>
      <c r="AF324" s="172"/>
      <c r="AG324" s="172"/>
      <c r="AH324" s="172"/>
      <c r="AI324" s="172"/>
      <c r="AJ324" s="172"/>
      <c r="AK324" s="172"/>
      <c r="AL324" s="172"/>
      <c r="AM324" s="172"/>
      <c r="AN324" s="172"/>
      <c r="AO324" s="172"/>
      <c r="AP324" s="172"/>
      <c r="AQ324" s="172"/>
      <c r="AR324" s="172"/>
      <c r="AS324" s="172"/>
    </row>
    <row r="325" spans="1:45" ht="14.4">
      <c r="A325" s="71" t="s">
        <v>921</v>
      </c>
      <c r="B325" s="69" t="s">
        <v>392</v>
      </c>
      <c r="C325" s="40"/>
      <c r="D325" s="40"/>
      <c r="E325" s="48"/>
      <c r="F325" s="339" t="s">
        <v>782</v>
      </c>
      <c r="G325" s="48"/>
      <c r="H325" s="339" t="s">
        <v>783</v>
      </c>
      <c r="I325" s="48"/>
      <c r="J325" s="48"/>
      <c r="K325" s="339" t="s">
        <v>784</v>
      </c>
      <c r="L325" s="339" t="s">
        <v>785</v>
      </c>
      <c r="M325" s="48"/>
      <c r="N325" s="339" t="s">
        <v>786</v>
      </c>
      <c r="O325" s="48"/>
      <c r="P325" s="48"/>
      <c r="Q325" s="339" t="s">
        <v>787</v>
      </c>
      <c r="R325" s="339" t="s">
        <v>788</v>
      </c>
      <c r="S325" s="48"/>
      <c r="T325" s="339" t="s">
        <v>789</v>
      </c>
      <c r="U325" s="48"/>
      <c r="V325" s="28">
        <v>10</v>
      </c>
      <c r="W325" s="369">
        <f t="shared" si="16"/>
        <v>1.9830000000000001</v>
      </c>
      <c r="X325" s="369">
        <f t="shared" si="17"/>
        <v>1.099</v>
      </c>
      <c r="Y325" s="369">
        <f t="shared" si="18"/>
        <v>2.0430000000000001</v>
      </c>
      <c r="Z325" s="369">
        <f t="shared" si="19"/>
        <v>1.159</v>
      </c>
    </row>
    <row r="326" spans="1:45">
      <c r="A326" s="71"/>
      <c r="B326" s="52"/>
      <c r="C326" s="150"/>
      <c r="D326" s="150"/>
      <c r="E326" s="104"/>
      <c r="F326" s="104"/>
      <c r="G326" s="104"/>
      <c r="H326" s="104"/>
      <c r="I326" s="104"/>
      <c r="J326" s="104"/>
      <c r="K326" s="104"/>
      <c r="L326" s="104"/>
      <c r="M326" s="104"/>
      <c r="N326" s="104"/>
      <c r="O326" s="104"/>
      <c r="P326" s="104"/>
      <c r="Q326" s="104"/>
      <c r="R326" s="104"/>
      <c r="S326" s="138"/>
      <c r="T326" s="138"/>
      <c r="U326" s="138"/>
      <c r="V326" s="28"/>
      <c r="W326" s="369"/>
      <c r="X326" s="369"/>
      <c r="Y326" s="369"/>
      <c r="Z326" s="369"/>
    </row>
    <row r="327" spans="1:45">
      <c r="A327" s="98" t="s">
        <v>790</v>
      </c>
      <c r="B327" s="108"/>
      <c r="C327" s="108"/>
      <c r="D327" s="108"/>
      <c r="E327" s="223"/>
      <c r="F327" s="223"/>
      <c r="G327" s="223"/>
      <c r="H327" s="223"/>
      <c r="I327" s="223"/>
      <c r="J327" s="223"/>
      <c r="K327" s="223"/>
      <c r="L327" s="223"/>
      <c r="M327" s="223"/>
      <c r="N327" s="223"/>
      <c r="O327" s="223"/>
      <c r="P327" s="223"/>
      <c r="Q327" s="223"/>
      <c r="R327" s="223"/>
      <c r="S327" s="223"/>
      <c r="T327" s="223"/>
      <c r="U327" s="223"/>
      <c r="V327" s="126"/>
      <c r="W327" s="126"/>
      <c r="X327" s="126"/>
      <c r="Y327" s="126"/>
      <c r="Z327" s="126"/>
    </row>
    <row r="328" spans="1:45">
      <c r="A328" s="69" t="s">
        <v>286</v>
      </c>
      <c r="B328" s="69" t="s">
        <v>393</v>
      </c>
      <c r="C328" s="40"/>
      <c r="D328" s="40"/>
      <c r="E328" s="48" t="s">
        <v>791</v>
      </c>
      <c r="F328" s="48" t="s">
        <v>791</v>
      </c>
      <c r="G328" s="48" t="s">
        <v>791</v>
      </c>
      <c r="H328" s="48" t="s">
        <v>791</v>
      </c>
      <c r="I328" s="48" t="s">
        <v>791</v>
      </c>
      <c r="J328" s="48" t="s">
        <v>791</v>
      </c>
      <c r="K328" s="48" t="s">
        <v>791</v>
      </c>
      <c r="L328" s="48" t="s">
        <v>791</v>
      </c>
      <c r="M328" s="48" t="s">
        <v>791</v>
      </c>
      <c r="N328" s="48" t="s">
        <v>791</v>
      </c>
      <c r="O328" s="48" t="s">
        <v>791</v>
      </c>
      <c r="P328" s="48" t="s">
        <v>791</v>
      </c>
      <c r="Q328" s="48" t="s">
        <v>791</v>
      </c>
      <c r="R328" s="48" t="s">
        <v>791</v>
      </c>
      <c r="S328" s="48" t="s">
        <v>791</v>
      </c>
      <c r="T328" s="48" t="s">
        <v>791</v>
      </c>
      <c r="U328" s="48" t="s">
        <v>791</v>
      </c>
      <c r="V328" s="28">
        <v>20</v>
      </c>
      <c r="W328" s="369">
        <f t="shared" si="16"/>
        <v>3.9660000000000002</v>
      </c>
      <c r="X328" s="369">
        <f t="shared" si="17"/>
        <v>2.198</v>
      </c>
      <c r="Y328" s="369">
        <f t="shared" si="18"/>
        <v>4.0860000000000003</v>
      </c>
      <c r="Z328" s="369">
        <f t="shared" si="19"/>
        <v>2.3180000000000001</v>
      </c>
    </row>
    <row r="329" spans="1:45" ht="27.6">
      <c r="A329" s="69" t="s">
        <v>289</v>
      </c>
      <c r="B329" s="69" t="s">
        <v>395</v>
      </c>
      <c r="C329" s="40"/>
      <c r="D329" s="40"/>
      <c r="E329" s="48" t="s">
        <v>792</v>
      </c>
      <c r="F329" s="48" t="s">
        <v>792</v>
      </c>
      <c r="G329" s="48" t="s">
        <v>792</v>
      </c>
      <c r="H329" s="48" t="s">
        <v>792</v>
      </c>
      <c r="I329" s="48" t="s">
        <v>792</v>
      </c>
      <c r="J329" s="48" t="s">
        <v>792</v>
      </c>
      <c r="K329" s="48" t="s">
        <v>792</v>
      </c>
      <c r="L329" s="48" t="s">
        <v>792</v>
      </c>
      <c r="M329" s="48" t="s">
        <v>792</v>
      </c>
      <c r="N329" s="48" t="s">
        <v>792</v>
      </c>
      <c r="O329" s="48" t="s">
        <v>792</v>
      </c>
      <c r="P329" s="48" t="s">
        <v>792</v>
      </c>
      <c r="Q329" s="48" t="s">
        <v>792</v>
      </c>
      <c r="R329" s="48" t="s">
        <v>792</v>
      </c>
      <c r="S329" s="48" t="s">
        <v>792</v>
      </c>
      <c r="T329" s="48" t="s">
        <v>792</v>
      </c>
      <c r="U329" s="48" t="s">
        <v>792</v>
      </c>
      <c r="V329" s="28">
        <v>60</v>
      </c>
      <c r="W329" s="369">
        <f t="shared" si="16"/>
        <v>11.898</v>
      </c>
      <c r="X329" s="369">
        <f t="shared" si="17"/>
        <v>6.5939999999999994</v>
      </c>
      <c r="Y329" s="369">
        <f t="shared" si="18"/>
        <v>12.258000000000001</v>
      </c>
      <c r="Z329" s="369">
        <f t="shared" si="19"/>
        <v>6.9540000000000006</v>
      </c>
    </row>
    <row r="330" spans="1:45" ht="27.6">
      <c r="A330" s="69" t="s">
        <v>397</v>
      </c>
      <c r="B330" s="69" t="s">
        <v>398</v>
      </c>
      <c r="C330" s="40"/>
      <c r="D330" s="40"/>
      <c r="E330" s="48" t="s">
        <v>793</v>
      </c>
      <c r="F330" s="48" t="s">
        <v>793</v>
      </c>
      <c r="G330" s="48" t="s">
        <v>793</v>
      </c>
      <c r="H330" s="48" t="s">
        <v>793</v>
      </c>
      <c r="I330" s="48" t="s">
        <v>793</v>
      </c>
      <c r="J330" s="48" t="s">
        <v>793</v>
      </c>
      <c r="K330" s="48" t="s">
        <v>793</v>
      </c>
      <c r="L330" s="48" t="s">
        <v>793</v>
      </c>
      <c r="M330" s="48" t="s">
        <v>793</v>
      </c>
      <c r="N330" s="48" t="s">
        <v>793</v>
      </c>
      <c r="O330" s="48" t="s">
        <v>793</v>
      </c>
      <c r="P330" s="48" t="s">
        <v>793</v>
      </c>
      <c r="Q330" s="48" t="s">
        <v>793</v>
      </c>
      <c r="R330" s="48" t="s">
        <v>793</v>
      </c>
      <c r="S330" s="48" t="s">
        <v>793</v>
      </c>
      <c r="T330" s="48" t="s">
        <v>793</v>
      </c>
      <c r="U330" s="48" t="s">
        <v>793</v>
      </c>
      <c r="V330" s="28">
        <v>80</v>
      </c>
      <c r="W330" s="369">
        <f t="shared" si="16"/>
        <v>15.864000000000001</v>
      </c>
      <c r="X330" s="369">
        <f t="shared" si="17"/>
        <v>8.7919999999999998</v>
      </c>
      <c r="Y330" s="369">
        <f t="shared" si="18"/>
        <v>16.344000000000001</v>
      </c>
      <c r="Z330" s="369">
        <f t="shared" si="19"/>
        <v>9.2720000000000002</v>
      </c>
    </row>
    <row r="331" spans="1:45">
      <c r="A331" s="69" t="s">
        <v>400</v>
      </c>
      <c r="B331" s="69" t="s">
        <v>401</v>
      </c>
      <c r="C331" s="40"/>
      <c r="D331" s="40"/>
      <c r="E331" s="95" t="s">
        <v>794</v>
      </c>
      <c r="F331" s="95" t="s">
        <v>794</v>
      </c>
      <c r="G331" s="95" t="s">
        <v>794</v>
      </c>
      <c r="H331" s="95" t="s">
        <v>794</v>
      </c>
      <c r="I331" s="95" t="s">
        <v>794</v>
      </c>
      <c r="J331" s="95" t="s">
        <v>794</v>
      </c>
      <c r="K331" s="95" t="s">
        <v>794</v>
      </c>
      <c r="L331" s="95" t="s">
        <v>794</v>
      </c>
      <c r="M331" s="95" t="s">
        <v>794</v>
      </c>
      <c r="N331" s="95" t="s">
        <v>794</v>
      </c>
      <c r="O331" s="95" t="s">
        <v>794</v>
      </c>
      <c r="P331" s="95" t="s">
        <v>794</v>
      </c>
      <c r="Q331" s="95" t="s">
        <v>794</v>
      </c>
      <c r="R331" s="95" t="s">
        <v>794</v>
      </c>
      <c r="S331" s="95" t="s">
        <v>794</v>
      </c>
      <c r="T331" s="95" t="s">
        <v>794</v>
      </c>
      <c r="U331" s="95" t="s">
        <v>794</v>
      </c>
      <c r="V331" s="60">
        <v>10</v>
      </c>
      <c r="W331" s="186">
        <f t="shared" si="16"/>
        <v>1.9830000000000001</v>
      </c>
      <c r="X331" s="186">
        <f t="shared" si="17"/>
        <v>1.099</v>
      </c>
      <c r="Y331" s="186">
        <f t="shared" si="18"/>
        <v>2.0430000000000001</v>
      </c>
      <c r="Z331" s="186">
        <f t="shared" si="19"/>
        <v>1.159</v>
      </c>
    </row>
    <row r="332" spans="1:45">
      <c r="A332" s="69" t="s">
        <v>403</v>
      </c>
      <c r="B332" s="69" t="s">
        <v>404</v>
      </c>
      <c r="C332" s="40"/>
      <c r="D332" s="40"/>
      <c r="E332" s="95" t="s">
        <v>405</v>
      </c>
      <c r="F332" s="95" t="s">
        <v>405</v>
      </c>
      <c r="G332" s="95" t="s">
        <v>405</v>
      </c>
      <c r="H332" s="95" t="s">
        <v>405</v>
      </c>
      <c r="I332" s="95" t="s">
        <v>405</v>
      </c>
      <c r="J332" s="95" t="s">
        <v>405</v>
      </c>
      <c r="K332" s="95" t="s">
        <v>405</v>
      </c>
      <c r="L332" s="95" t="s">
        <v>405</v>
      </c>
      <c r="M332" s="95" t="s">
        <v>405</v>
      </c>
      <c r="N332" s="95" t="s">
        <v>405</v>
      </c>
      <c r="O332" s="95" t="s">
        <v>405</v>
      </c>
      <c r="P332" s="95" t="s">
        <v>405</v>
      </c>
      <c r="Q332" s="95" t="s">
        <v>405</v>
      </c>
      <c r="R332" s="95" t="s">
        <v>405</v>
      </c>
      <c r="S332" s="95" t="s">
        <v>405</v>
      </c>
      <c r="T332" s="95" t="s">
        <v>405</v>
      </c>
      <c r="U332" s="95" t="s">
        <v>405</v>
      </c>
      <c r="V332" s="60">
        <v>10</v>
      </c>
      <c r="W332" s="186">
        <f t="shared" si="16"/>
        <v>1.9830000000000001</v>
      </c>
      <c r="X332" s="186">
        <f t="shared" si="17"/>
        <v>1.099</v>
      </c>
      <c r="Y332" s="186">
        <f t="shared" si="18"/>
        <v>2.0430000000000001</v>
      </c>
      <c r="Z332" s="186">
        <f t="shared" si="19"/>
        <v>1.159</v>
      </c>
    </row>
    <row r="333" spans="1:45">
      <c r="A333" s="132" t="s">
        <v>292</v>
      </c>
      <c r="B333" s="132" t="s">
        <v>293</v>
      </c>
      <c r="C333" s="107"/>
      <c r="D333" s="107"/>
      <c r="E333" s="230" t="s">
        <v>294</v>
      </c>
      <c r="F333" s="230" t="s">
        <v>294</v>
      </c>
      <c r="G333" s="230" t="s">
        <v>294</v>
      </c>
      <c r="H333" s="230" t="s">
        <v>294</v>
      </c>
      <c r="I333" s="230" t="s">
        <v>294</v>
      </c>
      <c r="J333" s="230" t="s">
        <v>294</v>
      </c>
      <c r="K333" s="230" t="s">
        <v>294</v>
      </c>
      <c r="L333" s="230" t="s">
        <v>294</v>
      </c>
      <c r="M333" s="230" t="s">
        <v>294</v>
      </c>
      <c r="N333" s="230" t="s">
        <v>294</v>
      </c>
      <c r="O333" s="230" t="s">
        <v>294</v>
      </c>
      <c r="P333" s="230" t="s">
        <v>294</v>
      </c>
      <c r="Q333" s="230" t="s">
        <v>294</v>
      </c>
      <c r="R333" s="230" t="s">
        <v>294</v>
      </c>
      <c r="S333" s="230" t="s">
        <v>294</v>
      </c>
      <c r="T333" s="230" t="s">
        <v>294</v>
      </c>
      <c r="U333" s="230" t="s">
        <v>294</v>
      </c>
      <c r="V333" s="28">
        <v>158</v>
      </c>
      <c r="W333" s="369">
        <f t="shared" ref="W333:W395" si="20">V333*$W$9</f>
        <v>31.331400000000002</v>
      </c>
      <c r="X333" s="369">
        <f t="shared" ref="X333:X395" si="21">V333*$X$9</f>
        <v>17.3642</v>
      </c>
      <c r="Y333" s="369">
        <f t="shared" ref="Y333:Y395" si="22">V333*$Y$9</f>
        <v>32.279400000000003</v>
      </c>
      <c r="Z333" s="369">
        <f t="shared" ref="Z333:Z395" si="23">V333*$Z$9</f>
        <v>18.312200000000001</v>
      </c>
    </row>
    <row r="334" spans="1:45">
      <c r="A334" s="132" t="s">
        <v>295</v>
      </c>
      <c r="B334" s="132" t="s">
        <v>296</v>
      </c>
      <c r="C334" s="107"/>
      <c r="D334" s="107"/>
      <c r="E334" s="230" t="s">
        <v>795</v>
      </c>
      <c r="F334" s="230" t="s">
        <v>795</v>
      </c>
      <c r="G334" s="230" t="s">
        <v>795</v>
      </c>
      <c r="H334" s="230" t="s">
        <v>795</v>
      </c>
      <c r="I334" s="230" t="s">
        <v>795</v>
      </c>
      <c r="J334" s="230" t="s">
        <v>795</v>
      </c>
      <c r="K334" s="230" t="s">
        <v>795</v>
      </c>
      <c r="L334" s="230" t="s">
        <v>795</v>
      </c>
      <c r="M334" s="230" t="s">
        <v>795</v>
      </c>
      <c r="N334" s="230" t="s">
        <v>795</v>
      </c>
      <c r="O334" s="230" t="s">
        <v>795</v>
      </c>
      <c r="P334" s="230" t="s">
        <v>795</v>
      </c>
      <c r="Q334" s="230" t="s">
        <v>795</v>
      </c>
      <c r="R334" s="230" t="s">
        <v>795</v>
      </c>
      <c r="S334" s="230" t="s">
        <v>795</v>
      </c>
      <c r="T334" s="230" t="s">
        <v>795</v>
      </c>
      <c r="U334" s="230" t="s">
        <v>795</v>
      </c>
      <c r="V334" s="28">
        <v>22</v>
      </c>
      <c r="W334" s="369">
        <f t="shared" si="20"/>
        <v>4.3626000000000005</v>
      </c>
      <c r="X334" s="369">
        <f t="shared" si="21"/>
        <v>2.4177999999999997</v>
      </c>
      <c r="Y334" s="369">
        <f t="shared" si="22"/>
        <v>4.4946000000000002</v>
      </c>
      <c r="Z334" s="369">
        <f t="shared" si="23"/>
        <v>2.5498000000000003</v>
      </c>
    </row>
    <row r="335" spans="1:45" ht="27.6">
      <c r="A335" s="132" t="s">
        <v>299</v>
      </c>
      <c r="B335" s="99" t="s">
        <v>300</v>
      </c>
      <c r="C335" s="107"/>
      <c r="D335" s="107"/>
      <c r="E335" s="48" t="s">
        <v>796</v>
      </c>
      <c r="F335" s="48" t="s">
        <v>796</v>
      </c>
      <c r="G335" s="48" t="s">
        <v>796</v>
      </c>
      <c r="H335" s="48" t="s">
        <v>796</v>
      </c>
      <c r="I335" s="48" t="s">
        <v>796</v>
      </c>
      <c r="J335" s="48" t="s">
        <v>796</v>
      </c>
      <c r="K335" s="48" t="s">
        <v>796</v>
      </c>
      <c r="L335" s="48" t="s">
        <v>796</v>
      </c>
      <c r="M335" s="48" t="s">
        <v>796</v>
      </c>
      <c r="N335" s="48" t="s">
        <v>796</v>
      </c>
      <c r="O335" s="48" t="s">
        <v>796</v>
      </c>
      <c r="P335" s="48" t="s">
        <v>796</v>
      </c>
      <c r="Q335" s="48" t="s">
        <v>796</v>
      </c>
      <c r="R335" s="48" t="s">
        <v>796</v>
      </c>
      <c r="S335" s="48" t="s">
        <v>796</v>
      </c>
      <c r="T335" s="48" t="s">
        <v>796</v>
      </c>
      <c r="U335" s="48" t="s">
        <v>796</v>
      </c>
      <c r="V335" s="28">
        <v>82</v>
      </c>
      <c r="W335" s="369">
        <f t="shared" si="20"/>
        <v>16.2606</v>
      </c>
      <c r="X335" s="369">
        <f t="shared" si="21"/>
        <v>9.0117999999999991</v>
      </c>
      <c r="Y335" s="369">
        <f t="shared" si="22"/>
        <v>16.752600000000001</v>
      </c>
      <c r="Z335" s="369">
        <f t="shared" si="23"/>
        <v>9.5038</v>
      </c>
    </row>
    <row r="336" spans="1:45" s="237" customFormat="1">
      <c r="A336" s="235"/>
      <c r="B336" s="140"/>
      <c r="C336" s="134"/>
      <c r="D336" s="134"/>
      <c r="E336" s="45"/>
      <c r="F336" s="45"/>
      <c r="G336" s="45"/>
      <c r="H336" s="45"/>
      <c r="I336" s="45"/>
      <c r="J336" s="45"/>
      <c r="K336" s="45"/>
      <c r="L336" s="45"/>
      <c r="M336" s="45"/>
      <c r="N336" s="45"/>
      <c r="O336" s="45"/>
      <c r="P336" s="45"/>
      <c r="Q336" s="45"/>
      <c r="R336" s="45"/>
      <c r="S336" s="45"/>
      <c r="T336" s="45"/>
      <c r="U336" s="45"/>
      <c r="V336" s="186"/>
      <c r="W336" s="186"/>
      <c r="X336" s="186"/>
      <c r="Y336" s="186"/>
      <c r="Z336" s="186"/>
      <c r="AA336" s="169"/>
      <c r="AB336" s="169"/>
      <c r="AC336" s="169"/>
      <c r="AD336" s="169"/>
      <c r="AE336" s="169"/>
      <c r="AF336" s="169"/>
      <c r="AG336" s="169"/>
      <c r="AH336" s="169"/>
      <c r="AI336" s="169"/>
      <c r="AJ336" s="169"/>
      <c r="AK336" s="169"/>
      <c r="AL336" s="169"/>
      <c r="AM336" s="169"/>
      <c r="AN336" s="169"/>
      <c r="AO336" s="169"/>
      <c r="AP336" s="169"/>
      <c r="AQ336" s="169"/>
      <c r="AR336" s="169"/>
      <c r="AS336" s="169"/>
    </row>
    <row r="337" spans="1:45" s="237" customFormat="1">
      <c r="A337" s="161" t="s">
        <v>797</v>
      </c>
      <c r="B337" s="161"/>
      <c r="C337" s="161"/>
      <c r="D337" s="161"/>
      <c r="E337" s="32"/>
      <c r="F337" s="32"/>
      <c r="G337" s="32"/>
      <c r="H337" s="32"/>
      <c r="I337" s="32"/>
      <c r="J337" s="32"/>
      <c r="K337" s="32"/>
      <c r="L337" s="32"/>
      <c r="M337" s="32"/>
      <c r="N337" s="32"/>
      <c r="O337" s="32"/>
      <c r="P337" s="32"/>
      <c r="Q337" s="32"/>
      <c r="R337" s="32"/>
      <c r="S337" s="32"/>
      <c r="T337" s="32"/>
      <c r="U337" s="32"/>
      <c r="V337" s="188"/>
      <c r="W337" s="188"/>
      <c r="X337" s="188"/>
      <c r="Y337" s="188"/>
      <c r="Z337" s="188"/>
      <c r="AA337" s="169"/>
      <c r="AB337" s="169"/>
      <c r="AC337" s="169"/>
      <c r="AD337" s="169"/>
      <c r="AE337" s="169"/>
      <c r="AF337" s="169"/>
      <c r="AG337" s="169"/>
      <c r="AH337" s="169"/>
      <c r="AI337" s="169"/>
      <c r="AJ337" s="169"/>
      <c r="AK337" s="169"/>
      <c r="AL337" s="169"/>
      <c r="AM337" s="169"/>
      <c r="AN337" s="169"/>
      <c r="AO337" s="169"/>
      <c r="AP337" s="169"/>
      <c r="AQ337" s="169"/>
      <c r="AR337" s="169"/>
      <c r="AS337" s="169"/>
    </row>
    <row r="338" spans="1:45" s="10" customFormat="1" ht="82.8">
      <c r="A338" s="27" t="s">
        <v>141</v>
      </c>
      <c r="B338" s="27" t="s">
        <v>142</v>
      </c>
      <c r="C338" s="27" t="s">
        <v>143</v>
      </c>
      <c r="D338" s="27" t="s">
        <v>144</v>
      </c>
      <c r="E338" s="190"/>
      <c r="F338" s="190"/>
      <c r="G338" s="190"/>
      <c r="H338" s="190"/>
      <c r="I338" s="190"/>
      <c r="J338" s="190"/>
      <c r="K338" s="190"/>
      <c r="L338" s="190"/>
      <c r="M338" s="190"/>
      <c r="N338" s="190"/>
      <c r="O338" s="190"/>
      <c r="P338" s="190"/>
      <c r="Q338" s="190"/>
      <c r="R338" s="190"/>
      <c r="S338" s="190"/>
      <c r="T338" s="190"/>
      <c r="U338" s="190"/>
      <c r="V338" s="157" t="s">
        <v>145</v>
      </c>
      <c r="W338" s="374"/>
      <c r="X338" s="374"/>
      <c r="Y338" s="374"/>
      <c r="Z338" s="374"/>
      <c r="AA338" s="9"/>
      <c r="AB338" s="9"/>
      <c r="AC338" s="9"/>
      <c r="AD338" s="9"/>
      <c r="AE338" s="9"/>
      <c r="AF338" s="9"/>
      <c r="AG338" s="9"/>
      <c r="AH338" s="9"/>
      <c r="AI338" s="9"/>
      <c r="AJ338" s="9"/>
      <c r="AK338" s="9"/>
      <c r="AL338" s="9"/>
      <c r="AM338" s="9"/>
      <c r="AN338" s="9"/>
      <c r="AO338" s="9"/>
      <c r="AP338" s="9"/>
      <c r="AQ338" s="9"/>
      <c r="AR338" s="9"/>
      <c r="AS338" s="9"/>
    </row>
    <row r="339" spans="1:45">
      <c r="A339" s="235"/>
      <c r="B339" s="140"/>
      <c r="C339" s="134"/>
      <c r="D339" s="134"/>
      <c r="E339" s="45"/>
      <c r="F339" s="45"/>
      <c r="G339" s="45"/>
      <c r="H339" s="45"/>
      <c r="I339" s="45"/>
      <c r="J339" s="45"/>
      <c r="K339" s="45"/>
      <c r="L339" s="45"/>
      <c r="M339" s="45"/>
      <c r="N339" s="45"/>
      <c r="O339" s="45"/>
      <c r="P339" s="45"/>
      <c r="Q339" s="45"/>
      <c r="R339" s="45"/>
      <c r="S339" s="45"/>
      <c r="T339" s="45"/>
      <c r="U339" s="45"/>
      <c r="V339" s="186"/>
      <c r="W339" s="186"/>
      <c r="X339" s="186"/>
      <c r="Y339" s="186"/>
      <c r="Z339" s="186"/>
    </row>
    <row r="340" spans="1:45" ht="188.25" customHeight="1">
      <c r="A340" s="71" t="s">
        <v>2020</v>
      </c>
      <c r="B340" s="52" t="s">
        <v>798</v>
      </c>
      <c r="C340" s="150"/>
      <c r="D340" s="150"/>
      <c r="E340" s="104"/>
      <c r="F340" s="104"/>
      <c r="G340" s="104"/>
      <c r="H340" s="104"/>
      <c r="I340" s="104"/>
      <c r="J340" s="104"/>
      <c r="K340" s="104"/>
      <c r="L340" s="104"/>
      <c r="M340" s="104"/>
      <c r="N340" s="104"/>
      <c r="O340" s="104"/>
      <c r="P340" s="104"/>
      <c r="Q340" s="104"/>
      <c r="R340" s="104"/>
      <c r="S340" s="104"/>
      <c r="T340" s="104"/>
      <c r="U340" s="104"/>
      <c r="V340" s="23">
        <v>689</v>
      </c>
      <c r="W340" s="368">
        <f t="shared" si="20"/>
        <v>136.62870000000001</v>
      </c>
      <c r="X340" s="368">
        <f t="shared" si="21"/>
        <v>75.721099999999993</v>
      </c>
      <c r="Y340" s="368">
        <f t="shared" si="22"/>
        <v>140.7627</v>
      </c>
      <c r="Z340" s="368">
        <f t="shared" si="23"/>
        <v>79.855100000000007</v>
      </c>
      <c r="AA340" s="171"/>
      <c r="AB340" s="171"/>
      <c r="AC340" s="171"/>
      <c r="AD340" s="171"/>
      <c r="AE340" s="171"/>
      <c r="AF340" s="171"/>
      <c r="AG340" s="171"/>
      <c r="AH340" s="171"/>
      <c r="AI340" s="171"/>
      <c r="AJ340" s="171"/>
      <c r="AK340" s="171"/>
      <c r="AL340" s="171"/>
      <c r="AM340" s="171"/>
      <c r="AN340" s="171"/>
      <c r="AO340" s="171"/>
      <c r="AP340" s="171"/>
      <c r="AQ340" s="171"/>
      <c r="AR340" s="171"/>
      <c r="AS340" s="171"/>
    </row>
    <row r="341" spans="1:45">
      <c r="A341" s="71"/>
      <c r="B341" s="52"/>
      <c r="C341" s="150"/>
      <c r="D341" s="150"/>
      <c r="E341" s="104"/>
      <c r="F341" s="104"/>
      <c r="G341" s="104"/>
      <c r="H341" s="104"/>
      <c r="I341" s="104"/>
      <c r="J341" s="104"/>
      <c r="K341" s="104"/>
      <c r="L341" s="104"/>
      <c r="M341" s="104"/>
      <c r="N341" s="104"/>
      <c r="O341" s="104"/>
      <c r="P341" s="104"/>
      <c r="Q341" s="104"/>
      <c r="R341" s="104"/>
      <c r="S341" s="104"/>
      <c r="T341" s="104"/>
      <c r="U341" s="104"/>
      <c r="V341" s="23"/>
      <c r="W341" s="368"/>
      <c r="X341" s="368"/>
      <c r="Y341" s="368"/>
      <c r="Z341" s="368"/>
      <c r="AA341" s="171"/>
      <c r="AB341" s="171"/>
      <c r="AC341" s="171"/>
      <c r="AD341" s="171"/>
      <c r="AE341" s="171"/>
      <c r="AF341" s="171"/>
      <c r="AG341" s="171"/>
      <c r="AH341" s="171"/>
      <c r="AI341" s="171"/>
      <c r="AJ341" s="171"/>
      <c r="AK341" s="171"/>
      <c r="AL341" s="171"/>
      <c r="AM341" s="171"/>
      <c r="AN341" s="171"/>
      <c r="AO341" s="171"/>
      <c r="AP341" s="171"/>
      <c r="AQ341" s="171"/>
      <c r="AR341" s="171"/>
      <c r="AS341" s="171"/>
    </row>
    <row r="342" spans="1:45" ht="184.5" customHeight="1">
      <c r="A342" s="71" t="s">
        <v>2019</v>
      </c>
      <c r="B342" s="52" t="s">
        <v>799</v>
      </c>
      <c r="C342" s="150"/>
      <c r="D342" s="150"/>
      <c r="E342" s="104"/>
      <c r="F342" s="104"/>
      <c r="G342" s="104"/>
      <c r="H342" s="104"/>
      <c r="I342" s="104"/>
      <c r="J342" s="104"/>
      <c r="K342" s="104"/>
      <c r="L342" s="104"/>
      <c r="M342" s="104"/>
      <c r="N342" s="104"/>
      <c r="O342" s="104"/>
      <c r="P342" s="104"/>
      <c r="Q342" s="104"/>
      <c r="R342" s="104"/>
      <c r="S342" s="104"/>
      <c r="T342" s="104"/>
      <c r="U342" s="104"/>
      <c r="V342" s="23">
        <v>749</v>
      </c>
      <c r="W342" s="368">
        <f t="shared" si="20"/>
        <v>148.52670000000001</v>
      </c>
      <c r="X342" s="368">
        <f t="shared" si="21"/>
        <v>82.315100000000001</v>
      </c>
      <c r="Y342" s="368">
        <f t="shared" si="22"/>
        <v>153.02070000000001</v>
      </c>
      <c r="Z342" s="368">
        <f t="shared" si="23"/>
        <v>86.809100000000001</v>
      </c>
      <c r="AA342" s="171"/>
      <c r="AB342" s="171"/>
      <c r="AC342" s="171"/>
      <c r="AD342" s="171"/>
      <c r="AE342" s="171"/>
      <c r="AF342" s="171"/>
      <c r="AG342" s="171"/>
      <c r="AH342" s="171"/>
      <c r="AI342" s="171"/>
      <c r="AJ342" s="171"/>
      <c r="AK342" s="171"/>
      <c r="AL342" s="171"/>
      <c r="AM342" s="171"/>
      <c r="AN342" s="171"/>
      <c r="AO342" s="171"/>
      <c r="AP342" s="171"/>
      <c r="AQ342" s="171"/>
      <c r="AR342" s="171"/>
      <c r="AS342" s="171"/>
    </row>
    <row r="343" spans="1:45" ht="15.6" customHeight="1">
      <c r="A343" s="71"/>
      <c r="B343" s="52"/>
      <c r="C343" s="150"/>
      <c r="D343" s="150"/>
      <c r="E343" s="104"/>
      <c r="F343" s="104"/>
      <c r="G343" s="104"/>
      <c r="H343" s="104"/>
      <c r="I343" s="104"/>
      <c r="J343" s="104"/>
      <c r="K343" s="104"/>
      <c r="L343" s="104"/>
      <c r="M343" s="104"/>
      <c r="N343" s="104"/>
      <c r="O343" s="104"/>
      <c r="P343" s="104"/>
      <c r="Q343" s="104"/>
      <c r="R343" s="104"/>
      <c r="S343" s="104"/>
      <c r="T343" s="104"/>
      <c r="U343" s="104"/>
      <c r="V343" s="186"/>
      <c r="W343" s="186"/>
      <c r="X343" s="186"/>
      <c r="Y343" s="186"/>
      <c r="Z343" s="186"/>
    </row>
    <row r="344" spans="1:45" ht="168" customHeight="1">
      <c r="A344" s="71" t="s">
        <v>2018</v>
      </c>
      <c r="B344" s="52" t="s">
        <v>800</v>
      </c>
      <c r="C344" s="150"/>
      <c r="D344" s="150"/>
      <c r="E344" s="104"/>
      <c r="F344" s="104"/>
      <c r="G344" s="104"/>
      <c r="H344" s="104"/>
      <c r="I344" s="104"/>
      <c r="J344" s="104"/>
      <c r="K344" s="104"/>
      <c r="L344" s="104"/>
      <c r="M344" s="104"/>
      <c r="N344" s="104"/>
      <c r="O344" s="104"/>
      <c r="P344" s="104"/>
      <c r="Q344" s="104"/>
      <c r="R344" s="104"/>
      <c r="S344" s="104"/>
      <c r="T344" s="104"/>
      <c r="U344" s="104"/>
      <c r="V344" s="23">
        <v>639</v>
      </c>
      <c r="W344" s="368">
        <f t="shared" si="20"/>
        <v>126.7137</v>
      </c>
      <c r="X344" s="368">
        <f t="shared" si="21"/>
        <v>70.226100000000002</v>
      </c>
      <c r="Y344" s="368">
        <f t="shared" si="22"/>
        <v>130.54769999999999</v>
      </c>
      <c r="Z344" s="368">
        <f t="shared" si="23"/>
        <v>74.060100000000006</v>
      </c>
    </row>
    <row r="345" spans="1:45">
      <c r="A345" s="71"/>
      <c r="B345" s="52"/>
      <c r="C345" s="150"/>
      <c r="D345" s="150"/>
      <c r="E345" s="104"/>
      <c r="F345" s="104"/>
      <c r="G345" s="104"/>
      <c r="H345" s="104"/>
      <c r="I345" s="104"/>
      <c r="J345" s="104"/>
      <c r="K345" s="104"/>
      <c r="L345" s="104"/>
      <c r="M345" s="104"/>
      <c r="N345" s="104"/>
      <c r="O345" s="104"/>
      <c r="P345" s="104"/>
      <c r="Q345" s="104"/>
      <c r="R345" s="104"/>
      <c r="S345" s="104"/>
      <c r="T345" s="104"/>
      <c r="U345" s="104"/>
      <c r="V345" s="23"/>
      <c r="W345" s="368"/>
      <c r="X345" s="368"/>
      <c r="Y345" s="368"/>
      <c r="Z345" s="368"/>
    </row>
    <row r="346" spans="1:45" ht="173.25" customHeight="1">
      <c r="A346" s="71" t="s">
        <v>1996</v>
      </c>
      <c r="B346" s="52" t="s">
        <v>801</v>
      </c>
      <c r="C346" s="150"/>
      <c r="D346" s="150"/>
      <c r="E346" s="104"/>
      <c r="F346" s="104"/>
      <c r="G346" s="104"/>
      <c r="H346" s="104"/>
      <c r="I346" s="104"/>
      <c r="J346" s="104"/>
      <c r="K346" s="104"/>
      <c r="L346" s="104"/>
      <c r="M346" s="104"/>
      <c r="N346" s="104"/>
      <c r="O346" s="104"/>
      <c r="P346" s="104"/>
      <c r="Q346" s="104"/>
      <c r="R346" s="104"/>
      <c r="S346" s="104"/>
      <c r="T346" s="104"/>
      <c r="U346" s="104"/>
      <c r="V346" s="23">
        <v>699</v>
      </c>
      <c r="W346" s="368">
        <f t="shared" si="20"/>
        <v>138.61170000000001</v>
      </c>
      <c r="X346" s="368">
        <f t="shared" si="21"/>
        <v>76.820099999999996</v>
      </c>
      <c r="Y346" s="368">
        <f t="shared" si="22"/>
        <v>142.8057</v>
      </c>
      <c r="Z346" s="368">
        <f t="shared" si="23"/>
        <v>81.014099999999999</v>
      </c>
      <c r="AA346" s="171"/>
      <c r="AB346" s="171"/>
      <c r="AC346" s="171"/>
      <c r="AD346" s="171"/>
      <c r="AE346" s="171"/>
      <c r="AF346" s="171"/>
      <c r="AG346" s="171"/>
      <c r="AH346" s="171"/>
      <c r="AI346" s="171"/>
      <c r="AJ346" s="171"/>
      <c r="AK346" s="171"/>
      <c r="AL346" s="171"/>
      <c r="AM346" s="171"/>
      <c r="AN346" s="171"/>
      <c r="AO346" s="171"/>
      <c r="AP346" s="171"/>
      <c r="AQ346" s="171"/>
      <c r="AR346" s="171"/>
      <c r="AS346" s="171"/>
    </row>
    <row r="347" spans="1:45">
      <c r="A347" s="69"/>
      <c r="B347" s="52"/>
      <c r="C347" s="150"/>
      <c r="D347" s="150"/>
      <c r="E347" s="104"/>
      <c r="F347" s="104"/>
      <c r="G347" s="104"/>
      <c r="H347" s="104"/>
      <c r="I347" s="104"/>
      <c r="J347" s="104"/>
      <c r="K347" s="104"/>
      <c r="L347" s="104"/>
      <c r="M347" s="104"/>
      <c r="N347" s="104"/>
      <c r="O347" s="104"/>
      <c r="P347" s="104"/>
      <c r="Q347" s="104"/>
      <c r="R347" s="104"/>
      <c r="S347" s="104"/>
      <c r="T347" s="104"/>
      <c r="U347" s="104"/>
      <c r="V347" s="186"/>
      <c r="W347" s="186"/>
      <c r="X347" s="186"/>
      <c r="Y347" s="186"/>
      <c r="Z347" s="186"/>
    </row>
    <row r="348" spans="1:45" s="10" customFormat="1" ht="27.6">
      <c r="A348" s="141" t="s">
        <v>802</v>
      </c>
      <c r="B348" s="27" t="s">
        <v>305</v>
      </c>
      <c r="C348" s="27" t="s">
        <v>143</v>
      </c>
      <c r="D348" s="27" t="s">
        <v>144</v>
      </c>
      <c r="E348" s="27" t="s">
        <v>803</v>
      </c>
      <c r="F348" s="27" t="s">
        <v>804</v>
      </c>
      <c r="G348" s="27" t="s">
        <v>805</v>
      </c>
      <c r="H348" s="27" t="s">
        <v>806</v>
      </c>
      <c r="I348" s="27"/>
      <c r="J348" s="27"/>
      <c r="K348" s="27"/>
      <c r="L348" s="27"/>
      <c r="M348" s="27"/>
      <c r="N348" s="27"/>
      <c r="O348" s="27"/>
      <c r="P348" s="27"/>
      <c r="Q348" s="27"/>
      <c r="R348" s="27"/>
      <c r="S348" s="27"/>
      <c r="T348" s="27"/>
      <c r="U348" s="27"/>
      <c r="V348" s="13"/>
      <c r="W348" s="188"/>
      <c r="X348" s="188"/>
      <c r="Y348" s="188"/>
      <c r="Z348" s="188"/>
      <c r="AA348" s="9"/>
      <c r="AB348" s="9"/>
      <c r="AC348" s="9"/>
      <c r="AD348" s="9"/>
      <c r="AE348" s="9"/>
      <c r="AF348" s="9"/>
      <c r="AG348" s="9"/>
      <c r="AH348" s="9"/>
      <c r="AI348" s="9"/>
      <c r="AJ348" s="9"/>
      <c r="AK348" s="9"/>
      <c r="AL348" s="9"/>
      <c r="AM348" s="9"/>
      <c r="AN348" s="9"/>
      <c r="AO348" s="9"/>
      <c r="AP348" s="9"/>
      <c r="AQ348" s="9"/>
      <c r="AR348" s="9"/>
      <c r="AS348" s="9"/>
    </row>
    <row r="349" spans="1:45">
      <c r="A349" s="98" t="s">
        <v>162</v>
      </c>
      <c r="B349" s="103"/>
      <c r="C349" s="103"/>
      <c r="D349" s="103"/>
      <c r="E349" s="226"/>
      <c r="F349" s="226"/>
      <c r="G349" s="226"/>
      <c r="H349" s="226"/>
      <c r="I349" s="226"/>
      <c r="J349" s="226"/>
      <c r="K349" s="226"/>
      <c r="L349" s="226"/>
      <c r="M349" s="226"/>
      <c r="N349" s="226"/>
      <c r="O349" s="226"/>
      <c r="P349" s="226"/>
      <c r="Q349" s="226"/>
      <c r="R349" s="226"/>
      <c r="S349" s="226"/>
      <c r="T349" s="226"/>
      <c r="U349" s="226"/>
      <c r="V349" s="112"/>
      <c r="W349" s="126"/>
      <c r="X349" s="126"/>
      <c r="Y349" s="126"/>
      <c r="Z349" s="126"/>
    </row>
    <row r="350" spans="1:45" s="177" customFormat="1" ht="27.6">
      <c r="A350" s="69" t="s">
        <v>807</v>
      </c>
      <c r="B350" s="69" t="s">
        <v>808</v>
      </c>
      <c r="C350" s="40" t="s">
        <v>312</v>
      </c>
      <c r="D350" s="40" t="s">
        <v>312</v>
      </c>
      <c r="E350" s="48" t="s">
        <v>809</v>
      </c>
      <c r="F350" s="230"/>
      <c r="G350" s="48" t="s">
        <v>810</v>
      </c>
      <c r="H350" s="230"/>
      <c r="I350" s="230"/>
      <c r="J350" s="48"/>
      <c r="K350" s="48"/>
      <c r="L350" s="48"/>
      <c r="M350" s="48"/>
      <c r="N350" s="48"/>
      <c r="O350" s="48"/>
      <c r="P350" s="48"/>
      <c r="Q350" s="48"/>
      <c r="R350" s="48"/>
      <c r="S350" s="30"/>
      <c r="T350" s="30"/>
      <c r="U350" s="30"/>
      <c r="V350" s="23">
        <v>122</v>
      </c>
      <c r="W350" s="368">
        <f t="shared" si="20"/>
        <v>24.192599999999999</v>
      </c>
      <c r="X350" s="368">
        <f t="shared" si="21"/>
        <v>13.4078</v>
      </c>
      <c r="Y350" s="368">
        <f t="shared" si="22"/>
        <v>24.924600000000002</v>
      </c>
      <c r="Z350" s="368">
        <f t="shared" si="23"/>
        <v>14.139800000000001</v>
      </c>
    </row>
    <row r="351" spans="1:45" s="177" customFormat="1" ht="27.6">
      <c r="A351" s="69" t="s">
        <v>811</v>
      </c>
      <c r="B351" s="69" t="s">
        <v>812</v>
      </c>
      <c r="C351" s="40" t="s">
        <v>312</v>
      </c>
      <c r="D351" s="40" t="s">
        <v>312</v>
      </c>
      <c r="E351" s="48" t="s">
        <v>813</v>
      </c>
      <c r="F351" s="230"/>
      <c r="G351" s="48" t="s">
        <v>814</v>
      </c>
      <c r="H351" s="230"/>
      <c r="I351" s="230"/>
      <c r="J351" s="48"/>
      <c r="K351" s="48"/>
      <c r="L351" s="48"/>
      <c r="M351" s="48"/>
      <c r="N351" s="48"/>
      <c r="O351" s="48"/>
      <c r="P351" s="48"/>
      <c r="Q351" s="48"/>
      <c r="R351" s="48"/>
      <c r="S351" s="30"/>
      <c r="T351" s="30"/>
      <c r="U351" s="30"/>
      <c r="V351" s="23">
        <v>249</v>
      </c>
      <c r="W351" s="368">
        <f t="shared" si="20"/>
        <v>49.3767</v>
      </c>
      <c r="X351" s="368">
        <f t="shared" si="21"/>
        <v>27.365099999999998</v>
      </c>
      <c r="Y351" s="368">
        <f t="shared" si="22"/>
        <v>50.870699999999999</v>
      </c>
      <c r="Z351" s="368">
        <f t="shared" si="23"/>
        <v>28.859100000000002</v>
      </c>
    </row>
    <row r="352" spans="1:45" s="177" customFormat="1">
      <c r="A352" s="69" t="s">
        <v>815</v>
      </c>
      <c r="B352" s="69" t="s">
        <v>816</v>
      </c>
      <c r="C352" s="40" t="s">
        <v>312</v>
      </c>
      <c r="D352" s="40" t="s">
        <v>312</v>
      </c>
      <c r="E352" s="48"/>
      <c r="F352" s="48"/>
      <c r="G352" s="48" t="s">
        <v>817</v>
      </c>
      <c r="H352" s="230"/>
      <c r="I352" s="230"/>
      <c r="J352" s="48"/>
      <c r="K352" s="48"/>
      <c r="L352" s="48"/>
      <c r="M352" s="48"/>
      <c r="N352" s="48"/>
      <c r="O352" s="48"/>
      <c r="P352" s="48"/>
      <c r="Q352" s="48"/>
      <c r="R352" s="48"/>
      <c r="S352" s="30"/>
      <c r="T352" s="30"/>
      <c r="U352" s="30"/>
      <c r="V352" s="23">
        <v>362</v>
      </c>
      <c r="W352" s="368">
        <f t="shared" si="20"/>
        <v>71.784599999999998</v>
      </c>
      <c r="X352" s="368">
        <f t="shared" si="21"/>
        <v>39.783799999999999</v>
      </c>
      <c r="Y352" s="368">
        <f t="shared" si="22"/>
        <v>73.956600000000009</v>
      </c>
      <c r="Z352" s="368">
        <f t="shared" si="23"/>
        <v>41.955800000000004</v>
      </c>
    </row>
    <row r="353" spans="1:45" s="177" customFormat="1" ht="28.8">
      <c r="A353" s="339" t="s">
        <v>1997</v>
      </c>
      <c r="B353" s="343" t="s">
        <v>1982</v>
      </c>
      <c r="C353" s="40"/>
      <c r="D353" s="40" t="s">
        <v>1633</v>
      </c>
      <c r="E353" s="48"/>
      <c r="F353" s="339" t="s">
        <v>1980</v>
      </c>
      <c r="G353" s="48"/>
      <c r="H353" s="350" t="s">
        <v>1902</v>
      </c>
      <c r="I353" s="48"/>
      <c r="J353" s="48"/>
      <c r="K353" s="48"/>
      <c r="L353" s="48"/>
      <c r="M353" s="48"/>
      <c r="N353" s="48"/>
      <c r="O353" s="48"/>
      <c r="P353" s="48"/>
      <c r="Q353" s="48"/>
      <c r="R353" s="48"/>
      <c r="S353" s="30"/>
      <c r="T353" s="30"/>
      <c r="U353" s="30"/>
      <c r="V353" s="23">
        <v>55</v>
      </c>
      <c r="W353" s="368">
        <f t="shared" si="20"/>
        <v>10.906499999999999</v>
      </c>
      <c r="X353" s="368">
        <f t="shared" si="21"/>
        <v>6.0445000000000002</v>
      </c>
      <c r="Y353" s="368">
        <f t="shared" si="22"/>
        <v>11.236500000000001</v>
      </c>
      <c r="Z353" s="368">
        <f t="shared" si="23"/>
        <v>6.3745000000000003</v>
      </c>
    </row>
    <row r="354" spans="1:45" s="177" customFormat="1" ht="28.8">
      <c r="A354" s="339" t="s">
        <v>1634</v>
      </c>
      <c r="B354" s="343" t="s">
        <v>1983</v>
      </c>
      <c r="C354" s="40" t="s">
        <v>312</v>
      </c>
      <c r="D354" s="40" t="s">
        <v>1633</v>
      </c>
      <c r="E354" s="48"/>
      <c r="F354" s="339" t="s">
        <v>1981</v>
      </c>
      <c r="G354" s="48"/>
      <c r="H354" s="350" t="s">
        <v>820</v>
      </c>
      <c r="I354" s="48"/>
      <c r="J354" s="48"/>
      <c r="K354" s="48"/>
      <c r="L354" s="48"/>
      <c r="M354" s="48"/>
      <c r="N354" s="48"/>
      <c r="O354" s="48"/>
      <c r="P354" s="48"/>
      <c r="Q354" s="48"/>
      <c r="R354" s="48"/>
      <c r="S354" s="30"/>
      <c r="T354" s="30"/>
      <c r="U354" s="30"/>
      <c r="V354" s="23">
        <v>122</v>
      </c>
      <c r="W354" s="368">
        <f t="shared" si="20"/>
        <v>24.192599999999999</v>
      </c>
      <c r="X354" s="368">
        <f t="shared" si="21"/>
        <v>13.4078</v>
      </c>
      <c r="Y354" s="368">
        <f t="shared" si="22"/>
        <v>24.924600000000002</v>
      </c>
      <c r="Z354" s="368">
        <f t="shared" si="23"/>
        <v>14.139800000000001</v>
      </c>
    </row>
    <row r="355" spans="1:45" s="177" customFormat="1" ht="14.4">
      <c r="A355" s="339" t="s">
        <v>1626</v>
      </c>
      <c r="B355" s="339" t="s">
        <v>1627</v>
      </c>
      <c r="C355" s="40"/>
      <c r="D355" s="40" t="s">
        <v>1625</v>
      </c>
      <c r="E355" s="48"/>
      <c r="F355" s="306" t="s">
        <v>818</v>
      </c>
      <c r="G355" s="48"/>
      <c r="H355" s="48"/>
      <c r="I355" s="48"/>
      <c r="J355" s="48"/>
      <c r="K355" s="48"/>
      <c r="L355" s="48"/>
      <c r="M355" s="48"/>
      <c r="N355" s="48"/>
      <c r="O355" s="48"/>
      <c r="P355" s="48"/>
      <c r="Q355" s="48"/>
      <c r="R355" s="48"/>
      <c r="S355" s="30"/>
      <c r="T355" s="30"/>
      <c r="U355" s="30"/>
      <c r="V355" s="23">
        <v>110</v>
      </c>
      <c r="W355" s="368">
        <f t="shared" si="20"/>
        <v>21.812999999999999</v>
      </c>
      <c r="X355" s="368">
        <f t="shared" si="21"/>
        <v>12.089</v>
      </c>
      <c r="Y355" s="368">
        <f t="shared" si="22"/>
        <v>22.473000000000003</v>
      </c>
      <c r="Z355" s="368">
        <f t="shared" si="23"/>
        <v>12.749000000000001</v>
      </c>
    </row>
    <row r="356" spans="1:45" s="177" customFormat="1" ht="14.4">
      <c r="A356" s="339" t="s">
        <v>1628</v>
      </c>
      <c r="B356" s="339" t="s">
        <v>1629</v>
      </c>
      <c r="C356" s="40"/>
      <c r="D356" s="40" t="s">
        <v>1625</v>
      </c>
      <c r="E356" s="48"/>
      <c r="F356" s="306" t="s">
        <v>819</v>
      </c>
      <c r="G356" s="48"/>
      <c r="H356" s="350" t="s">
        <v>821</v>
      </c>
      <c r="I356" s="48"/>
      <c r="J356" s="48"/>
      <c r="K356" s="48"/>
      <c r="L356" s="48"/>
      <c r="M356" s="48"/>
      <c r="N356" s="48"/>
      <c r="O356" s="48"/>
      <c r="P356" s="48"/>
      <c r="Q356" s="48"/>
      <c r="R356" s="48"/>
      <c r="S356" s="30"/>
      <c r="T356" s="30"/>
      <c r="U356" s="30"/>
      <c r="V356" s="23">
        <v>160</v>
      </c>
      <c r="W356" s="368">
        <f t="shared" si="20"/>
        <v>31.728000000000002</v>
      </c>
      <c r="X356" s="368">
        <f t="shared" si="21"/>
        <v>17.584</v>
      </c>
      <c r="Y356" s="368">
        <f t="shared" si="22"/>
        <v>32.688000000000002</v>
      </c>
      <c r="Z356" s="368">
        <f t="shared" si="23"/>
        <v>18.544</v>
      </c>
    </row>
    <row r="357" spans="1:45" s="177" customFormat="1" ht="14.4">
      <c r="A357" s="339" t="s">
        <v>1631</v>
      </c>
      <c r="B357" s="339" t="s">
        <v>1632</v>
      </c>
      <c r="C357" s="40" t="s">
        <v>312</v>
      </c>
      <c r="D357" s="40" t="s">
        <v>1630</v>
      </c>
      <c r="E357" s="48"/>
      <c r="F357" s="48"/>
      <c r="G357" s="48"/>
      <c r="H357" s="350" t="s">
        <v>822</v>
      </c>
      <c r="I357" s="48"/>
      <c r="J357" s="48"/>
      <c r="K357" s="48"/>
      <c r="L357" s="48"/>
      <c r="M357" s="48"/>
      <c r="N357" s="48"/>
      <c r="O357" s="48"/>
      <c r="P357" s="48"/>
      <c r="Q357" s="48"/>
      <c r="R357" s="48"/>
      <c r="S357" s="30"/>
      <c r="T357" s="30"/>
      <c r="U357" s="30"/>
      <c r="V357" s="23">
        <v>249</v>
      </c>
      <c r="W357" s="368">
        <f t="shared" si="20"/>
        <v>49.3767</v>
      </c>
      <c r="X357" s="368">
        <f t="shared" si="21"/>
        <v>27.365099999999998</v>
      </c>
      <c r="Y357" s="368">
        <f t="shared" si="22"/>
        <v>50.870699999999999</v>
      </c>
      <c r="Z357" s="368">
        <f t="shared" si="23"/>
        <v>28.859100000000002</v>
      </c>
    </row>
    <row r="358" spans="1:45" s="177" customFormat="1">
      <c r="B358" s="140"/>
      <c r="C358" s="134"/>
      <c r="D358" s="134"/>
      <c r="E358" s="45"/>
      <c r="F358" s="45"/>
      <c r="G358" s="45"/>
      <c r="H358" s="45"/>
      <c r="I358" s="45"/>
      <c r="J358" s="45"/>
      <c r="K358" s="45"/>
      <c r="L358" s="45"/>
      <c r="M358" s="45"/>
      <c r="N358" s="45"/>
      <c r="O358" s="45"/>
      <c r="P358" s="45"/>
      <c r="Q358" s="45"/>
      <c r="R358" s="45"/>
      <c r="S358" s="45"/>
      <c r="T358" s="45"/>
      <c r="U358" s="45"/>
      <c r="V358" s="28"/>
      <c r="W358" s="369"/>
      <c r="X358" s="369"/>
      <c r="Y358" s="369"/>
      <c r="Z358" s="369"/>
      <c r="AA358" s="172"/>
      <c r="AB358" s="172"/>
      <c r="AC358" s="172"/>
      <c r="AD358" s="172"/>
      <c r="AE358" s="172"/>
      <c r="AF358" s="172"/>
      <c r="AG358" s="172"/>
      <c r="AH358" s="172"/>
      <c r="AI358" s="172"/>
      <c r="AJ358" s="172"/>
      <c r="AK358" s="172"/>
      <c r="AL358" s="172"/>
      <c r="AM358" s="172"/>
      <c r="AN358" s="172"/>
      <c r="AO358" s="172"/>
      <c r="AP358" s="172"/>
      <c r="AQ358" s="172"/>
      <c r="AR358" s="172"/>
      <c r="AS358" s="172"/>
    </row>
    <row r="359" spans="1:45" s="177" customFormat="1">
      <c r="A359" s="98" t="s">
        <v>1998</v>
      </c>
      <c r="B359" s="103"/>
      <c r="C359" s="103"/>
      <c r="D359" s="103"/>
      <c r="E359" s="226" t="s">
        <v>803</v>
      </c>
      <c r="F359" s="226" t="s">
        <v>804</v>
      </c>
      <c r="G359" s="226" t="s">
        <v>805</v>
      </c>
      <c r="H359" s="226" t="s">
        <v>806</v>
      </c>
      <c r="I359" s="226"/>
      <c r="J359" s="226"/>
      <c r="K359" s="226"/>
      <c r="L359" s="226"/>
      <c r="M359" s="226"/>
      <c r="N359" s="226"/>
      <c r="O359" s="226"/>
      <c r="P359" s="226"/>
      <c r="Q359" s="226"/>
      <c r="R359" s="226"/>
      <c r="S359" s="226"/>
      <c r="T359" s="226"/>
      <c r="U359" s="226"/>
      <c r="V359" s="112"/>
      <c r="W359" s="126"/>
      <c r="X359" s="126"/>
      <c r="Y359" s="126"/>
      <c r="Z359" s="126"/>
      <c r="AA359" s="172"/>
      <c r="AB359" s="172"/>
      <c r="AC359" s="172"/>
      <c r="AD359" s="172"/>
      <c r="AE359" s="172"/>
      <c r="AF359" s="172"/>
      <c r="AG359" s="172"/>
      <c r="AH359" s="172"/>
      <c r="AI359" s="172"/>
      <c r="AJ359" s="172"/>
      <c r="AK359" s="172"/>
      <c r="AL359" s="172"/>
      <c r="AM359" s="172"/>
      <c r="AN359" s="172"/>
      <c r="AO359" s="172"/>
      <c r="AP359" s="172"/>
      <c r="AQ359" s="172"/>
      <c r="AR359" s="172"/>
      <c r="AS359" s="172"/>
    </row>
    <row r="360" spans="1:45" s="176" customFormat="1">
      <c r="A360" s="69" t="s">
        <v>823</v>
      </c>
      <c r="B360" s="69" t="s">
        <v>824</v>
      </c>
      <c r="C360" s="40"/>
      <c r="D360" s="40"/>
      <c r="E360" s="48" t="s">
        <v>825</v>
      </c>
      <c r="F360" s="230"/>
      <c r="G360" s="48"/>
      <c r="H360" s="48"/>
      <c r="I360" s="48"/>
      <c r="J360" s="48"/>
      <c r="K360" s="48"/>
      <c r="L360" s="48"/>
      <c r="M360" s="48"/>
      <c r="N360" s="48"/>
      <c r="O360" s="48"/>
      <c r="P360" s="48"/>
      <c r="Q360" s="48"/>
      <c r="R360" s="48"/>
      <c r="S360" s="30"/>
      <c r="T360" s="30"/>
      <c r="U360" s="30"/>
      <c r="V360" s="23">
        <v>0</v>
      </c>
      <c r="W360" s="368">
        <f t="shared" si="20"/>
        <v>0</v>
      </c>
      <c r="X360" s="368">
        <f t="shared" si="21"/>
        <v>0</v>
      </c>
      <c r="Y360" s="368">
        <f t="shared" si="22"/>
        <v>0</v>
      </c>
      <c r="Z360" s="368">
        <f t="shared" si="23"/>
        <v>0</v>
      </c>
      <c r="AA360" s="172"/>
      <c r="AB360" s="172"/>
      <c r="AC360" s="172"/>
      <c r="AD360" s="172"/>
      <c r="AE360" s="172"/>
      <c r="AF360" s="172"/>
      <c r="AG360" s="172"/>
      <c r="AH360" s="172"/>
      <c r="AI360" s="172"/>
      <c r="AJ360" s="172"/>
      <c r="AK360" s="172"/>
      <c r="AL360" s="172"/>
      <c r="AM360" s="172"/>
      <c r="AN360" s="172"/>
      <c r="AO360" s="172"/>
      <c r="AP360" s="172"/>
      <c r="AQ360" s="172"/>
      <c r="AR360" s="172"/>
      <c r="AS360" s="172"/>
    </row>
    <row r="361" spans="1:45" s="176" customFormat="1">
      <c r="A361" s="69" t="s">
        <v>826</v>
      </c>
      <c r="B361" s="69" t="s">
        <v>827</v>
      </c>
      <c r="C361" s="40"/>
      <c r="D361" s="40"/>
      <c r="E361" s="48" t="s">
        <v>828</v>
      </c>
      <c r="F361" s="230"/>
      <c r="G361" s="48"/>
      <c r="H361" s="48"/>
      <c r="I361" s="48"/>
      <c r="J361" s="48"/>
      <c r="K361" s="48"/>
      <c r="L361" s="48"/>
      <c r="M361" s="48"/>
      <c r="N361" s="48"/>
      <c r="O361" s="48"/>
      <c r="P361" s="48"/>
      <c r="Q361" s="48"/>
      <c r="R361" s="48"/>
      <c r="S361" s="30"/>
      <c r="T361" s="30"/>
      <c r="U361" s="30"/>
      <c r="V361" s="23">
        <v>46</v>
      </c>
      <c r="W361" s="368">
        <f t="shared" si="20"/>
        <v>9.1218000000000004</v>
      </c>
      <c r="X361" s="368">
        <f t="shared" si="21"/>
        <v>5.0553999999999997</v>
      </c>
      <c r="Y361" s="368">
        <f t="shared" si="22"/>
        <v>9.3978000000000002</v>
      </c>
      <c r="Z361" s="368">
        <f t="shared" si="23"/>
        <v>5.3314000000000004</v>
      </c>
      <c r="AA361" s="172"/>
      <c r="AB361" s="172"/>
      <c r="AC361" s="172"/>
      <c r="AD361" s="172"/>
      <c r="AE361" s="172"/>
      <c r="AF361" s="172"/>
      <c r="AG361" s="172"/>
      <c r="AH361" s="172"/>
      <c r="AI361" s="172"/>
      <c r="AJ361" s="172"/>
      <c r="AK361" s="172"/>
      <c r="AL361" s="172"/>
      <c r="AM361" s="172"/>
      <c r="AN361" s="172"/>
      <c r="AO361" s="172"/>
      <c r="AP361" s="172"/>
      <c r="AQ361" s="172"/>
      <c r="AR361" s="172"/>
      <c r="AS361" s="172"/>
    </row>
    <row r="362" spans="1:45" s="176" customFormat="1">
      <c r="A362" s="69" t="s">
        <v>829</v>
      </c>
      <c r="B362" s="69" t="s">
        <v>830</v>
      </c>
      <c r="C362" s="40"/>
      <c r="D362" s="40"/>
      <c r="E362" s="48" t="s">
        <v>831</v>
      </c>
      <c r="F362" s="230"/>
      <c r="G362" s="48"/>
      <c r="H362" s="48"/>
      <c r="I362" s="48"/>
      <c r="J362" s="48"/>
      <c r="K362" s="48"/>
      <c r="L362" s="48"/>
      <c r="M362" s="48"/>
      <c r="N362" s="48"/>
      <c r="O362" s="48"/>
      <c r="P362" s="48"/>
      <c r="Q362" s="48"/>
      <c r="R362" s="48"/>
      <c r="S362" s="30"/>
      <c r="T362" s="30"/>
      <c r="U362" s="30"/>
      <c r="V362" s="23">
        <v>76</v>
      </c>
      <c r="W362" s="368">
        <f t="shared" si="20"/>
        <v>15.0708</v>
      </c>
      <c r="X362" s="368">
        <f t="shared" si="21"/>
        <v>8.3523999999999994</v>
      </c>
      <c r="Y362" s="368">
        <f t="shared" si="22"/>
        <v>15.526800000000001</v>
      </c>
      <c r="Z362" s="368">
        <f t="shared" si="23"/>
        <v>8.8084000000000007</v>
      </c>
      <c r="AA362" s="172"/>
      <c r="AB362" s="172"/>
      <c r="AC362" s="172"/>
      <c r="AD362" s="172"/>
      <c r="AE362" s="172"/>
      <c r="AF362" s="172"/>
      <c r="AG362" s="172"/>
      <c r="AH362" s="172"/>
      <c r="AI362" s="172"/>
      <c r="AJ362" s="172"/>
      <c r="AK362" s="172"/>
      <c r="AL362" s="172"/>
      <c r="AM362" s="172"/>
      <c r="AN362" s="172"/>
      <c r="AO362" s="172"/>
      <c r="AP362" s="172"/>
      <c r="AQ362" s="172"/>
      <c r="AR362" s="172"/>
      <c r="AS362" s="172"/>
    </row>
    <row r="363" spans="1:45" s="176" customFormat="1" ht="27.6">
      <c r="A363" s="69" t="s">
        <v>832</v>
      </c>
      <c r="B363" s="69" t="s">
        <v>833</v>
      </c>
      <c r="C363" s="40"/>
      <c r="D363" s="40"/>
      <c r="E363" s="48" t="s">
        <v>834</v>
      </c>
      <c r="F363" s="230"/>
      <c r="G363" s="48"/>
      <c r="H363" s="48"/>
      <c r="I363" s="48"/>
      <c r="J363" s="48"/>
      <c r="K363" s="48"/>
      <c r="L363" s="48"/>
      <c r="M363" s="48"/>
      <c r="N363" s="48"/>
      <c r="O363" s="48"/>
      <c r="P363" s="48"/>
      <c r="Q363" s="48"/>
      <c r="R363" s="48"/>
      <c r="S363" s="30"/>
      <c r="T363" s="30"/>
      <c r="U363" s="30"/>
      <c r="V363" s="23">
        <v>46</v>
      </c>
      <c r="W363" s="368">
        <f t="shared" si="20"/>
        <v>9.1218000000000004</v>
      </c>
      <c r="X363" s="368">
        <f t="shared" si="21"/>
        <v>5.0553999999999997</v>
      </c>
      <c r="Y363" s="368">
        <f t="shared" si="22"/>
        <v>9.3978000000000002</v>
      </c>
      <c r="Z363" s="368">
        <f t="shared" si="23"/>
        <v>5.3314000000000004</v>
      </c>
      <c r="AA363" s="172"/>
      <c r="AB363" s="172"/>
      <c r="AC363" s="172"/>
      <c r="AD363" s="172"/>
      <c r="AE363" s="172"/>
      <c r="AF363" s="172"/>
      <c r="AG363" s="172"/>
      <c r="AH363" s="172"/>
      <c r="AI363" s="172"/>
      <c r="AJ363" s="172"/>
      <c r="AK363" s="172"/>
      <c r="AL363" s="172"/>
      <c r="AM363" s="172"/>
      <c r="AN363" s="172"/>
      <c r="AO363" s="172"/>
      <c r="AP363" s="172"/>
      <c r="AQ363" s="172"/>
      <c r="AR363" s="172"/>
      <c r="AS363" s="172"/>
    </row>
    <row r="364" spans="1:45" s="176" customFormat="1" ht="27.6">
      <c r="A364" s="69" t="s">
        <v>835</v>
      </c>
      <c r="B364" s="69" t="s">
        <v>836</v>
      </c>
      <c r="C364" s="40"/>
      <c r="D364" s="40"/>
      <c r="E364" s="48" t="s">
        <v>837</v>
      </c>
      <c r="F364" s="230"/>
      <c r="G364" s="48"/>
      <c r="H364" s="48"/>
      <c r="I364" s="48"/>
      <c r="J364" s="48"/>
      <c r="K364" s="48"/>
      <c r="L364" s="48"/>
      <c r="M364" s="48"/>
      <c r="N364" s="48"/>
      <c r="O364" s="48"/>
      <c r="P364" s="48"/>
      <c r="Q364" s="48"/>
      <c r="R364" s="48"/>
      <c r="S364" s="30"/>
      <c r="T364" s="30"/>
      <c r="U364" s="30"/>
      <c r="V364" s="23">
        <v>76</v>
      </c>
      <c r="W364" s="368">
        <f t="shared" si="20"/>
        <v>15.0708</v>
      </c>
      <c r="X364" s="368">
        <f t="shared" si="21"/>
        <v>8.3523999999999994</v>
      </c>
      <c r="Y364" s="368">
        <f t="shared" si="22"/>
        <v>15.526800000000001</v>
      </c>
      <c r="Z364" s="368">
        <f t="shared" si="23"/>
        <v>8.8084000000000007</v>
      </c>
      <c r="AA364" s="172"/>
      <c r="AB364" s="172"/>
      <c r="AC364" s="172"/>
      <c r="AD364" s="172"/>
      <c r="AE364" s="172"/>
      <c r="AF364" s="172"/>
      <c r="AG364" s="172"/>
      <c r="AH364" s="172"/>
      <c r="AI364" s="172"/>
      <c r="AJ364" s="172"/>
      <c r="AK364" s="172"/>
      <c r="AL364" s="172"/>
      <c r="AM364" s="172"/>
      <c r="AN364" s="172"/>
      <c r="AO364" s="172"/>
      <c r="AP364" s="172"/>
      <c r="AQ364" s="172"/>
      <c r="AR364" s="172"/>
      <c r="AS364" s="172"/>
    </row>
    <row r="365" spans="1:45" s="177" customFormat="1" ht="31.5" customHeight="1">
      <c r="A365" s="69" t="s">
        <v>1972</v>
      </c>
      <c r="B365" s="339" t="s">
        <v>842</v>
      </c>
      <c r="C365" s="40"/>
      <c r="D365" s="40"/>
      <c r="E365" s="48"/>
      <c r="F365" s="306" t="s">
        <v>843</v>
      </c>
      <c r="G365" s="48"/>
      <c r="H365" s="48"/>
      <c r="I365" s="48"/>
      <c r="J365" s="48"/>
      <c r="K365" s="48"/>
      <c r="L365" s="48"/>
      <c r="M365" s="48"/>
      <c r="N365" s="48"/>
      <c r="O365" s="48"/>
      <c r="P365" s="48"/>
      <c r="Q365" s="48"/>
      <c r="R365" s="48"/>
      <c r="S365" s="30"/>
      <c r="T365" s="30"/>
      <c r="U365" s="30"/>
      <c r="V365" s="23">
        <v>0</v>
      </c>
      <c r="W365" s="368">
        <f t="shared" si="20"/>
        <v>0</v>
      </c>
      <c r="X365" s="368">
        <f t="shared" si="21"/>
        <v>0</v>
      </c>
      <c r="Y365" s="368">
        <f t="shared" si="22"/>
        <v>0</v>
      </c>
      <c r="Z365" s="368">
        <f t="shared" si="23"/>
        <v>0</v>
      </c>
    </row>
    <row r="366" spans="1:45" s="177" customFormat="1" ht="31.5" customHeight="1">
      <c r="A366" s="69" t="s">
        <v>1939</v>
      </c>
      <c r="B366" s="339" t="s">
        <v>838</v>
      </c>
      <c r="C366" s="40"/>
      <c r="D366" s="40"/>
      <c r="E366" s="48"/>
      <c r="F366" s="306" t="s">
        <v>839</v>
      </c>
      <c r="G366" s="48"/>
      <c r="H366" s="48"/>
      <c r="I366" s="48"/>
      <c r="J366" s="48"/>
      <c r="K366" s="48"/>
      <c r="L366" s="48"/>
      <c r="M366" s="48"/>
      <c r="N366" s="48"/>
      <c r="O366" s="48"/>
      <c r="P366" s="48"/>
      <c r="Q366" s="48"/>
      <c r="R366" s="48"/>
      <c r="S366" s="30"/>
      <c r="T366" s="30"/>
      <c r="U366" s="30"/>
      <c r="V366" s="23">
        <v>76</v>
      </c>
      <c r="W366" s="368">
        <f t="shared" si="20"/>
        <v>15.0708</v>
      </c>
      <c r="X366" s="368">
        <f t="shared" si="21"/>
        <v>8.3523999999999994</v>
      </c>
      <c r="Y366" s="368">
        <f t="shared" si="22"/>
        <v>15.526800000000001</v>
      </c>
      <c r="Z366" s="368">
        <f t="shared" si="23"/>
        <v>8.8084000000000007</v>
      </c>
    </row>
    <row r="367" spans="1:45" s="177" customFormat="1" ht="31.5" customHeight="1">
      <c r="A367" s="69" t="s">
        <v>1973</v>
      </c>
      <c r="B367" s="339" t="s">
        <v>840</v>
      </c>
      <c r="C367" s="40"/>
      <c r="D367" s="40"/>
      <c r="E367" s="48"/>
      <c r="F367" s="306" t="s">
        <v>841</v>
      </c>
      <c r="G367" s="48"/>
      <c r="H367" s="48"/>
      <c r="I367" s="48"/>
      <c r="J367" s="48"/>
      <c r="K367" s="48"/>
      <c r="L367" s="48"/>
      <c r="M367" s="48"/>
      <c r="N367" s="48"/>
      <c r="O367" s="48"/>
      <c r="P367" s="48"/>
      <c r="Q367" s="48"/>
      <c r="R367" s="48"/>
      <c r="S367" s="30"/>
      <c r="T367" s="30"/>
      <c r="U367" s="30"/>
      <c r="V367" s="23">
        <v>76</v>
      </c>
      <c r="W367" s="368">
        <f t="shared" si="20"/>
        <v>15.0708</v>
      </c>
      <c r="X367" s="368">
        <f t="shared" si="21"/>
        <v>8.3523999999999994</v>
      </c>
      <c r="Y367" s="368">
        <f t="shared" si="22"/>
        <v>15.526800000000001</v>
      </c>
      <c r="Z367" s="368">
        <f t="shared" si="23"/>
        <v>8.8084000000000007</v>
      </c>
    </row>
    <row r="368" spans="1:45" s="177" customFormat="1" ht="31.5" customHeight="1">
      <c r="A368" s="69" t="s">
        <v>1976</v>
      </c>
      <c r="B368" s="339" t="s">
        <v>844</v>
      </c>
      <c r="C368" s="40"/>
      <c r="D368" s="40"/>
      <c r="E368" s="48"/>
      <c r="F368" s="306" t="s">
        <v>845</v>
      </c>
      <c r="G368" s="48"/>
      <c r="H368" s="48"/>
      <c r="I368" s="48"/>
      <c r="J368" s="48"/>
      <c r="K368" s="48"/>
      <c r="L368" s="48"/>
      <c r="M368" s="48"/>
      <c r="N368" s="48"/>
      <c r="O368" s="48"/>
      <c r="P368" s="48"/>
      <c r="Q368" s="48"/>
      <c r="R368" s="48"/>
      <c r="S368" s="30"/>
      <c r="T368" s="30"/>
      <c r="U368" s="30"/>
      <c r="V368" s="23">
        <v>22</v>
      </c>
      <c r="W368" s="368">
        <f t="shared" si="20"/>
        <v>4.3626000000000005</v>
      </c>
      <c r="X368" s="368">
        <f t="shared" si="21"/>
        <v>2.4177999999999997</v>
      </c>
      <c r="Y368" s="368">
        <f t="shared" si="22"/>
        <v>4.4946000000000002</v>
      </c>
      <c r="Z368" s="368">
        <f t="shared" si="23"/>
        <v>2.5498000000000003</v>
      </c>
    </row>
    <row r="369" spans="1:45" s="177" customFormat="1" ht="31.5" customHeight="1">
      <c r="A369" s="69" t="s">
        <v>1974</v>
      </c>
      <c r="B369" s="339" t="s">
        <v>846</v>
      </c>
      <c r="C369" s="40"/>
      <c r="D369" s="40"/>
      <c r="E369" s="48"/>
      <c r="F369" s="306" t="s">
        <v>847</v>
      </c>
      <c r="G369" s="48"/>
      <c r="H369" s="48"/>
      <c r="I369" s="48"/>
      <c r="J369" s="48"/>
      <c r="K369" s="48"/>
      <c r="L369" s="48"/>
      <c r="M369" s="48"/>
      <c r="N369" s="48"/>
      <c r="O369" s="48"/>
      <c r="P369" s="48"/>
      <c r="Q369" s="48"/>
      <c r="R369" s="48"/>
      <c r="S369" s="30"/>
      <c r="T369" s="30"/>
      <c r="U369" s="30"/>
      <c r="V369" s="23">
        <v>72</v>
      </c>
      <c r="W369" s="368">
        <f t="shared" si="20"/>
        <v>14.2776</v>
      </c>
      <c r="X369" s="368">
        <f t="shared" si="21"/>
        <v>7.9127999999999998</v>
      </c>
      <c r="Y369" s="368">
        <f t="shared" si="22"/>
        <v>14.7096</v>
      </c>
      <c r="Z369" s="368">
        <f t="shared" si="23"/>
        <v>8.3447999999999993</v>
      </c>
    </row>
    <row r="370" spans="1:45" s="177" customFormat="1">
      <c r="A370" s="235"/>
      <c r="B370" s="140"/>
      <c r="C370" s="134"/>
      <c r="D370" s="134"/>
      <c r="E370" s="45"/>
      <c r="F370" s="45"/>
      <c r="G370" s="45"/>
      <c r="H370" s="45"/>
      <c r="I370" s="45"/>
      <c r="J370" s="45"/>
      <c r="K370" s="45"/>
      <c r="L370" s="45"/>
      <c r="M370" s="45"/>
      <c r="N370" s="45"/>
      <c r="O370" s="45"/>
      <c r="P370" s="45"/>
      <c r="Q370" s="45"/>
      <c r="R370" s="45"/>
      <c r="S370" s="45"/>
      <c r="T370" s="45"/>
      <c r="U370" s="45"/>
      <c r="V370" s="28"/>
      <c r="W370" s="369"/>
      <c r="X370" s="369"/>
      <c r="Y370" s="369"/>
      <c r="Z370" s="369"/>
      <c r="AA370" s="172"/>
      <c r="AB370" s="172"/>
      <c r="AC370" s="172"/>
      <c r="AD370" s="172"/>
      <c r="AE370" s="172"/>
      <c r="AF370" s="172"/>
      <c r="AG370" s="172"/>
      <c r="AH370" s="172"/>
      <c r="AI370" s="172"/>
      <c r="AJ370" s="172"/>
      <c r="AK370" s="172"/>
      <c r="AL370" s="172"/>
      <c r="AM370" s="172"/>
      <c r="AN370" s="172"/>
      <c r="AO370" s="172"/>
      <c r="AP370" s="172"/>
      <c r="AQ370" s="172"/>
      <c r="AR370" s="172"/>
      <c r="AS370" s="172"/>
    </row>
    <row r="371" spans="1:45" s="177" customFormat="1">
      <c r="A371" s="98" t="s">
        <v>1999</v>
      </c>
      <c r="B371" s="103"/>
      <c r="C371" s="103"/>
      <c r="D371" s="103"/>
      <c r="E371" s="226" t="s">
        <v>803</v>
      </c>
      <c r="F371" s="226" t="s">
        <v>804</v>
      </c>
      <c r="G371" s="226" t="s">
        <v>805</v>
      </c>
      <c r="H371" s="226" t="s">
        <v>806</v>
      </c>
      <c r="I371" s="226"/>
      <c r="J371" s="226"/>
      <c r="K371" s="226"/>
      <c r="L371" s="226"/>
      <c r="M371" s="226"/>
      <c r="N371" s="226"/>
      <c r="O371" s="226"/>
      <c r="P371" s="226"/>
      <c r="Q371" s="226"/>
      <c r="R371" s="226"/>
      <c r="S371" s="226"/>
      <c r="T371" s="226"/>
      <c r="U371" s="226"/>
      <c r="V371" s="112"/>
      <c r="W371" s="126"/>
      <c r="X371" s="126"/>
      <c r="Y371" s="126"/>
      <c r="Z371" s="126"/>
      <c r="AA371" s="172"/>
      <c r="AB371" s="172"/>
      <c r="AC371" s="172"/>
      <c r="AD371" s="172"/>
      <c r="AE371" s="172"/>
      <c r="AF371" s="172"/>
      <c r="AG371" s="172"/>
      <c r="AH371" s="172"/>
      <c r="AI371" s="172"/>
      <c r="AJ371" s="172"/>
      <c r="AK371" s="172"/>
      <c r="AL371" s="172"/>
      <c r="AM371" s="172"/>
      <c r="AN371" s="172"/>
      <c r="AO371" s="172"/>
      <c r="AP371" s="172"/>
      <c r="AQ371" s="172"/>
      <c r="AR371" s="172"/>
      <c r="AS371" s="172"/>
    </row>
    <row r="372" spans="1:45" s="176" customFormat="1">
      <c r="A372" s="69" t="s">
        <v>848</v>
      </c>
      <c r="B372" s="69" t="s">
        <v>849</v>
      </c>
      <c r="C372" s="150"/>
      <c r="D372" s="150"/>
      <c r="E372" s="48"/>
      <c r="F372" s="48"/>
      <c r="G372" s="69" t="s">
        <v>850</v>
      </c>
      <c r="H372" s="230"/>
      <c r="I372" s="230"/>
      <c r="J372" s="69"/>
      <c r="K372" s="69"/>
      <c r="L372" s="69"/>
      <c r="M372" s="104"/>
      <c r="N372" s="104"/>
      <c r="O372" s="104"/>
      <c r="P372" s="104"/>
      <c r="Q372" s="104"/>
      <c r="R372" s="104"/>
      <c r="S372" s="104"/>
      <c r="T372" s="104"/>
      <c r="U372" s="104"/>
      <c r="V372" s="23">
        <v>0</v>
      </c>
      <c r="W372" s="375"/>
      <c r="X372" s="375"/>
      <c r="Y372" s="375"/>
      <c r="Z372" s="375"/>
      <c r="AA372" s="172"/>
      <c r="AB372" s="172"/>
      <c r="AC372" s="172"/>
      <c r="AD372" s="172"/>
      <c r="AE372" s="172"/>
      <c r="AF372" s="172"/>
      <c r="AG372" s="172"/>
      <c r="AH372" s="172"/>
      <c r="AI372" s="172"/>
      <c r="AJ372" s="172"/>
      <c r="AK372" s="172"/>
      <c r="AL372" s="172"/>
      <c r="AM372" s="172"/>
      <c r="AN372" s="172"/>
      <c r="AO372" s="172"/>
      <c r="AP372" s="172"/>
      <c r="AQ372" s="172"/>
      <c r="AR372" s="172"/>
      <c r="AS372" s="172"/>
    </row>
    <row r="373" spans="1:45" s="176" customFormat="1">
      <c r="A373" s="69" t="s">
        <v>851</v>
      </c>
      <c r="B373" s="69" t="s">
        <v>852</v>
      </c>
      <c r="C373" s="150"/>
      <c r="D373" s="150"/>
      <c r="E373" s="48"/>
      <c r="F373" s="48"/>
      <c r="G373" s="69" t="s">
        <v>853</v>
      </c>
      <c r="H373" s="230"/>
      <c r="I373" s="230"/>
      <c r="J373" s="69"/>
      <c r="K373" s="69"/>
      <c r="L373" s="69"/>
      <c r="M373" s="104"/>
      <c r="N373" s="104"/>
      <c r="O373" s="104"/>
      <c r="P373" s="104"/>
      <c r="Q373" s="104"/>
      <c r="R373" s="104"/>
      <c r="S373" s="104"/>
      <c r="T373" s="104"/>
      <c r="U373" s="104"/>
      <c r="V373" s="23">
        <v>20</v>
      </c>
      <c r="W373" s="368">
        <f t="shared" si="20"/>
        <v>3.9660000000000002</v>
      </c>
      <c r="X373" s="368">
        <f t="shared" si="21"/>
        <v>2.198</v>
      </c>
      <c r="Y373" s="368">
        <f t="shared" si="22"/>
        <v>4.0860000000000003</v>
      </c>
      <c r="Z373" s="368">
        <f t="shared" si="23"/>
        <v>2.3180000000000001</v>
      </c>
      <c r="AA373" s="172"/>
      <c r="AB373" s="172"/>
      <c r="AC373" s="172"/>
      <c r="AD373" s="172"/>
      <c r="AE373" s="172"/>
      <c r="AF373" s="172"/>
      <c r="AG373" s="172"/>
      <c r="AH373" s="172"/>
      <c r="AI373" s="172"/>
      <c r="AJ373" s="172"/>
      <c r="AK373" s="172"/>
      <c r="AL373" s="172"/>
      <c r="AM373" s="172"/>
      <c r="AN373" s="172"/>
      <c r="AO373" s="172"/>
      <c r="AP373" s="172"/>
      <c r="AQ373" s="172"/>
      <c r="AR373" s="172"/>
      <c r="AS373" s="172"/>
    </row>
    <row r="374" spans="1:45" s="176" customFormat="1">
      <c r="A374" s="69" t="s">
        <v>854</v>
      </c>
      <c r="B374" s="69" t="s">
        <v>855</v>
      </c>
      <c r="C374" s="150"/>
      <c r="D374" s="150"/>
      <c r="E374" s="48"/>
      <c r="F374" s="48"/>
      <c r="G374" s="69" t="s">
        <v>856</v>
      </c>
      <c r="H374" s="230"/>
      <c r="I374" s="230"/>
      <c r="J374" s="69"/>
      <c r="K374" s="69"/>
      <c r="L374" s="69"/>
      <c r="M374" s="104"/>
      <c r="N374" s="104"/>
      <c r="O374" s="104"/>
      <c r="P374" s="104"/>
      <c r="Q374" s="104"/>
      <c r="R374" s="104"/>
      <c r="S374" s="104"/>
      <c r="T374" s="104"/>
      <c r="U374" s="104"/>
      <c r="V374" s="23">
        <v>20</v>
      </c>
      <c r="W374" s="368">
        <f t="shared" si="20"/>
        <v>3.9660000000000002</v>
      </c>
      <c r="X374" s="368">
        <f t="shared" si="21"/>
        <v>2.198</v>
      </c>
      <c r="Y374" s="368">
        <f t="shared" si="22"/>
        <v>4.0860000000000003</v>
      </c>
      <c r="Z374" s="368">
        <f t="shared" si="23"/>
        <v>2.3180000000000001</v>
      </c>
      <c r="AA374" s="172"/>
      <c r="AB374" s="172"/>
      <c r="AC374" s="172"/>
      <c r="AD374" s="172"/>
      <c r="AE374" s="172"/>
      <c r="AF374" s="172"/>
      <c r="AG374" s="172"/>
      <c r="AH374" s="172"/>
      <c r="AI374" s="172"/>
      <c r="AJ374" s="172"/>
      <c r="AK374" s="172"/>
      <c r="AL374" s="172"/>
      <c r="AM374" s="172"/>
      <c r="AN374" s="172"/>
      <c r="AO374" s="172"/>
      <c r="AP374" s="172"/>
      <c r="AQ374" s="172"/>
      <c r="AR374" s="172"/>
      <c r="AS374" s="172"/>
    </row>
    <row r="375" spans="1:45" s="176" customFormat="1" ht="27.6">
      <c r="A375" s="69" t="s">
        <v>857</v>
      </c>
      <c r="B375" s="69" t="s">
        <v>858</v>
      </c>
      <c r="C375" s="150"/>
      <c r="D375" s="150"/>
      <c r="E375" s="48"/>
      <c r="F375" s="48"/>
      <c r="G375" s="138" t="s">
        <v>859</v>
      </c>
      <c r="H375" s="230"/>
      <c r="I375" s="230"/>
      <c r="J375" s="138"/>
      <c r="K375" s="138"/>
      <c r="L375" s="138"/>
      <c r="M375" s="104"/>
      <c r="N375" s="104"/>
      <c r="O375" s="104"/>
      <c r="P375" s="104"/>
      <c r="Q375" s="104"/>
      <c r="R375" s="104"/>
      <c r="S375" s="104"/>
      <c r="T375" s="104"/>
      <c r="U375" s="104"/>
      <c r="V375" s="23">
        <v>76</v>
      </c>
      <c r="W375" s="368">
        <f t="shared" si="20"/>
        <v>15.0708</v>
      </c>
      <c r="X375" s="368">
        <f t="shared" si="21"/>
        <v>8.3523999999999994</v>
      </c>
      <c r="Y375" s="368">
        <f t="shared" si="22"/>
        <v>15.526800000000001</v>
      </c>
      <c r="Z375" s="368">
        <f t="shared" si="23"/>
        <v>8.8084000000000007</v>
      </c>
      <c r="AA375" s="172"/>
      <c r="AB375" s="172"/>
      <c r="AC375" s="172"/>
      <c r="AD375" s="172"/>
      <c r="AE375" s="172"/>
      <c r="AF375" s="172"/>
      <c r="AG375" s="172"/>
      <c r="AH375" s="172"/>
      <c r="AI375" s="172"/>
      <c r="AJ375" s="172"/>
      <c r="AK375" s="172"/>
      <c r="AL375" s="172"/>
      <c r="AM375" s="172"/>
      <c r="AN375" s="172"/>
      <c r="AO375" s="172"/>
      <c r="AP375" s="172"/>
      <c r="AQ375" s="172"/>
      <c r="AR375" s="172"/>
      <c r="AS375" s="172"/>
    </row>
    <row r="376" spans="1:45" s="176" customFormat="1" ht="27.6">
      <c r="A376" s="69" t="s">
        <v>835</v>
      </c>
      <c r="B376" s="69" t="s">
        <v>860</v>
      </c>
      <c r="C376" s="150"/>
      <c r="D376" s="150"/>
      <c r="E376" s="48"/>
      <c r="F376" s="48"/>
      <c r="G376" s="138" t="s">
        <v>861</v>
      </c>
      <c r="H376" s="230"/>
      <c r="I376" s="230"/>
      <c r="J376" s="138"/>
      <c r="K376" s="138"/>
      <c r="L376" s="138"/>
      <c r="M376" s="104"/>
      <c r="N376" s="104"/>
      <c r="O376" s="104"/>
      <c r="P376" s="104"/>
      <c r="Q376" s="104"/>
      <c r="R376" s="104"/>
      <c r="S376" s="104"/>
      <c r="T376" s="104"/>
      <c r="U376" s="104"/>
      <c r="V376" s="23">
        <v>96</v>
      </c>
      <c r="W376" s="368">
        <f t="shared" si="20"/>
        <v>19.036799999999999</v>
      </c>
      <c r="X376" s="368">
        <f t="shared" si="21"/>
        <v>10.5504</v>
      </c>
      <c r="Y376" s="368">
        <f t="shared" si="22"/>
        <v>19.6128</v>
      </c>
      <c r="Z376" s="368">
        <f t="shared" si="23"/>
        <v>11.1264</v>
      </c>
      <c r="AA376" s="172"/>
      <c r="AB376" s="172"/>
      <c r="AC376" s="172"/>
      <c r="AD376" s="172"/>
      <c r="AE376" s="172"/>
      <c r="AF376" s="172"/>
      <c r="AG376" s="172"/>
      <c r="AH376" s="172"/>
      <c r="AI376" s="172"/>
      <c r="AJ376" s="172"/>
      <c r="AK376" s="172"/>
      <c r="AL376" s="172"/>
      <c r="AM376" s="172"/>
      <c r="AN376" s="172"/>
      <c r="AO376" s="172"/>
      <c r="AP376" s="172"/>
      <c r="AQ376" s="172"/>
      <c r="AR376" s="172"/>
      <c r="AS376" s="172"/>
    </row>
    <row r="377" spans="1:45" s="176" customFormat="1">
      <c r="A377" s="69" t="s">
        <v>862</v>
      </c>
      <c r="B377" s="69" t="s">
        <v>863</v>
      </c>
      <c r="C377" s="150"/>
      <c r="D377" s="150"/>
      <c r="E377" s="48"/>
      <c r="F377" s="48"/>
      <c r="G377" s="138" t="s">
        <v>864</v>
      </c>
      <c r="H377" s="230"/>
      <c r="I377" s="230"/>
      <c r="J377" s="138"/>
      <c r="K377" s="138"/>
      <c r="L377" s="138"/>
      <c r="M377" s="104"/>
      <c r="N377" s="104"/>
      <c r="O377" s="104"/>
      <c r="P377" s="104"/>
      <c r="Q377" s="104"/>
      <c r="R377" s="104"/>
      <c r="S377" s="104"/>
      <c r="T377" s="104"/>
      <c r="U377" s="104"/>
      <c r="V377" s="23">
        <v>30</v>
      </c>
      <c r="W377" s="368">
        <f t="shared" si="20"/>
        <v>5.9489999999999998</v>
      </c>
      <c r="X377" s="368">
        <f t="shared" si="21"/>
        <v>3.2969999999999997</v>
      </c>
      <c r="Y377" s="368">
        <f t="shared" si="22"/>
        <v>6.1290000000000004</v>
      </c>
      <c r="Z377" s="368">
        <f t="shared" si="23"/>
        <v>3.4770000000000003</v>
      </c>
      <c r="AA377" s="172"/>
      <c r="AB377" s="172"/>
      <c r="AC377" s="172"/>
      <c r="AD377" s="172"/>
      <c r="AE377" s="172"/>
      <c r="AF377" s="172"/>
      <c r="AG377" s="172"/>
      <c r="AH377" s="172"/>
      <c r="AI377" s="172"/>
      <c r="AJ377" s="172"/>
      <c r="AK377" s="172"/>
      <c r="AL377" s="172"/>
      <c r="AM377" s="172"/>
      <c r="AN377" s="172"/>
      <c r="AO377" s="172"/>
      <c r="AP377" s="172"/>
      <c r="AQ377" s="172"/>
      <c r="AR377" s="172"/>
      <c r="AS377" s="172"/>
    </row>
    <row r="378" spans="1:45" s="176" customFormat="1">
      <c r="A378" s="69"/>
      <c r="B378" s="69"/>
      <c r="C378" s="150"/>
      <c r="D378" s="150"/>
      <c r="E378" s="48"/>
      <c r="F378" s="48"/>
      <c r="G378" s="104"/>
      <c r="H378" s="104"/>
      <c r="I378" s="104"/>
      <c r="J378" s="104"/>
      <c r="K378" s="104"/>
      <c r="L378" s="104"/>
      <c r="M378" s="104"/>
      <c r="N378" s="104"/>
      <c r="O378" s="104"/>
      <c r="P378" s="104"/>
      <c r="Q378" s="104"/>
      <c r="R378" s="104"/>
      <c r="S378" s="104"/>
      <c r="T378" s="104"/>
      <c r="U378" s="104"/>
      <c r="V378" s="23"/>
      <c r="W378" s="368"/>
      <c r="X378" s="368"/>
      <c r="Y378" s="368"/>
      <c r="Z378" s="368"/>
      <c r="AA378" s="172"/>
      <c r="AB378" s="172"/>
      <c r="AC378" s="172"/>
      <c r="AD378" s="172"/>
      <c r="AE378" s="172"/>
      <c r="AF378" s="172"/>
      <c r="AG378" s="172"/>
      <c r="AH378" s="172"/>
      <c r="AI378" s="172"/>
      <c r="AJ378" s="172"/>
      <c r="AK378" s="172"/>
      <c r="AL378" s="172"/>
      <c r="AM378" s="172"/>
      <c r="AN378" s="172"/>
      <c r="AO378" s="172"/>
      <c r="AP378" s="172"/>
      <c r="AQ378" s="172"/>
      <c r="AR378" s="172"/>
      <c r="AS378" s="172"/>
    </row>
    <row r="379" spans="1:45" s="177" customFormat="1" ht="32.25" customHeight="1">
      <c r="A379" s="142" t="s">
        <v>1707</v>
      </c>
      <c r="B379" s="339" t="s">
        <v>865</v>
      </c>
      <c r="C379" s="150"/>
      <c r="D379" s="150"/>
      <c r="E379" s="48"/>
      <c r="F379" s="48"/>
      <c r="G379" s="104"/>
      <c r="H379" s="306" t="s">
        <v>866</v>
      </c>
      <c r="I379" s="104"/>
      <c r="J379" s="104"/>
      <c r="K379" s="104"/>
      <c r="L379" s="104"/>
      <c r="M379" s="104"/>
      <c r="N379" s="104"/>
      <c r="O379" s="104"/>
      <c r="P379" s="104"/>
      <c r="Q379" s="104"/>
      <c r="R379" s="104"/>
      <c r="S379" s="104"/>
      <c r="T379" s="104"/>
      <c r="U379" s="104"/>
      <c r="V379" s="23">
        <v>12</v>
      </c>
      <c r="W379" s="368">
        <f t="shared" si="20"/>
        <v>2.3795999999999999</v>
      </c>
      <c r="X379" s="368">
        <f t="shared" si="21"/>
        <v>1.3188</v>
      </c>
      <c r="Y379" s="368">
        <f t="shared" si="22"/>
        <v>2.4516</v>
      </c>
      <c r="Z379" s="368">
        <f t="shared" si="23"/>
        <v>1.3908</v>
      </c>
    </row>
    <row r="380" spans="1:45" s="177" customFormat="1" ht="32.25" customHeight="1">
      <c r="A380" s="142" t="s">
        <v>1975</v>
      </c>
      <c r="B380" s="339" t="s">
        <v>867</v>
      </c>
      <c r="C380" s="150"/>
      <c r="D380" s="150"/>
      <c r="E380" s="48"/>
      <c r="F380" s="48"/>
      <c r="G380" s="104"/>
      <c r="H380" s="306" t="s">
        <v>868</v>
      </c>
      <c r="I380" s="104"/>
      <c r="J380" s="104"/>
      <c r="K380" s="104"/>
      <c r="L380" s="104"/>
      <c r="M380" s="104"/>
      <c r="N380" s="104"/>
      <c r="O380" s="104"/>
      <c r="P380" s="104"/>
      <c r="Q380" s="104"/>
      <c r="R380" s="104"/>
      <c r="S380" s="104"/>
      <c r="T380" s="104"/>
      <c r="U380" s="104"/>
      <c r="V380" s="23">
        <v>12</v>
      </c>
      <c r="W380" s="368">
        <f t="shared" si="20"/>
        <v>2.3795999999999999</v>
      </c>
      <c r="X380" s="368">
        <f t="shared" si="21"/>
        <v>1.3188</v>
      </c>
      <c r="Y380" s="368">
        <f t="shared" si="22"/>
        <v>2.4516</v>
      </c>
      <c r="Z380" s="368">
        <f t="shared" si="23"/>
        <v>1.3908</v>
      </c>
    </row>
    <row r="381" spans="1:45" s="177" customFormat="1" ht="32.25" customHeight="1">
      <c r="A381" s="142" t="s">
        <v>1979</v>
      </c>
      <c r="B381" s="339" t="s">
        <v>869</v>
      </c>
      <c r="C381" s="150"/>
      <c r="D381" s="150"/>
      <c r="E381" s="48"/>
      <c r="F381" s="48"/>
      <c r="G381" s="104"/>
      <c r="H381" s="306" t="s">
        <v>870</v>
      </c>
      <c r="I381" s="104"/>
      <c r="J381" s="104"/>
      <c r="K381" s="104"/>
      <c r="L381" s="104"/>
      <c r="M381" s="104"/>
      <c r="N381" s="104"/>
      <c r="O381" s="104"/>
      <c r="P381" s="104"/>
      <c r="Q381" s="104"/>
      <c r="R381" s="104"/>
      <c r="S381" s="104"/>
      <c r="T381" s="104"/>
      <c r="U381" s="104"/>
      <c r="V381" s="23">
        <v>32</v>
      </c>
      <c r="W381" s="368">
        <f t="shared" si="20"/>
        <v>6.3456000000000001</v>
      </c>
      <c r="X381" s="368">
        <f t="shared" si="21"/>
        <v>3.5167999999999999</v>
      </c>
      <c r="Y381" s="368">
        <f t="shared" si="22"/>
        <v>6.5376000000000003</v>
      </c>
      <c r="Z381" s="368">
        <f t="shared" si="23"/>
        <v>3.7088000000000001</v>
      </c>
    </row>
    <row r="382" spans="1:45" s="177" customFormat="1" ht="32.25" customHeight="1">
      <c r="A382" s="142" t="s">
        <v>1978</v>
      </c>
      <c r="B382" s="339" t="s">
        <v>871</v>
      </c>
      <c r="C382" s="150"/>
      <c r="D382" s="150"/>
      <c r="E382" s="48"/>
      <c r="F382" s="48"/>
      <c r="G382" s="104"/>
      <c r="H382" s="306" t="s">
        <v>1901</v>
      </c>
      <c r="I382" s="104"/>
      <c r="J382" s="104"/>
      <c r="K382" s="104"/>
      <c r="L382" s="104"/>
      <c r="M382" s="104"/>
      <c r="N382" s="104"/>
      <c r="O382" s="104"/>
      <c r="P382" s="104"/>
      <c r="Q382" s="104"/>
      <c r="R382" s="104"/>
      <c r="S382" s="104"/>
      <c r="T382" s="104"/>
      <c r="U382" s="104"/>
      <c r="V382" s="23">
        <v>46</v>
      </c>
      <c r="W382" s="368">
        <f t="shared" si="20"/>
        <v>9.1218000000000004</v>
      </c>
      <c r="X382" s="368">
        <f t="shared" si="21"/>
        <v>5.0553999999999997</v>
      </c>
      <c r="Y382" s="368">
        <f t="shared" si="22"/>
        <v>9.3978000000000002</v>
      </c>
      <c r="Z382" s="368">
        <f t="shared" si="23"/>
        <v>5.3314000000000004</v>
      </c>
    </row>
    <row r="383" spans="1:45" s="177" customFormat="1" ht="32.25" customHeight="1">
      <c r="A383" s="142" t="s">
        <v>1940</v>
      </c>
      <c r="B383" s="339" t="s">
        <v>872</v>
      </c>
      <c r="C383" s="150"/>
      <c r="D383" s="150"/>
      <c r="E383" s="48"/>
      <c r="F383" s="48"/>
      <c r="G383" s="104"/>
      <c r="H383" s="306" t="s">
        <v>873</v>
      </c>
      <c r="I383" s="104"/>
      <c r="J383" s="104"/>
      <c r="K383" s="104"/>
      <c r="L383" s="104"/>
      <c r="M383" s="104"/>
      <c r="N383" s="104"/>
      <c r="O383" s="104"/>
      <c r="P383" s="104"/>
      <c r="Q383" s="104"/>
      <c r="R383" s="104"/>
      <c r="S383" s="104"/>
      <c r="T383" s="104"/>
      <c r="U383" s="104"/>
      <c r="V383" s="23">
        <v>0</v>
      </c>
      <c r="W383" s="368">
        <f t="shared" si="20"/>
        <v>0</v>
      </c>
      <c r="X383" s="368">
        <f t="shared" si="21"/>
        <v>0</v>
      </c>
      <c r="Y383" s="368">
        <f t="shared" si="22"/>
        <v>0</v>
      </c>
      <c r="Z383" s="368">
        <f t="shared" si="23"/>
        <v>0</v>
      </c>
    </row>
    <row r="384" spans="1:45" s="177" customFormat="1" ht="32.25" customHeight="1">
      <c r="A384" s="142" t="s">
        <v>1977</v>
      </c>
      <c r="B384" s="339" t="s">
        <v>874</v>
      </c>
      <c r="C384" s="150"/>
      <c r="D384" s="150"/>
      <c r="E384" s="48"/>
      <c r="F384" s="48"/>
      <c r="G384" s="104"/>
      <c r="H384" s="306" t="s">
        <v>875</v>
      </c>
      <c r="I384" s="104"/>
      <c r="J384" s="104"/>
      <c r="K384" s="104"/>
      <c r="L384" s="104"/>
      <c r="M384" s="104"/>
      <c r="N384" s="104"/>
      <c r="O384" s="104"/>
      <c r="P384" s="104"/>
      <c r="Q384" s="104"/>
      <c r="R384" s="104"/>
      <c r="S384" s="104"/>
      <c r="T384" s="104"/>
      <c r="U384" s="104"/>
      <c r="V384" s="23">
        <v>72</v>
      </c>
      <c r="W384" s="368">
        <f t="shared" si="20"/>
        <v>14.2776</v>
      </c>
      <c r="X384" s="368">
        <f t="shared" si="21"/>
        <v>7.9127999999999998</v>
      </c>
      <c r="Y384" s="368">
        <f t="shared" si="22"/>
        <v>14.7096</v>
      </c>
      <c r="Z384" s="368">
        <f t="shared" si="23"/>
        <v>8.3447999999999993</v>
      </c>
    </row>
    <row r="385" spans="1:45" s="177" customFormat="1" ht="32.25" customHeight="1">
      <c r="A385" s="142" t="s">
        <v>1941</v>
      </c>
      <c r="B385" s="339" t="s">
        <v>876</v>
      </c>
      <c r="C385" s="150"/>
      <c r="D385" s="150"/>
      <c r="E385" s="48"/>
      <c r="F385" s="48"/>
      <c r="G385" s="104"/>
      <c r="H385" s="306" t="s">
        <v>877</v>
      </c>
      <c r="I385" s="104"/>
      <c r="J385" s="104"/>
      <c r="K385" s="104"/>
      <c r="L385" s="104"/>
      <c r="M385" s="104"/>
      <c r="N385" s="104"/>
      <c r="O385" s="104"/>
      <c r="P385" s="104"/>
      <c r="Q385" s="104"/>
      <c r="R385" s="104"/>
      <c r="S385" s="104"/>
      <c r="T385" s="104"/>
      <c r="U385" s="104"/>
      <c r="V385" s="23">
        <v>82</v>
      </c>
      <c r="W385" s="368">
        <f t="shared" si="20"/>
        <v>16.2606</v>
      </c>
      <c r="X385" s="368">
        <f t="shared" si="21"/>
        <v>9.0117999999999991</v>
      </c>
      <c r="Y385" s="368">
        <f t="shared" si="22"/>
        <v>16.752600000000001</v>
      </c>
      <c r="Z385" s="368">
        <f t="shared" si="23"/>
        <v>9.5038</v>
      </c>
    </row>
    <row r="386" spans="1:45" s="176" customFormat="1">
      <c r="A386" s="69"/>
      <c r="B386" s="69"/>
      <c r="C386" s="150"/>
      <c r="D386" s="150"/>
      <c r="E386" s="48"/>
      <c r="F386" s="48"/>
      <c r="G386" s="104"/>
      <c r="H386" s="104"/>
      <c r="I386" s="104"/>
      <c r="J386" s="104"/>
      <c r="K386" s="104"/>
      <c r="L386" s="104"/>
      <c r="M386" s="104"/>
      <c r="N386" s="104"/>
      <c r="O386" s="104"/>
      <c r="P386" s="104"/>
      <c r="Q386" s="104"/>
      <c r="R386" s="104"/>
      <c r="S386" s="104"/>
      <c r="T386" s="104"/>
      <c r="U386" s="104"/>
      <c r="V386" s="23"/>
      <c r="W386" s="368">
        <f t="shared" si="20"/>
        <v>0</v>
      </c>
      <c r="X386" s="368">
        <f t="shared" si="21"/>
        <v>0</v>
      </c>
      <c r="Y386" s="368">
        <f t="shared" si="22"/>
        <v>0</v>
      </c>
      <c r="Z386" s="368">
        <f t="shared" si="23"/>
        <v>0</v>
      </c>
      <c r="AA386" s="172"/>
      <c r="AB386" s="172"/>
      <c r="AC386" s="172"/>
      <c r="AD386" s="172"/>
      <c r="AE386" s="172"/>
      <c r="AF386" s="172"/>
      <c r="AG386" s="172"/>
      <c r="AH386" s="172"/>
      <c r="AI386" s="172"/>
      <c r="AJ386" s="172"/>
      <c r="AK386" s="172"/>
      <c r="AL386" s="172"/>
      <c r="AM386" s="172"/>
      <c r="AN386" s="172"/>
      <c r="AO386" s="172"/>
      <c r="AP386" s="172"/>
      <c r="AQ386" s="172"/>
      <c r="AR386" s="172"/>
      <c r="AS386" s="172"/>
    </row>
    <row r="387" spans="1:45" s="177" customFormat="1">
      <c r="A387" s="98" t="s">
        <v>2000</v>
      </c>
      <c r="B387" s="103"/>
      <c r="C387" s="103"/>
      <c r="D387" s="103"/>
      <c r="E387" s="226"/>
      <c r="F387" s="226"/>
      <c r="G387" s="226"/>
      <c r="H387" s="226"/>
      <c r="I387" s="226"/>
      <c r="J387" s="226"/>
      <c r="K387" s="226"/>
      <c r="L387" s="226"/>
      <c r="M387" s="226"/>
      <c r="N387" s="226"/>
      <c r="O387" s="226"/>
      <c r="P387" s="226"/>
      <c r="Q387" s="226"/>
      <c r="R387" s="226"/>
      <c r="S387" s="226"/>
      <c r="T387" s="226"/>
      <c r="U387" s="226"/>
      <c r="V387" s="112"/>
      <c r="W387" s="126">
        <f t="shared" si="20"/>
        <v>0</v>
      </c>
      <c r="X387" s="126">
        <f t="shared" si="21"/>
        <v>0</v>
      </c>
      <c r="Y387" s="126">
        <f t="shared" si="22"/>
        <v>0</v>
      </c>
      <c r="Z387" s="126">
        <f t="shared" si="23"/>
        <v>0</v>
      </c>
      <c r="AA387" s="172"/>
      <c r="AB387" s="172"/>
      <c r="AC387" s="172"/>
      <c r="AD387" s="172"/>
      <c r="AE387" s="172"/>
      <c r="AF387" s="172"/>
      <c r="AG387" s="172"/>
      <c r="AH387" s="172"/>
      <c r="AI387" s="172"/>
      <c r="AJ387" s="172"/>
      <c r="AK387" s="172"/>
      <c r="AL387" s="172"/>
      <c r="AM387" s="172"/>
      <c r="AN387" s="172"/>
      <c r="AO387" s="172"/>
      <c r="AP387" s="172"/>
      <c r="AQ387" s="172"/>
      <c r="AR387" s="172"/>
      <c r="AS387" s="172"/>
    </row>
    <row r="388" spans="1:45" s="177" customFormat="1">
      <c r="A388" s="69" t="s">
        <v>878</v>
      </c>
      <c r="B388" s="67" t="s">
        <v>879</v>
      </c>
      <c r="C388" s="178"/>
      <c r="D388" s="178"/>
      <c r="E388" s="48" t="s">
        <v>880</v>
      </c>
      <c r="F388" s="306" t="s">
        <v>881</v>
      </c>
      <c r="G388" s="95"/>
      <c r="H388" s="95"/>
      <c r="I388" s="95"/>
      <c r="J388" s="95"/>
      <c r="K388" s="95"/>
      <c r="L388" s="95"/>
      <c r="M388" s="95"/>
      <c r="N388" s="95"/>
      <c r="O388" s="95"/>
      <c r="P388" s="95"/>
      <c r="Q388" s="95"/>
      <c r="R388" s="95"/>
      <c r="S388" s="139"/>
      <c r="T388" s="139"/>
      <c r="U388" s="139"/>
      <c r="V388" s="23">
        <v>50</v>
      </c>
      <c r="W388" s="368">
        <f t="shared" si="20"/>
        <v>9.9150000000000009</v>
      </c>
      <c r="X388" s="368">
        <f t="shared" si="21"/>
        <v>5.4950000000000001</v>
      </c>
      <c r="Y388" s="368">
        <f t="shared" si="22"/>
        <v>10.215</v>
      </c>
      <c r="Z388" s="368">
        <f t="shared" si="23"/>
        <v>5.7949999999999999</v>
      </c>
    </row>
    <row r="389" spans="1:45" s="177" customFormat="1">
      <c r="A389" s="69"/>
      <c r="B389" s="67"/>
      <c r="C389" s="178"/>
      <c r="D389" s="178"/>
      <c r="E389" s="48"/>
      <c r="F389" s="48"/>
      <c r="G389" s="95"/>
      <c r="H389" s="95"/>
      <c r="I389" s="95"/>
      <c r="J389" s="95"/>
      <c r="K389" s="95"/>
      <c r="L389" s="95"/>
      <c r="M389" s="95"/>
      <c r="N389" s="95"/>
      <c r="O389" s="95"/>
      <c r="P389" s="95"/>
      <c r="Q389" s="95"/>
      <c r="R389" s="95"/>
      <c r="S389" s="139"/>
      <c r="T389" s="139"/>
      <c r="U389" s="139"/>
      <c r="V389" s="23"/>
      <c r="W389" s="368"/>
      <c r="X389" s="368"/>
      <c r="Y389" s="368"/>
      <c r="Z389" s="368"/>
    </row>
    <row r="390" spans="1:45" s="177" customFormat="1">
      <c r="A390" s="98" t="s">
        <v>253</v>
      </c>
      <c r="B390" s="103"/>
      <c r="C390" s="103"/>
      <c r="D390" s="103"/>
      <c r="E390" s="226"/>
      <c r="F390" s="226"/>
      <c r="G390" s="226"/>
      <c r="H390" s="226"/>
      <c r="I390" s="226"/>
      <c r="J390" s="226"/>
      <c r="K390" s="226"/>
      <c r="L390" s="226"/>
      <c r="M390" s="226"/>
      <c r="N390" s="226"/>
      <c r="O390" s="226"/>
      <c r="P390" s="226"/>
      <c r="Q390" s="226"/>
      <c r="R390" s="226"/>
      <c r="S390" s="226"/>
      <c r="T390" s="226"/>
      <c r="U390" s="226"/>
      <c r="V390" s="112"/>
      <c r="W390" s="126"/>
      <c r="X390" s="126"/>
      <c r="Y390" s="126"/>
      <c r="Z390" s="126"/>
      <c r="AA390" s="172"/>
      <c r="AB390" s="172"/>
      <c r="AC390" s="172"/>
      <c r="AD390" s="172"/>
      <c r="AE390" s="172"/>
      <c r="AF390" s="172"/>
      <c r="AG390" s="172"/>
      <c r="AH390" s="172"/>
      <c r="AI390" s="172"/>
      <c r="AJ390" s="172"/>
      <c r="AK390" s="172"/>
      <c r="AL390" s="172"/>
      <c r="AM390" s="172"/>
      <c r="AN390" s="172"/>
      <c r="AO390" s="172"/>
      <c r="AP390" s="172"/>
      <c r="AQ390" s="172"/>
      <c r="AR390" s="172"/>
      <c r="AS390" s="172"/>
    </row>
    <row r="391" spans="1:45" s="163" customFormat="1" ht="27.6">
      <c r="A391" s="69" t="s">
        <v>882</v>
      </c>
      <c r="B391" s="69" t="s">
        <v>883</v>
      </c>
      <c r="C391" s="150"/>
      <c r="D391" s="150"/>
      <c r="E391" s="48" t="s">
        <v>884</v>
      </c>
      <c r="F391" s="306" t="s">
        <v>1635</v>
      </c>
      <c r="G391" s="138" t="s">
        <v>885</v>
      </c>
      <c r="H391" s="306" t="s">
        <v>1636</v>
      </c>
      <c r="I391" s="230"/>
      <c r="J391" s="138"/>
      <c r="K391" s="138"/>
      <c r="L391" s="138"/>
      <c r="M391" s="104"/>
      <c r="N391" s="104"/>
      <c r="O391" s="104"/>
      <c r="P391" s="104"/>
      <c r="Q391" s="104"/>
      <c r="R391" s="104"/>
      <c r="S391" s="104"/>
      <c r="T391" s="104"/>
      <c r="U391" s="104"/>
      <c r="V391" s="23">
        <v>0</v>
      </c>
      <c r="W391" s="368">
        <f t="shared" si="20"/>
        <v>0</v>
      </c>
      <c r="X391" s="368">
        <f t="shared" si="21"/>
        <v>0</v>
      </c>
      <c r="Y391" s="368">
        <f t="shared" si="22"/>
        <v>0</v>
      </c>
      <c r="Z391" s="368">
        <f t="shared" si="23"/>
        <v>0</v>
      </c>
    </row>
    <row r="392" spans="1:45" s="163" customFormat="1">
      <c r="A392" s="69"/>
      <c r="B392" s="69"/>
      <c r="C392" s="150"/>
      <c r="D392" s="150"/>
      <c r="E392" s="48"/>
      <c r="F392" s="48"/>
      <c r="G392" s="104"/>
      <c r="H392" s="104"/>
      <c r="I392" s="104"/>
      <c r="J392" s="104"/>
      <c r="K392" s="104"/>
      <c r="L392" s="104"/>
      <c r="M392" s="104"/>
      <c r="N392" s="104"/>
      <c r="O392" s="104"/>
      <c r="P392" s="104"/>
      <c r="Q392" s="104"/>
      <c r="R392" s="104"/>
      <c r="S392" s="104"/>
      <c r="T392" s="104"/>
      <c r="U392" s="104"/>
      <c r="V392" s="23"/>
      <c r="W392" s="368">
        <f t="shared" si="20"/>
        <v>0</v>
      </c>
      <c r="X392" s="368">
        <f t="shared" si="21"/>
        <v>0</v>
      </c>
      <c r="Y392" s="368">
        <f t="shared" si="22"/>
        <v>0</v>
      </c>
      <c r="Z392" s="368">
        <f t="shared" si="23"/>
        <v>0</v>
      </c>
    </row>
    <row r="393" spans="1:45" s="163" customFormat="1">
      <c r="A393" s="98" t="s">
        <v>228</v>
      </c>
      <c r="B393" s="103"/>
      <c r="C393" s="103"/>
      <c r="D393" s="103"/>
      <c r="E393" s="226"/>
      <c r="F393" s="226"/>
      <c r="G393" s="226"/>
      <c r="H393" s="226"/>
      <c r="I393" s="226"/>
      <c r="J393" s="226"/>
      <c r="K393" s="226"/>
      <c r="L393" s="226"/>
      <c r="M393" s="226"/>
      <c r="N393" s="226"/>
      <c r="O393" s="226"/>
      <c r="P393" s="226"/>
      <c r="Q393" s="226"/>
      <c r="R393" s="226"/>
      <c r="S393" s="226"/>
      <c r="T393" s="226"/>
      <c r="U393" s="226"/>
      <c r="V393" s="112"/>
      <c r="W393" s="126"/>
      <c r="X393" s="126"/>
      <c r="Y393" s="126"/>
      <c r="Z393" s="126"/>
      <c r="AA393" s="166"/>
      <c r="AB393" s="166"/>
      <c r="AC393" s="166"/>
      <c r="AD393" s="166"/>
      <c r="AE393" s="166"/>
      <c r="AF393" s="166"/>
      <c r="AG393" s="166"/>
      <c r="AH393" s="166"/>
      <c r="AI393" s="166"/>
      <c r="AJ393" s="166"/>
      <c r="AK393" s="166"/>
      <c r="AL393" s="166"/>
      <c r="AM393" s="166"/>
      <c r="AN393" s="166"/>
      <c r="AO393" s="166"/>
      <c r="AP393" s="166"/>
      <c r="AQ393" s="166"/>
      <c r="AR393" s="166"/>
      <c r="AS393" s="166"/>
    </row>
    <row r="394" spans="1:45" s="163" customFormat="1">
      <c r="A394" s="69" t="s">
        <v>886</v>
      </c>
      <c r="B394" s="69" t="s">
        <v>886</v>
      </c>
      <c r="C394" s="107"/>
      <c r="D394" s="107"/>
      <c r="E394" s="48" t="s">
        <v>887</v>
      </c>
      <c r="F394" s="306" t="s">
        <v>888</v>
      </c>
      <c r="G394" s="306" t="s">
        <v>889</v>
      </c>
      <c r="H394" s="306" t="s">
        <v>890</v>
      </c>
      <c r="I394" s="230"/>
      <c r="J394" s="306"/>
      <c r="K394" s="306"/>
      <c r="L394" s="306"/>
      <c r="M394" s="230"/>
      <c r="N394" s="230"/>
      <c r="O394" s="230"/>
      <c r="P394" s="230"/>
      <c r="Q394" s="230"/>
      <c r="R394" s="230"/>
      <c r="S394" s="72"/>
      <c r="T394" s="72"/>
      <c r="U394" s="72"/>
      <c r="V394" s="28">
        <v>6</v>
      </c>
      <c r="W394" s="369">
        <f t="shared" si="20"/>
        <v>1.1898</v>
      </c>
      <c r="X394" s="369">
        <f t="shared" si="21"/>
        <v>0.65939999999999999</v>
      </c>
      <c r="Y394" s="369">
        <f t="shared" si="22"/>
        <v>1.2258</v>
      </c>
      <c r="Z394" s="369">
        <f t="shared" si="23"/>
        <v>0.69540000000000002</v>
      </c>
      <c r="AA394" s="166"/>
      <c r="AB394" s="166"/>
      <c r="AC394" s="166"/>
      <c r="AD394" s="166"/>
      <c r="AE394" s="166"/>
      <c r="AF394" s="166"/>
      <c r="AG394" s="166"/>
      <c r="AH394" s="166"/>
      <c r="AI394" s="166"/>
      <c r="AJ394" s="166"/>
      <c r="AK394" s="166"/>
      <c r="AL394" s="166"/>
      <c r="AM394" s="166"/>
      <c r="AN394" s="166"/>
      <c r="AO394" s="166"/>
      <c r="AP394" s="166"/>
      <c r="AQ394" s="166"/>
      <c r="AR394" s="166"/>
      <c r="AS394" s="166"/>
    </row>
    <row r="395" spans="1:45" s="163" customFormat="1">
      <c r="A395" s="69" t="s">
        <v>891</v>
      </c>
      <c r="B395" s="69" t="s">
        <v>676</v>
      </c>
      <c r="C395" s="150"/>
      <c r="D395" s="150"/>
      <c r="E395" s="48" t="s">
        <v>892</v>
      </c>
      <c r="F395" s="306" t="s">
        <v>893</v>
      </c>
      <c r="G395" s="138" t="s">
        <v>894</v>
      </c>
      <c r="H395" s="306" t="s">
        <v>895</v>
      </c>
      <c r="I395" s="230"/>
      <c r="J395" s="138"/>
      <c r="K395" s="138"/>
      <c r="L395" s="138"/>
      <c r="M395" s="104"/>
      <c r="N395" s="104"/>
      <c r="O395" s="104"/>
      <c r="P395" s="104"/>
      <c r="Q395" s="104"/>
      <c r="R395" s="104"/>
      <c r="S395" s="104"/>
      <c r="T395" s="104"/>
      <c r="U395" s="104"/>
      <c r="V395" s="23">
        <v>82</v>
      </c>
      <c r="W395" s="368">
        <f t="shared" si="20"/>
        <v>16.2606</v>
      </c>
      <c r="X395" s="368">
        <f t="shared" si="21"/>
        <v>9.0117999999999991</v>
      </c>
      <c r="Y395" s="368">
        <f t="shared" si="22"/>
        <v>16.752600000000001</v>
      </c>
      <c r="Z395" s="368">
        <f t="shared" si="23"/>
        <v>9.5038</v>
      </c>
    </row>
    <row r="396" spans="1:45" s="166" customFormat="1">
      <c r="A396" s="235"/>
      <c r="B396" s="132"/>
      <c r="C396" s="134"/>
      <c r="D396" s="134"/>
      <c r="E396" s="230"/>
      <c r="F396" s="48"/>
      <c r="G396" s="104"/>
      <c r="H396" s="104"/>
      <c r="I396" s="45"/>
      <c r="J396" s="45"/>
      <c r="K396" s="45"/>
      <c r="L396" s="45"/>
      <c r="M396" s="45"/>
      <c r="N396" s="45"/>
      <c r="O396" s="45"/>
      <c r="P396" s="45"/>
      <c r="Q396" s="45"/>
      <c r="R396" s="45"/>
      <c r="S396" s="45"/>
      <c r="T396" s="45"/>
      <c r="U396" s="45"/>
      <c r="V396" s="28"/>
      <c r="W396" s="369"/>
      <c r="X396" s="369"/>
      <c r="Y396" s="369"/>
      <c r="Z396" s="369"/>
    </row>
    <row r="397" spans="1:45" s="163" customFormat="1">
      <c r="A397" s="98" t="s">
        <v>687</v>
      </c>
      <c r="B397" s="103"/>
      <c r="C397" s="103"/>
      <c r="D397" s="103"/>
      <c r="E397" s="226"/>
      <c r="F397" s="226"/>
      <c r="G397" s="226"/>
      <c r="H397" s="226"/>
      <c r="I397" s="226"/>
      <c r="J397" s="226"/>
      <c r="K397" s="226"/>
      <c r="L397" s="226"/>
      <c r="M397" s="226"/>
      <c r="N397" s="226"/>
      <c r="O397" s="226"/>
      <c r="P397" s="226"/>
      <c r="Q397" s="226"/>
      <c r="R397" s="226"/>
      <c r="S397" s="226"/>
      <c r="T397" s="226"/>
      <c r="U397" s="226"/>
      <c r="V397" s="112"/>
      <c r="W397" s="126"/>
      <c r="X397" s="126"/>
      <c r="Y397" s="126"/>
      <c r="Z397" s="126"/>
      <c r="AA397" s="166"/>
      <c r="AB397" s="166"/>
      <c r="AC397" s="166"/>
      <c r="AD397" s="166"/>
      <c r="AE397" s="166"/>
      <c r="AF397" s="166"/>
      <c r="AG397" s="166"/>
      <c r="AH397" s="166"/>
      <c r="AI397" s="166"/>
      <c r="AJ397" s="166"/>
      <c r="AK397" s="166"/>
      <c r="AL397" s="166"/>
      <c r="AM397" s="166"/>
      <c r="AN397" s="166"/>
      <c r="AO397" s="166"/>
      <c r="AP397" s="166"/>
      <c r="AQ397" s="166"/>
      <c r="AR397" s="166"/>
      <c r="AS397" s="166"/>
    </row>
    <row r="398" spans="1:45" s="163" customFormat="1">
      <c r="A398" s="132" t="s">
        <v>896</v>
      </c>
      <c r="B398" s="132" t="s">
        <v>897</v>
      </c>
      <c r="C398" s="107"/>
      <c r="D398" s="107"/>
      <c r="E398" s="230" t="s">
        <v>898</v>
      </c>
      <c r="F398" s="306" t="s">
        <v>899</v>
      </c>
      <c r="G398" s="48" t="s">
        <v>900</v>
      </c>
      <c r="H398" s="230"/>
      <c r="I398" s="230"/>
      <c r="J398" s="48"/>
      <c r="K398" s="48"/>
      <c r="L398" s="48"/>
      <c r="M398" s="230"/>
      <c r="N398" s="230"/>
      <c r="O398" s="230"/>
      <c r="P398" s="230"/>
      <c r="Q398" s="230"/>
      <c r="R398" s="230"/>
      <c r="S398" s="72"/>
      <c r="T398" s="72"/>
      <c r="U398" s="72"/>
      <c r="V398" s="28">
        <v>10</v>
      </c>
      <c r="W398" s="369">
        <f t="shared" ref="W398:W422" si="24">V398*$W$9</f>
        <v>1.9830000000000001</v>
      </c>
      <c r="X398" s="369">
        <f t="shared" ref="X398:X422" si="25">V398*$X$9</f>
        <v>1.099</v>
      </c>
      <c r="Y398" s="369">
        <f t="shared" ref="Y398:Y422" si="26">V398*$Y$9</f>
        <v>2.0430000000000001</v>
      </c>
      <c r="Z398" s="369">
        <f t="shared" ref="Z398:Z422" si="27">V398*$Z$9</f>
        <v>1.159</v>
      </c>
      <c r="AA398" s="166"/>
      <c r="AB398" s="166"/>
      <c r="AC398" s="166"/>
      <c r="AD398" s="166"/>
      <c r="AE398" s="166"/>
      <c r="AF398" s="166"/>
      <c r="AG398" s="166"/>
      <c r="AH398" s="166"/>
      <c r="AI398" s="166"/>
      <c r="AJ398" s="166"/>
      <c r="AK398" s="166"/>
      <c r="AL398" s="166"/>
      <c r="AM398" s="166"/>
      <c r="AN398" s="166"/>
      <c r="AO398" s="166"/>
      <c r="AP398" s="166"/>
      <c r="AQ398" s="166"/>
      <c r="AR398" s="166"/>
      <c r="AS398" s="166"/>
    </row>
    <row r="399" spans="1:45" s="163" customFormat="1">
      <c r="A399" s="235"/>
      <c r="B399" s="140"/>
      <c r="C399" s="134"/>
      <c r="D399" s="134"/>
      <c r="E399" s="45"/>
      <c r="F399" s="45"/>
      <c r="G399" s="45"/>
      <c r="H399" s="45"/>
      <c r="I399" s="45"/>
      <c r="J399" s="45"/>
      <c r="K399" s="45"/>
      <c r="L399" s="45"/>
      <c r="M399" s="45"/>
      <c r="N399" s="45"/>
      <c r="O399" s="45"/>
      <c r="P399" s="45"/>
      <c r="Q399" s="45"/>
      <c r="R399" s="45"/>
      <c r="S399" s="45"/>
      <c r="T399" s="45"/>
      <c r="U399" s="45"/>
      <c r="V399" s="28"/>
      <c r="W399" s="369"/>
      <c r="X399" s="369"/>
      <c r="Y399" s="369"/>
      <c r="Z399" s="369"/>
      <c r="AA399" s="166"/>
      <c r="AB399" s="166"/>
      <c r="AC399" s="166"/>
      <c r="AD399" s="166"/>
      <c r="AE399" s="166"/>
      <c r="AF399" s="166"/>
      <c r="AG399" s="166"/>
      <c r="AH399" s="166"/>
      <c r="AI399" s="166"/>
      <c r="AJ399" s="166"/>
      <c r="AK399" s="166"/>
      <c r="AL399" s="166"/>
      <c r="AM399" s="166"/>
      <c r="AN399" s="166"/>
      <c r="AO399" s="166"/>
      <c r="AP399" s="166"/>
      <c r="AQ399" s="166"/>
      <c r="AR399" s="166"/>
      <c r="AS399" s="166"/>
    </row>
    <row r="400" spans="1:45" s="163" customFormat="1">
      <c r="A400" s="98" t="s">
        <v>384</v>
      </c>
      <c r="B400" s="103"/>
      <c r="C400" s="103"/>
      <c r="D400" s="103"/>
      <c r="E400" s="226"/>
      <c r="F400" s="226"/>
      <c r="G400" s="226"/>
      <c r="H400" s="226"/>
      <c r="I400" s="226"/>
      <c r="J400" s="226"/>
      <c r="K400" s="226"/>
      <c r="L400" s="226"/>
      <c r="M400" s="226"/>
      <c r="N400" s="226"/>
      <c r="O400" s="226"/>
      <c r="P400" s="226"/>
      <c r="Q400" s="226"/>
      <c r="R400" s="226"/>
      <c r="S400" s="226"/>
      <c r="T400" s="226"/>
      <c r="U400" s="226"/>
      <c r="V400" s="112"/>
      <c r="W400" s="126">
        <f t="shared" si="24"/>
        <v>0</v>
      </c>
      <c r="X400" s="126">
        <f t="shared" si="25"/>
        <v>0</v>
      </c>
      <c r="Y400" s="126">
        <f t="shared" si="26"/>
        <v>0</v>
      </c>
      <c r="Z400" s="126">
        <f t="shared" si="27"/>
        <v>0</v>
      </c>
      <c r="AA400" s="166"/>
      <c r="AB400" s="166"/>
      <c r="AC400" s="166"/>
      <c r="AD400" s="166"/>
      <c r="AE400" s="166"/>
      <c r="AF400" s="166"/>
      <c r="AG400" s="166"/>
      <c r="AH400" s="166"/>
      <c r="AI400" s="166"/>
      <c r="AJ400" s="166"/>
      <c r="AK400" s="166"/>
      <c r="AL400" s="166"/>
      <c r="AM400" s="166"/>
      <c r="AN400" s="166"/>
      <c r="AO400" s="166"/>
      <c r="AP400" s="166"/>
      <c r="AQ400" s="166"/>
      <c r="AR400" s="166"/>
      <c r="AS400" s="166"/>
    </row>
    <row r="401" spans="1:45" s="163" customFormat="1">
      <c r="A401" s="69" t="s">
        <v>385</v>
      </c>
      <c r="B401" s="69" t="s">
        <v>386</v>
      </c>
      <c r="C401" s="40"/>
      <c r="D401" s="40"/>
      <c r="E401" s="48" t="s">
        <v>901</v>
      </c>
      <c r="F401" s="306" t="s">
        <v>902</v>
      </c>
      <c r="G401" s="48" t="s">
        <v>903</v>
      </c>
      <c r="H401" s="306" t="s">
        <v>904</v>
      </c>
      <c r="I401" s="230"/>
      <c r="J401" s="48"/>
      <c r="K401" s="48"/>
      <c r="L401" s="48"/>
      <c r="M401" s="48"/>
      <c r="N401" s="48"/>
      <c r="O401" s="48"/>
      <c r="P401" s="48"/>
      <c r="Q401" s="48"/>
      <c r="R401" s="48"/>
      <c r="S401" s="30"/>
      <c r="T401" s="30"/>
      <c r="U401" s="30"/>
      <c r="V401" s="23">
        <v>6</v>
      </c>
      <c r="W401" s="368">
        <f t="shared" si="24"/>
        <v>1.1898</v>
      </c>
      <c r="X401" s="368">
        <f t="shared" si="25"/>
        <v>0.65939999999999999</v>
      </c>
      <c r="Y401" s="368">
        <f t="shared" si="26"/>
        <v>1.2258</v>
      </c>
      <c r="Z401" s="368">
        <f t="shared" si="27"/>
        <v>0.69540000000000002</v>
      </c>
    </row>
    <row r="402" spans="1:45" s="163" customFormat="1">
      <c r="A402" s="69" t="s">
        <v>905</v>
      </c>
      <c r="B402" s="69" t="s">
        <v>388</v>
      </c>
      <c r="C402" s="40"/>
      <c r="D402" s="40"/>
      <c r="E402" s="48" t="s">
        <v>906</v>
      </c>
      <c r="F402" s="48"/>
      <c r="G402" s="48" t="s">
        <v>907</v>
      </c>
      <c r="H402" s="48"/>
      <c r="I402" s="230"/>
      <c r="J402" s="48"/>
      <c r="K402" s="48"/>
      <c r="L402" s="48"/>
      <c r="M402" s="48"/>
      <c r="N402" s="48"/>
      <c r="O402" s="48"/>
      <c r="P402" s="48"/>
      <c r="Q402" s="48"/>
      <c r="R402" s="48"/>
      <c r="S402" s="30"/>
      <c r="T402" s="30"/>
      <c r="U402" s="30"/>
      <c r="V402" s="23">
        <v>7</v>
      </c>
      <c r="W402" s="368">
        <f t="shared" si="24"/>
        <v>1.3881000000000001</v>
      </c>
      <c r="X402" s="368">
        <f t="shared" si="25"/>
        <v>0.76929999999999998</v>
      </c>
      <c r="Y402" s="368">
        <f t="shared" si="26"/>
        <v>1.4301000000000001</v>
      </c>
      <c r="Z402" s="368">
        <f t="shared" si="27"/>
        <v>0.81130000000000002</v>
      </c>
    </row>
    <row r="403" spans="1:45" s="163" customFormat="1">
      <c r="A403" s="69" t="s">
        <v>389</v>
      </c>
      <c r="B403" s="69" t="s">
        <v>390</v>
      </c>
      <c r="C403" s="40"/>
      <c r="D403" s="40"/>
      <c r="E403" s="48" t="s">
        <v>908</v>
      </c>
      <c r="F403" s="306" t="s">
        <v>909</v>
      </c>
      <c r="G403" s="48" t="s">
        <v>910</v>
      </c>
      <c r="H403" s="306" t="s">
        <v>911</v>
      </c>
      <c r="I403" s="230"/>
      <c r="J403" s="48"/>
      <c r="K403" s="48"/>
      <c r="L403" s="48"/>
      <c r="M403" s="48"/>
      <c r="N403" s="48"/>
      <c r="O403" s="48"/>
      <c r="P403" s="48"/>
      <c r="Q403" s="48"/>
      <c r="R403" s="48"/>
      <c r="S403" s="30"/>
      <c r="T403" s="30"/>
      <c r="U403" s="30"/>
      <c r="V403" s="23">
        <v>87</v>
      </c>
      <c r="W403" s="368">
        <f t="shared" si="24"/>
        <v>17.252099999999999</v>
      </c>
      <c r="X403" s="368">
        <f t="shared" si="25"/>
        <v>9.5612999999999992</v>
      </c>
      <c r="Y403" s="368">
        <f t="shared" si="26"/>
        <v>17.774100000000001</v>
      </c>
      <c r="Z403" s="368">
        <f t="shared" si="27"/>
        <v>10.083299999999999</v>
      </c>
    </row>
    <row r="404" spans="1:45" s="163" customFormat="1">
      <c r="A404" s="69" t="s">
        <v>750</v>
      </c>
      <c r="B404" s="69" t="s">
        <v>751</v>
      </c>
      <c r="C404" s="40"/>
      <c r="D404" s="40"/>
      <c r="E404" s="48" t="s">
        <v>912</v>
      </c>
      <c r="F404" s="306" t="s">
        <v>913</v>
      </c>
      <c r="G404" s="48" t="s">
        <v>914</v>
      </c>
      <c r="H404" s="306" t="s">
        <v>915</v>
      </c>
      <c r="I404" s="230"/>
      <c r="J404" s="48"/>
      <c r="K404" s="48"/>
      <c r="L404" s="48"/>
      <c r="M404" s="48"/>
      <c r="N404" s="48"/>
      <c r="O404" s="48"/>
      <c r="P404" s="48"/>
      <c r="Q404" s="48"/>
      <c r="R404" s="48"/>
      <c r="S404" s="30"/>
      <c r="T404" s="30"/>
      <c r="U404" s="30"/>
      <c r="V404" s="23">
        <v>267</v>
      </c>
      <c r="W404" s="368">
        <f t="shared" si="24"/>
        <v>52.946100000000001</v>
      </c>
      <c r="X404" s="368">
        <f t="shared" si="25"/>
        <v>29.343299999999999</v>
      </c>
      <c r="Y404" s="368">
        <f t="shared" si="26"/>
        <v>54.548100000000005</v>
      </c>
      <c r="Z404" s="368">
        <f t="shared" si="27"/>
        <v>30.9453</v>
      </c>
    </row>
    <row r="405" spans="1:45" s="177" customFormat="1" ht="14.4">
      <c r="A405" t="s">
        <v>1624</v>
      </c>
      <c r="B405" t="s">
        <v>763</v>
      </c>
      <c r="C405" s="150"/>
      <c r="D405" s="150"/>
      <c r="E405" s="104"/>
      <c r="F405" s="104"/>
      <c r="G405" s="104"/>
      <c r="H405" s="306" t="s">
        <v>916</v>
      </c>
      <c r="I405" s="104"/>
      <c r="J405" s="104"/>
      <c r="K405" s="104"/>
      <c r="L405" s="104"/>
      <c r="M405" s="104"/>
      <c r="N405" s="104"/>
      <c r="O405" s="104"/>
      <c r="P405" s="104"/>
      <c r="Q405" s="104"/>
      <c r="R405" s="104"/>
      <c r="S405" s="104"/>
      <c r="T405" s="104"/>
      <c r="U405" s="104"/>
      <c r="V405" s="23">
        <v>5</v>
      </c>
      <c r="W405" s="368">
        <f t="shared" si="24"/>
        <v>0.99150000000000005</v>
      </c>
      <c r="X405" s="368">
        <f t="shared" si="25"/>
        <v>0.54949999999999999</v>
      </c>
      <c r="Y405" s="368">
        <f t="shared" si="26"/>
        <v>1.0215000000000001</v>
      </c>
      <c r="Z405" s="368">
        <f t="shared" si="27"/>
        <v>0.57950000000000002</v>
      </c>
      <c r="AA405" s="172"/>
      <c r="AB405" s="172"/>
      <c r="AC405" s="172"/>
      <c r="AD405" s="172"/>
      <c r="AE405" s="172"/>
      <c r="AF405" s="172"/>
      <c r="AG405" s="172"/>
      <c r="AH405" s="172"/>
      <c r="AI405" s="172"/>
      <c r="AJ405" s="172"/>
      <c r="AK405" s="172"/>
      <c r="AL405" s="172"/>
      <c r="AM405" s="172"/>
      <c r="AN405" s="172"/>
      <c r="AO405" s="172"/>
      <c r="AP405" s="172"/>
      <c r="AQ405" s="172"/>
      <c r="AR405" s="172"/>
      <c r="AS405" s="172"/>
    </row>
    <row r="406" spans="1:45" s="177" customFormat="1">
      <c r="A406" s="98" t="s">
        <v>274</v>
      </c>
      <c r="B406" s="103"/>
      <c r="C406" s="103"/>
      <c r="D406" s="103"/>
      <c r="E406" s="226"/>
      <c r="F406" s="226"/>
      <c r="G406" s="226"/>
      <c r="H406" s="226"/>
      <c r="I406" s="226"/>
      <c r="J406" s="226"/>
      <c r="K406" s="226"/>
      <c r="L406" s="226"/>
      <c r="M406" s="226"/>
      <c r="N406" s="226"/>
      <c r="O406" s="226"/>
      <c r="P406" s="226"/>
      <c r="Q406" s="226"/>
      <c r="R406" s="226"/>
      <c r="S406" s="226"/>
      <c r="T406" s="226"/>
      <c r="U406" s="226"/>
      <c r="V406" s="112"/>
      <c r="W406" s="126"/>
      <c r="X406" s="126"/>
      <c r="Y406" s="126"/>
      <c r="Z406" s="126"/>
      <c r="AA406" s="172"/>
      <c r="AB406" s="172"/>
      <c r="AC406" s="172"/>
      <c r="AD406" s="172"/>
      <c r="AE406" s="172"/>
      <c r="AF406" s="172"/>
      <c r="AG406" s="172"/>
      <c r="AH406" s="172"/>
      <c r="AI406" s="172"/>
      <c r="AJ406" s="172"/>
      <c r="AK406" s="172"/>
      <c r="AL406" s="172"/>
      <c r="AM406" s="172"/>
      <c r="AN406" s="172"/>
      <c r="AO406" s="172"/>
      <c r="AP406" s="172"/>
      <c r="AQ406" s="172"/>
      <c r="AR406" s="172"/>
      <c r="AS406" s="172"/>
    </row>
    <row r="407" spans="1:45" s="177" customFormat="1">
      <c r="A407" s="69" t="s">
        <v>772</v>
      </c>
      <c r="B407" s="69" t="s">
        <v>773</v>
      </c>
      <c r="C407" s="40"/>
      <c r="D407" s="40"/>
      <c r="E407" s="48" t="s">
        <v>917</v>
      </c>
      <c r="F407" s="306" t="s">
        <v>918</v>
      </c>
      <c r="G407" s="48" t="s">
        <v>919</v>
      </c>
      <c r="H407" s="306" t="s">
        <v>920</v>
      </c>
      <c r="I407" s="230"/>
      <c r="J407" s="48"/>
      <c r="K407" s="48"/>
      <c r="L407" s="48"/>
      <c r="M407" s="48"/>
      <c r="N407" s="48"/>
      <c r="O407" s="48"/>
      <c r="P407" s="48"/>
      <c r="Q407" s="48"/>
      <c r="R407" s="48"/>
      <c r="S407" s="30"/>
      <c r="T407" s="30"/>
      <c r="U407" s="30"/>
      <c r="V407" s="23">
        <v>7</v>
      </c>
      <c r="W407" s="368">
        <f t="shared" si="24"/>
        <v>1.3881000000000001</v>
      </c>
      <c r="X407" s="368">
        <f t="shared" si="25"/>
        <v>0.76929999999999998</v>
      </c>
      <c r="Y407" s="368">
        <f t="shared" si="26"/>
        <v>1.4301000000000001</v>
      </c>
      <c r="Z407" s="368">
        <f t="shared" si="27"/>
        <v>0.81130000000000002</v>
      </c>
    </row>
    <row r="408" spans="1:45" s="177" customFormat="1">
      <c r="A408" s="69" t="s">
        <v>921</v>
      </c>
      <c r="B408" s="69" t="s">
        <v>392</v>
      </c>
      <c r="C408" s="40"/>
      <c r="D408" s="40"/>
      <c r="E408" s="48"/>
      <c r="F408" s="48"/>
      <c r="G408" s="48"/>
      <c r="H408" s="306" t="s">
        <v>922</v>
      </c>
      <c r="I408" s="230"/>
      <c r="J408" s="48"/>
      <c r="K408" s="48"/>
      <c r="L408" s="48"/>
      <c r="M408" s="48"/>
      <c r="N408" s="48"/>
      <c r="O408" s="48"/>
      <c r="P408" s="48"/>
      <c r="Q408" s="48"/>
      <c r="R408" s="48"/>
      <c r="S408" s="30"/>
      <c r="T408" s="30"/>
      <c r="U408" s="30"/>
      <c r="V408" s="23">
        <v>11</v>
      </c>
      <c r="W408" s="368">
        <f t="shared" si="24"/>
        <v>2.1813000000000002</v>
      </c>
      <c r="X408" s="368">
        <f t="shared" si="25"/>
        <v>1.2088999999999999</v>
      </c>
      <c r="Y408" s="368">
        <f t="shared" si="26"/>
        <v>2.2473000000000001</v>
      </c>
      <c r="Z408" s="368">
        <f t="shared" si="27"/>
        <v>1.2749000000000001</v>
      </c>
    </row>
    <row r="409" spans="1:45" s="177" customFormat="1">
      <c r="A409" s="69" t="s">
        <v>769</v>
      </c>
      <c r="B409" s="69" t="s">
        <v>770</v>
      </c>
      <c r="C409" s="150"/>
      <c r="D409" s="150"/>
      <c r="E409" s="48" t="s">
        <v>771</v>
      </c>
      <c r="F409" s="306" t="s">
        <v>771</v>
      </c>
      <c r="G409" s="138" t="s">
        <v>771</v>
      </c>
      <c r="H409" s="48"/>
      <c r="I409" s="230"/>
      <c r="J409" s="138"/>
      <c r="K409" s="138"/>
      <c r="L409" s="138"/>
      <c r="M409" s="104"/>
      <c r="N409" s="104"/>
      <c r="O409" s="104"/>
      <c r="P409" s="104"/>
      <c r="Q409" s="104"/>
      <c r="R409" s="104"/>
      <c r="S409" s="104"/>
      <c r="T409" s="104"/>
      <c r="U409" s="104"/>
      <c r="V409" s="23">
        <v>1</v>
      </c>
      <c r="W409" s="368">
        <f t="shared" si="24"/>
        <v>0.1983</v>
      </c>
      <c r="X409" s="368">
        <f t="shared" si="25"/>
        <v>0.1099</v>
      </c>
      <c r="Y409" s="368">
        <f t="shared" si="26"/>
        <v>0.20430000000000001</v>
      </c>
      <c r="Z409" s="368">
        <f t="shared" si="27"/>
        <v>0.1159</v>
      </c>
    </row>
    <row r="410" spans="1:45" s="172" customFormat="1">
      <c r="A410" s="235"/>
      <c r="B410" s="132"/>
      <c r="C410" s="134"/>
      <c r="D410" s="134"/>
      <c r="E410" s="230"/>
      <c r="F410" s="230"/>
      <c r="G410" s="45"/>
      <c r="H410" s="45"/>
      <c r="I410" s="45"/>
      <c r="J410" s="45"/>
      <c r="K410" s="45"/>
      <c r="L410" s="45"/>
      <c r="M410" s="45"/>
      <c r="N410" s="45"/>
      <c r="O410" s="45"/>
      <c r="P410" s="45"/>
      <c r="Q410" s="45"/>
      <c r="R410" s="45"/>
      <c r="S410" s="45"/>
      <c r="T410" s="45"/>
      <c r="U410" s="45"/>
      <c r="V410" s="28"/>
      <c r="W410" s="369"/>
      <c r="X410" s="369"/>
      <c r="Y410" s="369"/>
      <c r="Z410" s="369"/>
    </row>
    <row r="411" spans="1:45" s="177" customFormat="1">
      <c r="A411" s="113" t="s">
        <v>263</v>
      </c>
      <c r="B411" s="121"/>
      <c r="C411" s="121"/>
      <c r="D411" s="121"/>
      <c r="E411" s="208"/>
      <c r="F411" s="208"/>
      <c r="G411" s="208"/>
      <c r="H411" s="208"/>
      <c r="I411" s="208"/>
      <c r="J411" s="208"/>
      <c r="K411" s="208"/>
      <c r="L411" s="208"/>
      <c r="M411" s="208"/>
      <c r="N411" s="208"/>
      <c r="O411" s="208"/>
      <c r="P411" s="208"/>
      <c r="Q411" s="208"/>
      <c r="R411" s="208"/>
      <c r="S411" s="208"/>
      <c r="T411" s="208"/>
      <c r="U411" s="208"/>
      <c r="V411" s="112"/>
      <c r="W411" s="126"/>
      <c r="X411" s="126"/>
      <c r="Y411" s="126"/>
      <c r="Z411" s="126"/>
      <c r="AA411" s="172"/>
      <c r="AB411" s="172"/>
      <c r="AC411" s="172"/>
      <c r="AD411" s="172"/>
      <c r="AE411" s="172"/>
      <c r="AF411" s="172"/>
      <c r="AG411" s="172"/>
      <c r="AH411" s="172"/>
      <c r="AI411" s="172"/>
      <c r="AJ411" s="172"/>
      <c r="AK411" s="172"/>
      <c r="AL411" s="172"/>
      <c r="AM411" s="172"/>
      <c r="AN411" s="172"/>
      <c r="AO411" s="172"/>
      <c r="AP411" s="172"/>
      <c r="AQ411" s="172"/>
      <c r="AR411" s="172"/>
      <c r="AS411" s="172"/>
    </row>
    <row r="412" spans="1:45" s="177" customFormat="1">
      <c r="A412" s="69" t="s">
        <v>113</v>
      </c>
      <c r="B412" s="69" t="s">
        <v>264</v>
      </c>
      <c r="C412" s="150"/>
      <c r="D412" s="150"/>
      <c r="E412" s="48" t="s">
        <v>923</v>
      </c>
      <c r="F412" s="306" t="s">
        <v>924</v>
      </c>
      <c r="G412" s="306" t="s">
        <v>925</v>
      </c>
      <c r="H412" s="306" t="s">
        <v>926</v>
      </c>
      <c r="I412" s="230"/>
      <c r="J412" s="306"/>
      <c r="K412" s="306"/>
      <c r="L412" s="306"/>
      <c r="M412" s="104"/>
      <c r="N412" s="104"/>
      <c r="O412" s="104"/>
      <c r="P412" s="104"/>
      <c r="Q412" s="104"/>
      <c r="R412" s="104"/>
      <c r="S412" s="104"/>
      <c r="T412" s="104"/>
      <c r="U412" s="104"/>
      <c r="V412" s="23">
        <v>6</v>
      </c>
      <c r="W412" s="368">
        <f t="shared" si="24"/>
        <v>1.1898</v>
      </c>
      <c r="X412" s="368">
        <f t="shared" si="25"/>
        <v>0.65939999999999999</v>
      </c>
      <c r="Y412" s="368">
        <f t="shared" si="26"/>
        <v>1.2258</v>
      </c>
      <c r="Z412" s="368">
        <f t="shared" si="27"/>
        <v>0.69540000000000002</v>
      </c>
    </row>
    <row r="413" spans="1:45" s="172" customFormat="1">
      <c r="A413" s="132"/>
      <c r="B413" s="132"/>
      <c r="C413" s="134"/>
      <c r="D413" s="134"/>
      <c r="E413" s="230"/>
      <c r="F413" s="230"/>
      <c r="G413" s="45"/>
      <c r="H413" s="45"/>
      <c r="I413" s="45"/>
      <c r="J413" s="45"/>
      <c r="K413" s="45"/>
      <c r="L413" s="45"/>
      <c r="M413" s="45"/>
      <c r="N413" s="45"/>
      <c r="O413" s="45"/>
      <c r="P413" s="45"/>
      <c r="Q413" s="45"/>
      <c r="R413" s="45"/>
      <c r="S413" s="45"/>
      <c r="T413" s="45"/>
      <c r="U413" s="45"/>
      <c r="V413" s="28"/>
      <c r="W413" s="369"/>
      <c r="X413" s="369"/>
      <c r="Y413" s="369"/>
      <c r="Z413" s="369"/>
    </row>
    <row r="414" spans="1:45" s="177" customFormat="1">
      <c r="A414" s="98" t="s">
        <v>2001</v>
      </c>
      <c r="B414" s="108"/>
      <c r="C414" s="108"/>
      <c r="D414" s="108"/>
      <c r="E414" s="223"/>
      <c r="F414" s="223"/>
      <c r="G414" s="223"/>
      <c r="H414" s="223"/>
      <c r="I414" s="223"/>
      <c r="J414" s="223"/>
      <c r="K414" s="223"/>
      <c r="L414" s="223"/>
      <c r="M414" s="223"/>
      <c r="N414" s="223"/>
      <c r="O414" s="223"/>
      <c r="P414" s="223"/>
      <c r="Q414" s="223"/>
      <c r="R414" s="223"/>
      <c r="S414" s="226"/>
      <c r="T414" s="226"/>
      <c r="U414" s="226"/>
      <c r="V414" s="112"/>
      <c r="W414" s="126"/>
      <c r="X414" s="126"/>
      <c r="Y414" s="126"/>
      <c r="Z414" s="126"/>
      <c r="AA414" s="172"/>
      <c r="AB414" s="172"/>
      <c r="AC414" s="172"/>
      <c r="AD414" s="172"/>
      <c r="AE414" s="172"/>
      <c r="AF414" s="172"/>
      <c r="AG414" s="172"/>
      <c r="AH414" s="172"/>
      <c r="AI414" s="172"/>
      <c r="AJ414" s="172"/>
      <c r="AK414" s="172"/>
      <c r="AL414" s="172"/>
      <c r="AM414" s="172"/>
      <c r="AN414" s="172"/>
      <c r="AO414" s="172"/>
      <c r="AP414" s="172"/>
      <c r="AQ414" s="172"/>
      <c r="AR414" s="172"/>
      <c r="AS414" s="172"/>
    </row>
    <row r="415" spans="1:45" s="177" customFormat="1">
      <c r="A415" s="69" t="s">
        <v>286</v>
      </c>
      <c r="B415" s="69" t="s">
        <v>393</v>
      </c>
      <c r="C415" s="40"/>
      <c r="D415" s="40"/>
      <c r="E415" s="48" t="s">
        <v>927</v>
      </c>
      <c r="F415" s="48" t="s">
        <v>927</v>
      </c>
      <c r="G415" s="48" t="s">
        <v>927</v>
      </c>
      <c r="H415" s="48" t="s">
        <v>927</v>
      </c>
      <c r="I415" s="48"/>
      <c r="J415" s="48"/>
      <c r="K415" s="48"/>
      <c r="L415" s="48"/>
      <c r="M415" s="66"/>
      <c r="N415" s="66"/>
      <c r="O415" s="66"/>
      <c r="P415" s="66"/>
      <c r="Q415" s="66"/>
      <c r="R415" s="66"/>
      <c r="S415" s="54"/>
      <c r="T415" s="54"/>
      <c r="U415" s="54"/>
      <c r="V415" s="23">
        <v>10</v>
      </c>
      <c r="W415" s="368">
        <f t="shared" si="24"/>
        <v>1.9830000000000001</v>
      </c>
      <c r="X415" s="368">
        <f t="shared" si="25"/>
        <v>1.099</v>
      </c>
      <c r="Y415" s="368">
        <f t="shared" si="26"/>
        <v>2.0430000000000001</v>
      </c>
      <c r="Z415" s="368">
        <f t="shared" si="27"/>
        <v>1.159</v>
      </c>
    </row>
    <row r="416" spans="1:45" s="177" customFormat="1" ht="27.6">
      <c r="A416" s="69" t="s">
        <v>289</v>
      </c>
      <c r="B416" s="142" t="s">
        <v>395</v>
      </c>
      <c r="C416" s="191"/>
      <c r="D416" s="191"/>
      <c r="E416" s="48" t="s">
        <v>928</v>
      </c>
      <c r="F416" s="48" t="s">
        <v>928</v>
      </c>
      <c r="G416" s="48" t="s">
        <v>928</v>
      </c>
      <c r="H416" s="48" t="s">
        <v>928</v>
      </c>
      <c r="I416" s="48"/>
      <c r="J416" s="48"/>
      <c r="K416" s="48"/>
      <c r="L416" s="48"/>
      <c r="M416" s="66"/>
      <c r="N416" s="66"/>
      <c r="O416" s="66"/>
      <c r="P416" s="66"/>
      <c r="Q416" s="66"/>
      <c r="R416" s="66"/>
      <c r="S416" s="54"/>
      <c r="T416" s="54"/>
      <c r="U416" s="54"/>
      <c r="V416" s="23">
        <v>30</v>
      </c>
      <c r="W416" s="368">
        <f t="shared" si="24"/>
        <v>5.9489999999999998</v>
      </c>
      <c r="X416" s="368">
        <f t="shared" si="25"/>
        <v>3.2969999999999997</v>
      </c>
      <c r="Y416" s="368">
        <f t="shared" si="26"/>
        <v>6.1290000000000004</v>
      </c>
      <c r="Z416" s="368">
        <f t="shared" si="27"/>
        <v>3.4770000000000003</v>
      </c>
    </row>
    <row r="417" spans="1:45" s="177" customFormat="1" ht="27.6">
      <c r="A417" s="69" t="s">
        <v>397</v>
      </c>
      <c r="B417" s="69" t="s">
        <v>398</v>
      </c>
      <c r="C417" s="69"/>
      <c r="D417" s="69"/>
      <c r="E417" s="48" t="s">
        <v>929</v>
      </c>
      <c r="F417" s="48" t="s">
        <v>929</v>
      </c>
      <c r="G417" s="48" t="s">
        <v>929</v>
      </c>
      <c r="H417" s="48" t="s">
        <v>929</v>
      </c>
      <c r="I417" s="48"/>
      <c r="J417" s="48"/>
      <c r="K417" s="48"/>
      <c r="L417" s="48"/>
      <c r="M417" s="95"/>
      <c r="N417" s="95"/>
      <c r="O417" s="95"/>
      <c r="P417" s="95"/>
      <c r="Q417" s="95"/>
      <c r="R417" s="95"/>
      <c r="S417" s="139"/>
      <c r="T417" s="139"/>
      <c r="U417" s="139"/>
      <c r="V417" s="23">
        <v>60</v>
      </c>
      <c r="W417" s="368">
        <f t="shared" si="24"/>
        <v>11.898</v>
      </c>
      <c r="X417" s="368">
        <f t="shared" si="25"/>
        <v>6.5939999999999994</v>
      </c>
      <c r="Y417" s="368">
        <f t="shared" si="26"/>
        <v>12.258000000000001</v>
      </c>
      <c r="Z417" s="368">
        <f t="shared" si="27"/>
        <v>6.9540000000000006</v>
      </c>
    </row>
    <row r="418" spans="1:45">
      <c r="A418" s="69" t="s">
        <v>400</v>
      </c>
      <c r="B418" s="69" t="s">
        <v>401</v>
      </c>
      <c r="C418" s="40"/>
      <c r="D418" s="40"/>
      <c r="E418" s="95" t="s">
        <v>930</v>
      </c>
      <c r="F418" s="95" t="s">
        <v>930</v>
      </c>
      <c r="G418" s="95" t="s">
        <v>930</v>
      </c>
      <c r="H418" s="95" t="s">
        <v>930</v>
      </c>
      <c r="I418" s="95"/>
      <c r="J418" s="95"/>
      <c r="K418" s="95"/>
      <c r="L418" s="95"/>
      <c r="M418" s="95"/>
      <c r="N418" s="95"/>
      <c r="O418" s="95"/>
      <c r="P418" s="95"/>
      <c r="Q418" s="95"/>
      <c r="R418" s="95"/>
      <c r="S418" s="139"/>
      <c r="T418" s="139"/>
      <c r="U418" s="139"/>
      <c r="V418" s="60">
        <v>10</v>
      </c>
      <c r="W418" s="186">
        <f t="shared" si="24"/>
        <v>1.9830000000000001</v>
      </c>
      <c r="X418" s="186">
        <f t="shared" si="25"/>
        <v>1.099</v>
      </c>
      <c r="Y418" s="186">
        <f t="shared" si="26"/>
        <v>2.0430000000000001</v>
      </c>
      <c r="Z418" s="186">
        <f t="shared" si="27"/>
        <v>1.159</v>
      </c>
    </row>
    <row r="419" spans="1:45">
      <c r="A419" s="69" t="s">
        <v>403</v>
      </c>
      <c r="B419" s="69" t="s">
        <v>404</v>
      </c>
      <c r="C419" s="40"/>
      <c r="D419" s="40"/>
      <c r="E419" s="95" t="s">
        <v>405</v>
      </c>
      <c r="F419" s="95" t="s">
        <v>405</v>
      </c>
      <c r="G419" s="95" t="s">
        <v>405</v>
      </c>
      <c r="H419" s="95" t="s">
        <v>405</v>
      </c>
      <c r="I419" s="95"/>
      <c r="J419" s="95"/>
      <c r="K419" s="95"/>
      <c r="L419" s="95"/>
      <c r="M419" s="95"/>
      <c r="N419" s="95"/>
      <c r="O419" s="95"/>
      <c r="P419" s="95"/>
      <c r="Q419" s="95"/>
      <c r="R419" s="95"/>
      <c r="S419" s="139"/>
      <c r="T419" s="139"/>
      <c r="U419" s="139"/>
      <c r="V419" s="60">
        <v>10</v>
      </c>
      <c r="W419" s="186">
        <f t="shared" si="24"/>
        <v>1.9830000000000001</v>
      </c>
      <c r="X419" s="186">
        <f t="shared" si="25"/>
        <v>1.099</v>
      </c>
      <c r="Y419" s="186">
        <f t="shared" si="26"/>
        <v>2.0430000000000001</v>
      </c>
      <c r="Z419" s="186">
        <f t="shared" si="27"/>
        <v>1.159</v>
      </c>
    </row>
    <row r="420" spans="1:45" s="177" customFormat="1">
      <c r="A420" s="132" t="s">
        <v>292</v>
      </c>
      <c r="B420" s="132" t="s">
        <v>293</v>
      </c>
      <c r="C420" s="107"/>
      <c r="D420" s="107"/>
      <c r="E420" s="230" t="s">
        <v>294</v>
      </c>
      <c r="F420" s="230" t="s">
        <v>294</v>
      </c>
      <c r="G420" s="48" t="s">
        <v>294</v>
      </c>
      <c r="H420" s="48" t="s">
        <v>294</v>
      </c>
      <c r="I420" s="48"/>
      <c r="J420" s="48"/>
      <c r="K420" s="48"/>
      <c r="L420" s="48"/>
      <c r="M420" s="230"/>
      <c r="N420" s="230"/>
      <c r="O420" s="230"/>
      <c r="P420" s="230"/>
      <c r="Q420" s="230"/>
      <c r="R420" s="230"/>
      <c r="S420" s="72"/>
      <c r="T420" s="72"/>
      <c r="U420" s="72"/>
      <c r="V420" s="35">
        <v>158</v>
      </c>
      <c r="W420" s="370">
        <f t="shared" si="24"/>
        <v>31.331400000000002</v>
      </c>
      <c r="X420" s="370">
        <f t="shared" si="25"/>
        <v>17.3642</v>
      </c>
      <c r="Y420" s="370">
        <f t="shared" si="26"/>
        <v>32.279400000000003</v>
      </c>
      <c r="Z420" s="370">
        <f t="shared" si="27"/>
        <v>18.312200000000001</v>
      </c>
      <c r="AA420" s="172"/>
      <c r="AB420" s="172"/>
      <c r="AC420" s="172"/>
      <c r="AD420" s="172"/>
      <c r="AE420" s="172"/>
      <c r="AF420" s="172"/>
      <c r="AG420" s="172"/>
      <c r="AH420" s="172"/>
      <c r="AI420" s="172"/>
      <c r="AJ420" s="172"/>
      <c r="AK420" s="172"/>
      <c r="AL420" s="172"/>
      <c r="AM420" s="172"/>
      <c r="AN420" s="172"/>
      <c r="AO420" s="172"/>
      <c r="AP420" s="172"/>
      <c r="AQ420" s="172"/>
      <c r="AR420" s="172"/>
      <c r="AS420" s="172"/>
    </row>
    <row r="421" spans="1:45" s="177" customFormat="1">
      <c r="A421" s="69" t="s">
        <v>295</v>
      </c>
      <c r="B421" s="69" t="s">
        <v>296</v>
      </c>
      <c r="C421" s="107"/>
      <c r="D421" s="107"/>
      <c r="E421" s="48" t="s">
        <v>298</v>
      </c>
      <c r="F421" s="48" t="s">
        <v>298</v>
      </c>
      <c r="G421" s="48" t="s">
        <v>298</v>
      </c>
      <c r="H421" s="48" t="s">
        <v>298</v>
      </c>
      <c r="I421" s="48"/>
      <c r="J421" s="48"/>
      <c r="K421" s="48"/>
      <c r="L421" s="48"/>
      <c r="M421" s="230"/>
      <c r="N421" s="230"/>
      <c r="O421" s="230"/>
      <c r="P421" s="230"/>
      <c r="Q421" s="230"/>
      <c r="R421" s="230"/>
      <c r="S421" s="72"/>
      <c r="T421" s="72"/>
      <c r="U421" s="72"/>
      <c r="V421" s="60">
        <v>22</v>
      </c>
      <c r="W421" s="186">
        <f t="shared" si="24"/>
        <v>4.3626000000000005</v>
      </c>
      <c r="X421" s="186">
        <f t="shared" si="25"/>
        <v>2.4177999999999997</v>
      </c>
      <c r="Y421" s="186">
        <f t="shared" si="26"/>
        <v>4.4946000000000002</v>
      </c>
      <c r="Z421" s="186">
        <f t="shared" si="27"/>
        <v>2.5498000000000003</v>
      </c>
      <c r="AA421" s="172"/>
      <c r="AB421" s="172"/>
      <c r="AC421" s="172"/>
      <c r="AD421" s="172"/>
      <c r="AE421" s="172"/>
      <c r="AF421" s="172"/>
      <c r="AG421" s="172"/>
      <c r="AH421" s="172"/>
      <c r="AI421" s="172"/>
      <c r="AJ421" s="172"/>
      <c r="AK421" s="172"/>
      <c r="AL421" s="172"/>
      <c r="AM421" s="172"/>
      <c r="AN421" s="172"/>
      <c r="AO421" s="172"/>
      <c r="AP421" s="172"/>
      <c r="AQ421" s="172"/>
      <c r="AR421" s="172"/>
      <c r="AS421" s="172"/>
    </row>
    <row r="422" spans="1:45" ht="27.6">
      <c r="A422" s="69" t="s">
        <v>299</v>
      </c>
      <c r="B422" s="142" t="s">
        <v>300</v>
      </c>
      <c r="C422" s="179"/>
      <c r="D422" s="179"/>
      <c r="E422" s="48" t="s">
        <v>302</v>
      </c>
      <c r="F422" s="48" t="s">
        <v>302</v>
      </c>
      <c r="G422" s="48" t="s">
        <v>302</v>
      </c>
      <c r="H422" s="48" t="s">
        <v>302</v>
      </c>
      <c r="I422" s="48"/>
      <c r="J422" s="48"/>
      <c r="K422" s="48"/>
      <c r="L422" s="48"/>
      <c r="M422" s="230"/>
      <c r="N422" s="230"/>
      <c r="O422" s="230"/>
      <c r="P422" s="155"/>
      <c r="Q422" s="155"/>
      <c r="R422" s="155"/>
      <c r="S422" s="63"/>
      <c r="T422" s="63"/>
      <c r="U422" s="63"/>
      <c r="V422" s="35">
        <v>52</v>
      </c>
      <c r="W422" s="370">
        <f t="shared" si="24"/>
        <v>10.3116</v>
      </c>
      <c r="X422" s="370">
        <f t="shared" si="25"/>
        <v>5.7148000000000003</v>
      </c>
      <c r="Y422" s="370">
        <f t="shared" si="26"/>
        <v>10.6236</v>
      </c>
      <c r="Z422" s="370">
        <f t="shared" si="27"/>
        <v>6.0267999999999997</v>
      </c>
    </row>
    <row r="423" spans="1:45">
      <c r="C423" s="171"/>
      <c r="D423" s="171"/>
      <c r="V423" s="170"/>
    </row>
    <row r="424" spans="1:45">
      <c r="C424" s="171"/>
      <c r="D424" s="171"/>
      <c r="V424" s="170"/>
    </row>
    <row r="425" spans="1:45">
      <c r="C425" s="171"/>
      <c r="D425" s="171"/>
      <c r="E425" s="162"/>
      <c r="F425" s="162"/>
      <c r="V425" s="170"/>
    </row>
    <row r="426" spans="1:45">
      <c r="C426" s="171"/>
      <c r="D426" s="171"/>
      <c r="V426" s="170"/>
    </row>
    <row r="427" spans="1:45">
      <c r="C427" s="171"/>
      <c r="D427" s="171"/>
      <c r="V427" s="170"/>
    </row>
    <row r="428" spans="1:45">
      <c r="V428" s="170"/>
    </row>
    <row r="429" spans="1:45">
      <c r="V429" s="170"/>
    </row>
    <row r="430" spans="1:45">
      <c r="V430" s="170"/>
    </row>
    <row r="431" spans="1:45">
      <c r="V431" s="170"/>
    </row>
    <row r="432" spans="1:45" s="253" customFormat="1">
      <c r="A432" s="171"/>
      <c r="B432" s="171"/>
      <c r="C432" s="237"/>
      <c r="D432" s="237"/>
      <c r="E432" s="205"/>
      <c r="F432" s="205"/>
      <c r="G432" s="205"/>
      <c r="H432" s="205"/>
      <c r="I432" s="205"/>
      <c r="J432" s="205"/>
      <c r="K432" s="205"/>
      <c r="L432" s="205"/>
      <c r="M432" s="205"/>
      <c r="N432" s="205"/>
      <c r="O432" s="205"/>
      <c r="P432" s="205"/>
      <c r="Q432" s="205"/>
      <c r="R432" s="205"/>
      <c r="S432" s="162"/>
      <c r="T432" s="162"/>
      <c r="U432" s="162"/>
      <c r="V432" s="170"/>
    </row>
    <row r="433" spans="1:22" s="253" customFormat="1">
      <c r="A433" s="171"/>
      <c r="B433" s="171"/>
      <c r="C433" s="237"/>
      <c r="D433" s="237"/>
      <c r="E433" s="205"/>
      <c r="F433" s="205"/>
      <c r="G433" s="205"/>
      <c r="H433" s="205"/>
      <c r="I433" s="205"/>
      <c r="J433" s="205"/>
      <c r="K433" s="205"/>
      <c r="L433" s="205"/>
      <c r="M433" s="205"/>
      <c r="N433" s="205"/>
      <c r="O433" s="205"/>
      <c r="P433" s="205"/>
      <c r="Q433" s="205"/>
      <c r="R433" s="205"/>
      <c r="S433" s="162"/>
      <c r="T433" s="162"/>
      <c r="U433" s="162"/>
      <c r="V433" s="170"/>
    </row>
    <row r="434" spans="1:22" s="253" customFormat="1">
      <c r="A434" s="171"/>
      <c r="B434" s="171"/>
      <c r="C434" s="237"/>
      <c r="D434" s="237"/>
      <c r="E434" s="205"/>
      <c r="F434" s="205"/>
      <c r="G434" s="205"/>
      <c r="H434" s="205"/>
      <c r="I434" s="205"/>
      <c r="J434" s="205"/>
      <c r="K434" s="205"/>
      <c r="L434" s="205"/>
      <c r="M434" s="205"/>
      <c r="N434" s="205"/>
      <c r="O434" s="205"/>
      <c r="P434" s="205"/>
      <c r="Q434" s="205"/>
      <c r="R434" s="205"/>
      <c r="S434" s="162"/>
      <c r="T434" s="162"/>
      <c r="U434" s="162"/>
      <c r="V434" s="170"/>
    </row>
    <row r="435" spans="1:22" s="253" customFormat="1">
      <c r="A435" s="171"/>
      <c r="B435" s="171"/>
      <c r="C435" s="237"/>
      <c r="D435" s="237"/>
      <c r="E435" s="205"/>
      <c r="F435" s="205"/>
      <c r="G435" s="205"/>
      <c r="H435" s="205"/>
      <c r="I435" s="205"/>
      <c r="J435" s="205"/>
      <c r="K435" s="205"/>
      <c r="L435" s="205"/>
      <c r="M435" s="205"/>
      <c r="N435" s="205"/>
      <c r="O435" s="205"/>
      <c r="P435" s="205"/>
      <c r="Q435" s="205"/>
      <c r="R435" s="205"/>
      <c r="S435" s="162"/>
      <c r="T435" s="162"/>
      <c r="U435" s="162"/>
      <c r="V435" s="170"/>
    </row>
    <row r="436" spans="1:22" s="253" customFormat="1">
      <c r="A436" s="171"/>
      <c r="B436" s="171"/>
      <c r="C436" s="237"/>
      <c r="D436" s="237"/>
      <c r="E436" s="205"/>
      <c r="F436" s="205"/>
      <c r="G436" s="205"/>
      <c r="H436" s="205"/>
      <c r="I436" s="205"/>
      <c r="J436" s="205"/>
      <c r="K436" s="205"/>
      <c r="L436" s="205"/>
      <c r="M436" s="205"/>
      <c r="N436" s="205"/>
      <c r="O436" s="205"/>
      <c r="P436" s="205"/>
      <c r="Q436" s="205"/>
      <c r="R436" s="205"/>
      <c r="S436" s="162"/>
      <c r="T436" s="162"/>
      <c r="U436" s="162"/>
      <c r="V436" s="170"/>
    </row>
    <row r="437" spans="1:22" s="253" customFormat="1">
      <c r="A437" s="171"/>
      <c r="B437" s="171"/>
      <c r="C437" s="237"/>
      <c r="D437" s="237"/>
      <c r="E437" s="205"/>
      <c r="F437" s="205"/>
      <c r="G437" s="205"/>
      <c r="H437" s="205"/>
      <c r="I437" s="205"/>
      <c r="J437" s="205"/>
      <c r="K437" s="205"/>
      <c r="L437" s="205"/>
      <c r="M437" s="205"/>
      <c r="N437" s="205"/>
      <c r="O437" s="205"/>
      <c r="P437" s="205"/>
      <c r="Q437" s="205"/>
      <c r="R437" s="205"/>
      <c r="S437" s="162"/>
      <c r="T437" s="162"/>
      <c r="U437" s="162"/>
      <c r="V437" s="170"/>
    </row>
    <row r="438" spans="1:22" s="253" customFormat="1">
      <c r="A438" s="171"/>
      <c r="B438" s="171"/>
      <c r="C438" s="237"/>
      <c r="D438" s="237"/>
      <c r="E438" s="205"/>
      <c r="F438" s="205"/>
      <c r="G438" s="205"/>
      <c r="H438" s="205"/>
      <c r="I438" s="205"/>
      <c r="J438" s="205"/>
      <c r="K438" s="205"/>
      <c r="L438" s="205"/>
      <c r="M438" s="205"/>
      <c r="N438" s="205"/>
      <c r="O438" s="205"/>
      <c r="P438" s="205"/>
      <c r="Q438" s="205"/>
      <c r="R438" s="205"/>
      <c r="S438" s="162"/>
      <c r="T438" s="162"/>
      <c r="U438" s="162"/>
      <c r="V438" s="170"/>
    </row>
    <row r="439" spans="1:22" s="253" customFormat="1">
      <c r="A439" s="171"/>
      <c r="B439" s="171"/>
      <c r="C439" s="237"/>
      <c r="D439" s="237"/>
      <c r="E439" s="205"/>
      <c r="F439" s="205"/>
      <c r="G439" s="205"/>
      <c r="H439" s="205"/>
      <c r="I439" s="205"/>
      <c r="J439" s="205"/>
      <c r="K439" s="205"/>
      <c r="L439" s="205"/>
      <c r="M439" s="205"/>
      <c r="N439" s="205"/>
      <c r="O439" s="205"/>
      <c r="P439" s="205"/>
      <c r="Q439" s="205"/>
      <c r="R439" s="205"/>
      <c r="S439" s="162"/>
      <c r="T439" s="162"/>
      <c r="U439" s="162"/>
      <c r="V439" s="170"/>
    </row>
  </sheetData>
  <mergeCells count="2">
    <mergeCell ref="W10:X10"/>
    <mergeCell ref="Y10:Z10"/>
  </mergeCell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F0"/>
  </sheetPr>
  <dimension ref="A1:N269"/>
  <sheetViews>
    <sheetView zoomScaleNormal="100" workbookViewId="0">
      <selection activeCell="A6" sqref="A6"/>
    </sheetView>
  </sheetViews>
  <sheetFormatPr baseColWidth="10" defaultColWidth="9.44140625" defaultRowHeight="13.8"/>
  <cols>
    <col min="1" max="1" width="94.5546875" style="164" customWidth="1"/>
    <col min="2" max="2" width="59.6640625" style="164" customWidth="1"/>
    <col min="3" max="3" width="32.5546875" style="164" customWidth="1"/>
    <col min="4" max="4" width="17.5546875" style="164" bestFit="1" customWidth="1"/>
    <col min="5" max="5" width="14.6640625" style="164" customWidth="1"/>
    <col min="6" max="6" width="30.33203125" style="164" customWidth="1"/>
    <col min="7" max="7" width="23.6640625" style="164" customWidth="1"/>
    <col min="8" max="9" width="17.44140625" style="164" customWidth="1"/>
    <col min="10" max="10" width="58.33203125" style="164" bestFit="1" customWidth="1"/>
    <col min="11" max="22" width="17.44140625" style="164" customWidth="1"/>
    <col min="23" max="16384" width="9.44140625" style="164"/>
  </cols>
  <sheetData>
    <row r="1" spans="1:14">
      <c r="D1" s="163"/>
    </row>
    <row r="2" spans="1:14">
      <c r="D2" s="163"/>
    </row>
    <row r="3" spans="1:14">
      <c r="D3" s="163"/>
    </row>
    <row r="4" spans="1:14">
      <c r="D4" s="163"/>
    </row>
    <row r="5" spans="1:14">
      <c r="D5" s="163"/>
    </row>
    <row r="6" spans="1:14">
      <c r="D6" s="163"/>
    </row>
    <row r="7" spans="1:14" ht="15.6">
      <c r="A7" s="128" t="s">
        <v>138</v>
      </c>
      <c r="D7" s="163"/>
    </row>
    <row r="8" spans="1:14" ht="31.2">
      <c r="A8" s="128" t="s">
        <v>139</v>
      </c>
      <c r="B8" s="38"/>
      <c r="C8" s="38"/>
      <c r="D8" s="163"/>
      <c r="E8" s="163"/>
      <c r="F8" s="50" t="s">
        <v>1542</v>
      </c>
      <c r="G8" s="50" t="s">
        <v>1542</v>
      </c>
      <c r="H8" s="50" t="s">
        <v>1542</v>
      </c>
      <c r="I8" s="50" t="s">
        <v>1542</v>
      </c>
      <c r="J8" s="163"/>
      <c r="K8" s="163"/>
      <c r="L8" s="163"/>
      <c r="M8" s="163"/>
      <c r="N8" s="163"/>
    </row>
    <row r="9" spans="1:14">
      <c r="A9" s="220"/>
      <c r="B9" s="38"/>
      <c r="C9" s="38"/>
      <c r="D9" s="148"/>
      <c r="E9" s="163"/>
      <c r="F9" s="202">
        <v>0.1983</v>
      </c>
      <c r="G9" s="202">
        <v>0.1099</v>
      </c>
      <c r="H9" s="202">
        <v>0.20430000000000001</v>
      </c>
      <c r="I9" s="202">
        <v>0.1159</v>
      </c>
      <c r="J9" s="163"/>
      <c r="K9" s="163"/>
      <c r="L9" s="163"/>
      <c r="M9" s="163"/>
      <c r="N9" s="163"/>
    </row>
    <row r="10" spans="1:14" ht="42.75" customHeight="1">
      <c r="A10" s="110" t="s">
        <v>931</v>
      </c>
      <c r="B10" s="31"/>
      <c r="C10" s="87"/>
      <c r="D10" s="229"/>
      <c r="E10" s="163"/>
      <c r="F10" s="395" t="s">
        <v>1543</v>
      </c>
      <c r="G10" s="396"/>
      <c r="H10" s="395" t="s">
        <v>1544</v>
      </c>
      <c r="I10" s="396"/>
      <c r="J10" s="163"/>
      <c r="K10" s="163"/>
      <c r="L10" s="163"/>
      <c r="M10" s="163"/>
      <c r="N10" s="163"/>
    </row>
    <row r="11" spans="1:14" ht="42" customHeight="1">
      <c r="A11" s="234" t="s">
        <v>932</v>
      </c>
      <c r="B11" s="234" t="s">
        <v>933</v>
      </c>
      <c r="C11" s="75" t="s">
        <v>934</v>
      </c>
      <c r="D11" s="225" t="s">
        <v>935</v>
      </c>
      <c r="F11" s="82" t="s">
        <v>1545</v>
      </c>
      <c r="G11" s="17" t="s">
        <v>1546</v>
      </c>
      <c r="H11" s="218" t="s">
        <v>1545</v>
      </c>
      <c r="I11" s="83" t="s">
        <v>1546</v>
      </c>
      <c r="J11" s="163"/>
      <c r="K11" s="163"/>
      <c r="L11" s="163"/>
      <c r="M11" s="163"/>
      <c r="N11" s="163"/>
    </row>
    <row r="12" spans="1:14">
      <c r="A12" s="15" t="s">
        <v>936</v>
      </c>
      <c r="B12" s="41"/>
      <c r="C12" s="41"/>
      <c r="D12" s="6"/>
      <c r="F12" s="219"/>
      <c r="G12" s="117"/>
      <c r="H12" s="219"/>
      <c r="I12" s="117"/>
      <c r="J12" s="163"/>
      <c r="K12" s="163"/>
      <c r="L12" s="163"/>
      <c r="M12" s="163"/>
      <c r="N12" s="163"/>
    </row>
    <row r="13" spans="1:14">
      <c r="A13" s="69" t="s">
        <v>937</v>
      </c>
      <c r="B13" s="48" t="s">
        <v>938</v>
      </c>
      <c r="C13" s="40" t="s">
        <v>939</v>
      </c>
      <c r="D13" s="114">
        <v>47</v>
      </c>
      <c r="F13" s="18">
        <f>D13*$F$9</f>
        <v>9.3201000000000001</v>
      </c>
      <c r="G13" s="92">
        <f>D13*$G$9</f>
        <v>5.1653000000000002</v>
      </c>
      <c r="H13" s="18">
        <f>D13*$H$9</f>
        <v>9.6021000000000001</v>
      </c>
      <c r="I13" s="92">
        <f>D13*$I$9</f>
        <v>5.4473000000000003</v>
      </c>
      <c r="J13" s="163"/>
      <c r="K13" s="163"/>
      <c r="L13" s="163"/>
      <c r="M13" s="163"/>
      <c r="N13" s="163"/>
    </row>
    <row r="14" spans="1:14">
      <c r="A14" s="69" t="s">
        <v>940</v>
      </c>
      <c r="B14" s="151" t="s">
        <v>941</v>
      </c>
      <c r="C14" s="40" t="s">
        <v>942</v>
      </c>
      <c r="D14" s="114">
        <v>126</v>
      </c>
      <c r="F14" s="18">
        <f t="shared" ref="F14:F68" si="0">D14*$F$9</f>
        <v>24.985800000000001</v>
      </c>
      <c r="G14" s="92">
        <f t="shared" ref="G14:G68" si="1">D14*$G$9</f>
        <v>13.8474</v>
      </c>
      <c r="H14" s="18">
        <f t="shared" ref="H14:H68" si="2">D14*$H$9</f>
        <v>25.741800000000001</v>
      </c>
      <c r="I14" s="92">
        <f t="shared" ref="I14:I68" si="3">D14*$I$9</f>
        <v>14.603400000000001</v>
      </c>
      <c r="J14" s="163"/>
      <c r="K14" s="163"/>
      <c r="L14" s="163"/>
      <c r="M14" s="163"/>
      <c r="N14" s="163"/>
    </row>
    <row r="15" spans="1:14">
      <c r="A15" s="69" t="s">
        <v>943</v>
      </c>
      <c r="B15" s="151" t="s">
        <v>944</v>
      </c>
      <c r="C15" s="40" t="s">
        <v>945</v>
      </c>
      <c r="D15" s="114">
        <v>185</v>
      </c>
      <c r="F15" s="18">
        <f t="shared" si="0"/>
        <v>36.685499999999998</v>
      </c>
      <c r="G15" s="92">
        <f t="shared" si="1"/>
        <v>20.331499999999998</v>
      </c>
      <c r="H15" s="18">
        <f t="shared" si="2"/>
        <v>37.795500000000004</v>
      </c>
      <c r="I15" s="92">
        <f t="shared" si="3"/>
        <v>21.441500000000001</v>
      </c>
      <c r="J15" s="163"/>
      <c r="K15" s="163"/>
      <c r="L15" s="163"/>
      <c r="M15" s="163"/>
      <c r="N15" s="163"/>
    </row>
    <row r="16" spans="1:14">
      <c r="A16" s="69"/>
      <c r="B16" s="48"/>
      <c r="C16" s="115"/>
      <c r="D16" s="47"/>
      <c r="F16" s="18"/>
      <c r="G16" s="92"/>
      <c r="H16" s="18"/>
      <c r="I16" s="92"/>
      <c r="J16" s="163"/>
      <c r="K16" s="163"/>
      <c r="L16" s="163"/>
      <c r="M16" s="163"/>
      <c r="N16" s="163"/>
    </row>
    <row r="17" spans="1:14">
      <c r="A17" s="15" t="s">
        <v>946</v>
      </c>
      <c r="B17" s="41"/>
      <c r="C17" s="41"/>
      <c r="D17" s="125"/>
      <c r="F17" s="125"/>
      <c r="G17" s="125"/>
      <c r="H17" s="125"/>
      <c r="I17" s="125"/>
      <c r="J17" s="163"/>
      <c r="K17" s="163"/>
      <c r="L17" s="163"/>
      <c r="M17" s="163"/>
      <c r="N17" s="163"/>
    </row>
    <row r="18" spans="1:14">
      <c r="A18" s="132" t="s">
        <v>947</v>
      </c>
      <c r="B18" s="230" t="s">
        <v>948</v>
      </c>
      <c r="C18" s="46" t="s">
        <v>949</v>
      </c>
      <c r="D18" s="114">
        <v>26</v>
      </c>
      <c r="F18" s="18">
        <f t="shared" si="0"/>
        <v>5.1558000000000002</v>
      </c>
      <c r="G18" s="92">
        <f t="shared" si="1"/>
        <v>2.8574000000000002</v>
      </c>
      <c r="H18" s="18">
        <f t="shared" si="2"/>
        <v>5.3117999999999999</v>
      </c>
      <c r="I18" s="92">
        <f t="shared" si="3"/>
        <v>3.0133999999999999</v>
      </c>
      <c r="J18" s="163"/>
      <c r="K18" s="163"/>
      <c r="L18" s="163"/>
      <c r="M18" s="163"/>
      <c r="N18" s="163"/>
    </row>
    <row r="19" spans="1:14">
      <c r="A19" s="132" t="s">
        <v>950</v>
      </c>
      <c r="B19" s="230" t="s">
        <v>951</v>
      </c>
      <c r="C19" s="46" t="s">
        <v>952</v>
      </c>
      <c r="D19" s="114">
        <v>380</v>
      </c>
      <c r="F19" s="18">
        <f t="shared" si="0"/>
        <v>75.353999999999999</v>
      </c>
      <c r="G19" s="92">
        <f t="shared" si="1"/>
        <v>41.762</v>
      </c>
      <c r="H19" s="18">
        <f t="shared" si="2"/>
        <v>77.634</v>
      </c>
      <c r="I19" s="92">
        <f t="shared" si="3"/>
        <v>44.042000000000002</v>
      </c>
      <c r="J19" s="163"/>
      <c r="K19" s="163"/>
      <c r="L19" s="163"/>
      <c r="M19" s="163"/>
      <c r="N19" s="163"/>
    </row>
    <row r="20" spans="1:14">
      <c r="A20" s="69"/>
      <c r="B20" s="48"/>
      <c r="C20" s="88"/>
      <c r="D20" s="47"/>
      <c r="F20" s="18"/>
      <c r="G20" s="92"/>
      <c r="H20" s="18"/>
      <c r="I20" s="92"/>
      <c r="J20" s="163"/>
      <c r="K20" s="163"/>
      <c r="L20" s="163"/>
      <c r="M20" s="163"/>
      <c r="N20" s="163"/>
    </row>
    <row r="21" spans="1:14">
      <c r="A21" s="15" t="s">
        <v>953</v>
      </c>
      <c r="B21" s="41"/>
      <c r="C21" s="41"/>
      <c r="D21" s="125"/>
      <c r="F21" s="125"/>
      <c r="G21" s="125"/>
      <c r="H21" s="125"/>
      <c r="I21" s="125"/>
      <c r="J21" s="163"/>
      <c r="K21" s="163"/>
      <c r="L21" s="163"/>
      <c r="M21" s="163"/>
      <c r="N21" s="163"/>
    </row>
    <row r="22" spans="1:14">
      <c r="A22" s="69" t="s">
        <v>954</v>
      </c>
      <c r="B22" s="48" t="s">
        <v>955</v>
      </c>
      <c r="C22" s="88" t="s">
        <v>956</v>
      </c>
      <c r="D22" s="114">
        <v>11</v>
      </c>
      <c r="F22" s="18">
        <f t="shared" si="0"/>
        <v>2.1813000000000002</v>
      </c>
      <c r="G22" s="92">
        <f t="shared" si="1"/>
        <v>1.2088999999999999</v>
      </c>
      <c r="H22" s="18">
        <f t="shared" si="2"/>
        <v>2.2473000000000001</v>
      </c>
      <c r="I22" s="92">
        <f t="shared" si="3"/>
        <v>1.2749000000000001</v>
      </c>
      <c r="J22" s="163"/>
      <c r="K22" s="163"/>
      <c r="L22" s="163"/>
      <c r="M22" s="163"/>
      <c r="N22" s="163"/>
    </row>
    <row r="23" spans="1:14">
      <c r="A23" s="69" t="s">
        <v>957</v>
      </c>
      <c r="B23" s="86" t="s">
        <v>958</v>
      </c>
      <c r="C23" s="88" t="s">
        <v>959</v>
      </c>
      <c r="D23" s="114">
        <v>122</v>
      </c>
      <c r="F23" s="18">
        <f t="shared" si="0"/>
        <v>24.192599999999999</v>
      </c>
      <c r="G23" s="92">
        <f t="shared" si="1"/>
        <v>13.4078</v>
      </c>
      <c r="H23" s="18">
        <f t="shared" si="2"/>
        <v>24.924600000000002</v>
      </c>
      <c r="I23" s="92">
        <f t="shared" si="3"/>
        <v>14.139800000000001</v>
      </c>
      <c r="J23" s="163"/>
      <c r="K23" s="163"/>
      <c r="L23" s="163"/>
      <c r="M23" s="163"/>
      <c r="N23" s="163"/>
    </row>
    <row r="24" spans="1:14" ht="14.4">
      <c r="A24" s="69" t="s">
        <v>960</v>
      </c>
      <c r="B24" s="71" t="s">
        <v>961</v>
      </c>
      <c r="C24" s="88" t="s">
        <v>962</v>
      </c>
      <c r="D24" s="114">
        <v>14</v>
      </c>
      <c r="F24" s="18">
        <f t="shared" si="0"/>
        <v>2.7762000000000002</v>
      </c>
      <c r="G24" s="92">
        <f t="shared" si="1"/>
        <v>1.5386</v>
      </c>
      <c r="H24" s="18">
        <f t="shared" si="2"/>
        <v>2.8602000000000003</v>
      </c>
      <c r="I24" s="92">
        <f t="shared" si="3"/>
        <v>1.6226</v>
      </c>
      <c r="J24" s="286"/>
      <c r="K24" s="163"/>
      <c r="L24" s="163"/>
      <c r="M24" s="163"/>
      <c r="N24" s="163"/>
    </row>
    <row r="25" spans="1:14" ht="14.4">
      <c r="A25" s="69" t="s">
        <v>963</v>
      </c>
      <c r="B25" s="86" t="s">
        <v>963</v>
      </c>
      <c r="C25" s="88" t="s">
        <v>964</v>
      </c>
      <c r="D25" s="114">
        <v>14</v>
      </c>
      <c r="F25" s="18">
        <f t="shared" si="0"/>
        <v>2.7762000000000002</v>
      </c>
      <c r="G25" s="92">
        <f t="shared" si="1"/>
        <v>1.5386</v>
      </c>
      <c r="H25" s="18">
        <f t="shared" si="2"/>
        <v>2.8602000000000003</v>
      </c>
      <c r="I25" s="92">
        <f t="shared" si="3"/>
        <v>1.6226</v>
      </c>
      <c r="J25" s="286"/>
      <c r="K25" s="163"/>
      <c r="L25" s="163"/>
      <c r="M25" s="163"/>
      <c r="N25" s="163"/>
    </row>
    <row r="26" spans="1:14">
      <c r="A26" s="132" t="s">
        <v>965</v>
      </c>
      <c r="B26" s="235" t="s">
        <v>966</v>
      </c>
      <c r="C26" s="88" t="s">
        <v>967</v>
      </c>
      <c r="D26" s="114">
        <v>30</v>
      </c>
      <c r="F26" s="18">
        <f t="shared" si="0"/>
        <v>5.9489999999999998</v>
      </c>
      <c r="G26" s="92">
        <f t="shared" si="1"/>
        <v>3.2969999999999997</v>
      </c>
      <c r="H26" s="18">
        <f t="shared" si="2"/>
        <v>6.1290000000000004</v>
      </c>
      <c r="I26" s="92">
        <f t="shared" si="3"/>
        <v>3.4770000000000003</v>
      </c>
      <c r="J26" s="163"/>
      <c r="K26" s="163"/>
      <c r="L26" s="163"/>
      <c r="M26" s="163"/>
      <c r="N26" s="163"/>
    </row>
    <row r="27" spans="1:14">
      <c r="A27" s="132" t="s">
        <v>968</v>
      </c>
      <c r="B27" s="235" t="s">
        <v>969</v>
      </c>
      <c r="C27" s="46" t="s">
        <v>970</v>
      </c>
      <c r="D27" s="114">
        <v>19</v>
      </c>
      <c r="F27" s="18">
        <f t="shared" si="0"/>
        <v>3.7677</v>
      </c>
      <c r="G27" s="92">
        <f t="shared" si="1"/>
        <v>2.0880999999999998</v>
      </c>
      <c r="H27" s="18">
        <f t="shared" si="2"/>
        <v>3.8817000000000004</v>
      </c>
      <c r="I27" s="92">
        <f t="shared" si="3"/>
        <v>2.2021000000000002</v>
      </c>
      <c r="J27" s="163"/>
      <c r="K27" s="163"/>
      <c r="L27" s="163"/>
      <c r="M27" s="163"/>
      <c r="N27" s="163"/>
    </row>
    <row r="28" spans="1:14" ht="14.4">
      <c r="A28" s="55" t="s">
        <v>1613</v>
      </c>
      <c r="B28" s="352" t="s">
        <v>971</v>
      </c>
      <c r="C28" s="353" t="s">
        <v>1614</v>
      </c>
      <c r="D28" s="143">
        <v>32</v>
      </c>
      <c r="E28"/>
      <c r="F28" s="143">
        <f>D28*$F$9</f>
        <v>6.3456000000000001</v>
      </c>
      <c r="G28" s="143">
        <f>D28*$G$9</f>
        <v>3.5167999999999999</v>
      </c>
      <c r="H28" s="143">
        <f>D28*$H$9</f>
        <v>6.5376000000000003</v>
      </c>
      <c r="I28" s="143">
        <f>D28*$I$9</f>
        <v>3.7088000000000001</v>
      </c>
      <c r="J28"/>
      <c r="K28" s="163"/>
      <c r="L28" s="163"/>
      <c r="M28" s="163"/>
      <c r="N28" s="163"/>
    </row>
    <row r="29" spans="1:14">
      <c r="A29" s="42" t="s">
        <v>972</v>
      </c>
      <c r="B29" s="42" t="s">
        <v>973</v>
      </c>
      <c r="C29" s="40" t="s">
        <v>974</v>
      </c>
      <c r="D29" s="114">
        <v>22</v>
      </c>
      <c r="F29" s="18">
        <f t="shared" si="0"/>
        <v>4.3626000000000005</v>
      </c>
      <c r="G29" s="92">
        <f t="shared" si="1"/>
        <v>2.4177999999999997</v>
      </c>
      <c r="H29" s="18">
        <f t="shared" si="2"/>
        <v>4.4946000000000002</v>
      </c>
      <c r="I29" s="92">
        <f t="shared" si="3"/>
        <v>2.5498000000000003</v>
      </c>
      <c r="J29" s="163"/>
      <c r="K29" s="163"/>
      <c r="L29" s="163"/>
      <c r="M29" s="163"/>
      <c r="N29" s="163"/>
    </row>
    <row r="30" spans="1:14">
      <c r="A30" s="42" t="s">
        <v>975</v>
      </c>
      <c r="B30" s="42" t="s">
        <v>976</v>
      </c>
      <c r="C30" s="40" t="s">
        <v>977</v>
      </c>
      <c r="D30" s="114">
        <v>12</v>
      </c>
      <c r="F30" s="18">
        <f t="shared" ref="F30" si="4">D30*$F$9</f>
        <v>2.3795999999999999</v>
      </c>
      <c r="G30" s="92">
        <f t="shared" ref="G30" si="5">D30*$G$9</f>
        <v>1.3188</v>
      </c>
      <c r="H30" s="18">
        <f t="shared" ref="H30" si="6">D30*$H$9</f>
        <v>2.4516</v>
      </c>
      <c r="I30" s="92">
        <f t="shared" ref="I30" si="7">D30*$I$9</f>
        <v>1.3908</v>
      </c>
      <c r="J30" s="163"/>
      <c r="K30" s="163"/>
      <c r="L30" s="163"/>
      <c r="M30" s="163"/>
      <c r="N30" s="163"/>
    </row>
    <row r="31" spans="1:14">
      <c r="A31" s="69"/>
      <c r="B31" s="48"/>
      <c r="C31" s="40"/>
      <c r="D31" s="47"/>
      <c r="F31" s="18"/>
      <c r="G31" s="92"/>
      <c r="H31" s="18"/>
      <c r="I31" s="92"/>
      <c r="J31" s="163"/>
      <c r="K31" s="163"/>
      <c r="L31" s="163"/>
      <c r="M31" s="163"/>
      <c r="N31" s="163"/>
    </row>
    <row r="32" spans="1:14">
      <c r="A32" s="15" t="s">
        <v>978</v>
      </c>
      <c r="B32" s="41"/>
      <c r="C32" s="41"/>
      <c r="D32" s="125"/>
      <c r="F32" s="125"/>
      <c r="G32" s="125"/>
      <c r="H32" s="125"/>
      <c r="I32" s="125"/>
      <c r="J32" s="163"/>
      <c r="K32" s="163"/>
      <c r="L32" s="163"/>
      <c r="M32" s="163"/>
      <c r="N32" s="163"/>
    </row>
    <row r="33" spans="1:14">
      <c r="A33" s="69" t="s">
        <v>979</v>
      </c>
      <c r="B33" s="48" t="s">
        <v>980</v>
      </c>
      <c r="C33" s="88" t="s">
        <v>981</v>
      </c>
      <c r="D33" s="114">
        <v>4</v>
      </c>
      <c r="F33" s="18">
        <f t="shared" si="0"/>
        <v>0.79320000000000002</v>
      </c>
      <c r="G33" s="92">
        <f t="shared" si="1"/>
        <v>0.43959999999999999</v>
      </c>
      <c r="H33" s="18">
        <f t="shared" si="2"/>
        <v>0.81720000000000004</v>
      </c>
      <c r="I33" s="92">
        <f t="shared" si="3"/>
        <v>0.46360000000000001</v>
      </c>
      <c r="J33" s="163"/>
      <c r="K33" s="163"/>
      <c r="L33" s="163"/>
      <c r="M33" s="163"/>
      <c r="N33" s="163"/>
    </row>
    <row r="34" spans="1:14">
      <c r="A34" s="69" t="s">
        <v>982</v>
      </c>
      <c r="B34" s="48" t="s">
        <v>983</v>
      </c>
      <c r="C34" s="88" t="s">
        <v>984</v>
      </c>
      <c r="D34" s="114">
        <v>13</v>
      </c>
      <c r="F34" s="18">
        <f t="shared" si="0"/>
        <v>2.5779000000000001</v>
      </c>
      <c r="G34" s="92">
        <f t="shared" si="1"/>
        <v>1.4287000000000001</v>
      </c>
      <c r="H34" s="18">
        <f t="shared" si="2"/>
        <v>2.6558999999999999</v>
      </c>
      <c r="I34" s="92">
        <f t="shared" si="3"/>
        <v>1.5066999999999999</v>
      </c>
      <c r="J34" s="163"/>
      <c r="K34" s="163"/>
      <c r="L34" s="163"/>
      <c r="M34" s="163"/>
      <c r="N34" s="163"/>
    </row>
    <row r="35" spans="1:14">
      <c r="A35" s="69" t="s">
        <v>985</v>
      </c>
      <c r="B35" s="48" t="s">
        <v>986</v>
      </c>
      <c r="C35" s="88" t="s">
        <v>987</v>
      </c>
      <c r="D35" s="114">
        <v>17</v>
      </c>
      <c r="F35" s="18">
        <f t="shared" si="0"/>
        <v>3.3711000000000002</v>
      </c>
      <c r="G35" s="92">
        <f t="shared" si="1"/>
        <v>1.8683000000000001</v>
      </c>
      <c r="H35" s="18">
        <f t="shared" si="2"/>
        <v>3.4731000000000001</v>
      </c>
      <c r="I35" s="92">
        <f t="shared" si="3"/>
        <v>1.9702999999999999</v>
      </c>
      <c r="J35" s="163"/>
      <c r="K35" s="163"/>
      <c r="L35" s="163"/>
      <c r="M35" s="163"/>
      <c r="N35" s="163"/>
    </row>
    <row r="36" spans="1:14">
      <c r="A36" s="69" t="s">
        <v>988</v>
      </c>
      <c r="B36" s="48" t="s">
        <v>989</v>
      </c>
      <c r="C36" s="88" t="s">
        <v>990</v>
      </c>
      <c r="D36" s="114">
        <v>28</v>
      </c>
      <c r="F36" s="18">
        <f t="shared" si="0"/>
        <v>5.5524000000000004</v>
      </c>
      <c r="G36" s="92">
        <f t="shared" si="1"/>
        <v>3.0771999999999999</v>
      </c>
      <c r="H36" s="18">
        <f t="shared" si="2"/>
        <v>5.7204000000000006</v>
      </c>
      <c r="I36" s="92">
        <f t="shared" si="3"/>
        <v>3.2452000000000001</v>
      </c>
      <c r="J36" s="163"/>
      <c r="K36" s="163"/>
      <c r="L36" s="163"/>
      <c r="M36" s="163"/>
      <c r="N36" s="163"/>
    </row>
    <row r="37" spans="1:14">
      <c r="A37" s="69" t="s">
        <v>991</v>
      </c>
      <c r="B37" s="48" t="s">
        <v>992</v>
      </c>
      <c r="C37" s="88" t="s">
        <v>993</v>
      </c>
      <c r="D37" s="114">
        <v>32</v>
      </c>
      <c r="F37" s="18">
        <f t="shared" si="0"/>
        <v>6.3456000000000001</v>
      </c>
      <c r="G37" s="92">
        <f t="shared" si="1"/>
        <v>3.5167999999999999</v>
      </c>
      <c r="H37" s="18">
        <f t="shared" si="2"/>
        <v>6.5376000000000003</v>
      </c>
      <c r="I37" s="92">
        <f t="shared" si="3"/>
        <v>3.7088000000000001</v>
      </c>
      <c r="J37" s="163"/>
      <c r="K37" s="163"/>
      <c r="L37" s="163"/>
      <c r="M37" s="163"/>
      <c r="N37" s="163"/>
    </row>
    <row r="38" spans="1:14">
      <c r="A38" s="132" t="s">
        <v>994</v>
      </c>
      <c r="B38" s="230" t="s">
        <v>284</v>
      </c>
      <c r="C38" s="116" t="s">
        <v>995</v>
      </c>
      <c r="D38" s="114">
        <v>33</v>
      </c>
      <c r="F38" s="18">
        <f t="shared" si="0"/>
        <v>6.5438999999999998</v>
      </c>
      <c r="G38" s="92">
        <f t="shared" si="1"/>
        <v>3.6267</v>
      </c>
      <c r="H38" s="18">
        <f t="shared" si="2"/>
        <v>6.7419000000000002</v>
      </c>
      <c r="I38" s="92">
        <f t="shared" si="3"/>
        <v>3.8247</v>
      </c>
      <c r="J38" s="163"/>
      <c r="K38" s="163"/>
      <c r="L38" s="163"/>
      <c r="M38" s="163"/>
      <c r="N38" s="163"/>
    </row>
    <row r="39" spans="1:14" ht="14.4">
      <c r="A39" s="69" t="s">
        <v>1907</v>
      </c>
      <c r="B39" s="354" t="s">
        <v>1906</v>
      </c>
      <c r="C39" s="355" t="s">
        <v>1905</v>
      </c>
      <c r="D39" s="143">
        <v>36</v>
      </c>
      <c r="E39"/>
      <c r="F39" s="143">
        <f>D39*$F$9</f>
        <v>7.1387999999999998</v>
      </c>
      <c r="G39" s="143">
        <f>D39*$G$9</f>
        <v>3.9563999999999999</v>
      </c>
      <c r="H39" s="143">
        <f>D39*$H$9</f>
        <v>7.3548</v>
      </c>
      <c r="I39" s="143">
        <f>D39*$I$9</f>
        <v>4.1723999999999997</v>
      </c>
      <c r="J39" s="163"/>
      <c r="K39" s="163"/>
      <c r="L39" s="163"/>
      <c r="M39" s="163"/>
      <c r="N39" s="163"/>
    </row>
    <row r="40" spans="1:14">
      <c r="A40" s="69" t="s">
        <v>996</v>
      </c>
      <c r="B40" s="48" t="s">
        <v>997</v>
      </c>
      <c r="C40" s="88" t="s">
        <v>998</v>
      </c>
      <c r="D40" s="114">
        <v>5</v>
      </c>
      <c r="F40" s="18">
        <f t="shared" si="0"/>
        <v>0.99150000000000005</v>
      </c>
      <c r="G40" s="92">
        <f t="shared" si="1"/>
        <v>0.54949999999999999</v>
      </c>
      <c r="H40" s="18">
        <f t="shared" si="2"/>
        <v>1.0215000000000001</v>
      </c>
      <c r="I40" s="92">
        <f t="shared" si="3"/>
        <v>0.57950000000000002</v>
      </c>
      <c r="J40" s="163"/>
      <c r="K40" s="163"/>
      <c r="L40" s="163"/>
      <c r="M40" s="163"/>
      <c r="N40" s="163"/>
    </row>
    <row r="41" spans="1:14">
      <c r="A41" s="69" t="s">
        <v>999</v>
      </c>
      <c r="B41" s="48" t="s">
        <v>1000</v>
      </c>
      <c r="C41" s="88" t="s">
        <v>1001</v>
      </c>
      <c r="D41" s="114">
        <v>58</v>
      </c>
      <c r="F41" s="18">
        <f t="shared" si="0"/>
        <v>11.5014</v>
      </c>
      <c r="G41" s="92">
        <f t="shared" si="1"/>
        <v>6.3742000000000001</v>
      </c>
      <c r="H41" s="18">
        <f t="shared" si="2"/>
        <v>11.849400000000001</v>
      </c>
      <c r="I41" s="92">
        <f t="shared" si="3"/>
        <v>6.7222</v>
      </c>
      <c r="J41" s="163"/>
      <c r="K41" s="163"/>
      <c r="L41" s="163"/>
      <c r="M41" s="163"/>
      <c r="N41" s="163"/>
    </row>
    <row r="42" spans="1:14">
      <c r="A42" s="69" t="s">
        <v>1002</v>
      </c>
      <c r="B42" s="48" t="s">
        <v>1003</v>
      </c>
      <c r="C42" s="88" t="s">
        <v>1004</v>
      </c>
      <c r="D42" s="114">
        <v>447</v>
      </c>
      <c r="F42" s="18">
        <f t="shared" si="0"/>
        <v>88.640100000000004</v>
      </c>
      <c r="G42" s="92">
        <f t="shared" si="1"/>
        <v>49.125299999999996</v>
      </c>
      <c r="H42" s="18">
        <f t="shared" si="2"/>
        <v>91.322100000000006</v>
      </c>
      <c r="I42" s="92">
        <f t="shared" si="3"/>
        <v>51.807299999999998</v>
      </c>
      <c r="J42" s="163"/>
      <c r="K42" s="163"/>
      <c r="L42" s="163"/>
      <c r="M42" s="163"/>
      <c r="N42" s="163"/>
    </row>
    <row r="43" spans="1:14">
      <c r="A43" s="42" t="s">
        <v>1005</v>
      </c>
      <c r="B43" s="42" t="s">
        <v>1006</v>
      </c>
      <c r="C43" s="40" t="s">
        <v>1007</v>
      </c>
      <c r="D43" s="114">
        <v>10</v>
      </c>
      <c r="F43" s="18">
        <f t="shared" si="0"/>
        <v>1.9830000000000001</v>
      </c>
      <c r="G43" s="92">
        <f t="shared" si="1"/>
        <v>1.099</v>
      </c>
      <c r="H43" s="18">
        <f t="shared" si="2"/>
        <v>2.0430000000000001</v>
      </c>
      <c r="I43" s="92">
        <f t="shared" si="3"/>
        <v>1.159</v>
      </c>
      <c r="J43" s="163"/>
      <c r="K43" s="163"/>
      <c r="L43" s="163"/>
      <c r="M43" s="163"/>
      <c r="N43" s="163"/>
    </row>
    <row r="44" spans="1:14">
      <c r="A44" s="69" t="s">
        <v>1008</v>
      </c>
      <c r="B44" s="48" t="s">
        <v>1009</v>
      </c>
      <c r="C44" s="44" t="s">
        <v>1010</v>
      </c>
      <c r="D44" s="47">
        <v>6</v>
      </c>
      <c r="F44" s="18">
        <f t="shared" ref="F44" si="8">D44*$F$9</f>
        <v>1.1898</v>
      </c>
      <c r="G44" s="92">
        <f t="shared" ref="G44" si="9">D44*$G$9</f>
        <v>0.65939999999999999</v>
      </c>
      <c r="H44" s="18">
        <f t="shared" ref="H44" si="10">D44*$H$9</f>
        <v>1.2258</v>
      </c>
      <c r="I44" s="92">
        <f t="shared" ref="I44" si="11">D44*$I$9</f>
        <v>0.69540000000000002</v>
      </c>
      <c r="J44" s="163"/>
      <c r="K44" s="163"/>
      <c r="L44" s="163"/>
      <c r="M44" s="163"/>
      <c r="N44" s="163"/>
    </row>
    <row r="45" spans="1:14">
      <c r="A45" s="69"/>
      <c r="B45" s="48"/>
      <c r="C45" s="88"/>
      <c r="D45" s="47"/>
      <c r="F45" s="18"/>
      <c r="G45" s="92"/>
      <c r="H45" s="18"/>
      <c r="I45" s="92"/>
      <c r="J45" s="163"/>
      <c r="K45" s="163"/>
      <c r="L45" s="163"/>
      <c r="M45" s="163"/>
      <c r="N45" s="163"/>
    </row>
    <row r="46" spans="1:14">
      <c r="A46" s="15" t="s">
        <v>1011</v>
      </c>
      <c r="B46" s="41"/>
      <c r="C46" s="41"/>
      <c r="D46" s="125"/>
      <c r="F46" s="125"/>
      <c r="G46" s="125"/>
      <c r="H46" s="125"/>
      <c r="I46" s="125"/>
      <c r="J46" s="163"/>
      <c r="K46" s="163"/>
      <c r="L46" s="163"/>
      <c r="M46" s="163"/>
      <c r="N46" s="163"/>
    </row>
    <row r="47" spans="1:14">
      <c r="A47" s="132" t="s">
        <v>1012</v>
      </c>
      <c r="B47" s="235" t="s">
        <v>1013</v>
      </c>
      <c r="C47" s="46" t="s">
        <v>1014</v>
      </c>
      <c r="D47" s="114">
        <v>18</v>
      </c>
      <c r="F47" s="18">
        <f t="shared" si="0"/>
        <v>3.5693999999999999</v>
      </c>
      <c r="G47" s="92">
        <f t="shared" si="1"/>
        <v>1.9782</v>
      </c>
      <c r="H47" s="18">
        <f t="shared" si="2"/>
        <v>3.6774</v>
      </c>
      <c r="I47" s="92">
        <f t="shared" si="3"/>
        <v>2.0861999999999998</v>
      </c>
      <c r="J47" s="163"/>
      <c r="K47" s="163"/>
      <c r="L47" s="163"/>
      <c r="M47" s="163"/>
      <c r="N47" s="163"/>
    </row>
    <row r="48" spans="1:14">
      <c r="A48" s="132" t="s">
        <v>1015</v>
      </c>
      <c r="B48" s="235" t="s">
        <v>1016</v>
      </c>
      <c r="C48" s="46" t="s">
        <v>1017</v>
      </c>
      <c r="D48" s="114">
        <v>66</v>
      </c>
      <c r="F48" s="18">
        <f t="shared" si="0"/>
        <v>13.0878</v>
      </c>
      <c r="G48" s="92">
        <f t="shared" si="1"/>
        <v>7.2534000000000001</v>
      </c>
      <c r="H48" s="18">
        <f t="shared" si="2"/>
        <v>13.4838</v>
      </c>
      <c r="I48" s="92">
        <f t="shared" si="3"/>
        <v>7.6494</v>
      </c>
      <c r="J48" s="163"/>
      <c r="K48" s="163"/>
      <c r="L48" s="163"/>
      <c r="M48" s="163"/>
      <c r="N48" s="163"/>
    </row>
    <row r="49" spans="1:14">
      <c r="A49" s="129"/>
      <c r="B49" s="129"/>
      <c r="C49" s="26"/>
      <c r="D49" s="47"/>
      <c r="F49" s="18"/>
      <c r="G49" s="92"/>
      <c r="H49" s="18"/>
      <c r="I49" s="92"/>
      <c r="J49" s="163"/>
      <c r="K49" s="163"/>
      <c r="L49" s="163"/>
      <c r="M49" s="163"/>
      <c r="N49" s="163"/>
    </row>
    <row r="50" spans="1:14">
      <c r="A50" s="15" t="s">
        <v>1018</v>
      </c>
      <c r="B50" s="41"/>
      <c r="C50" s="41"/>
      <c r="D50" s="125"/>
      <c r="F50" s="125"/>
      <c r="G50" s="125"/>
      <c r="H50" s="125"/>
      <c r="I50" s="125"/>
      <c r="J50" s="163"/>
      <c r="K50" s="163"/>
      <c r="L50" s="163"/>
      <c r="M50" s="163"/>
      <c r="N50" s="163"/>
    </row>
    <row r="51" spans="1:14">
      <c r="A51" s="230" t="s">
        <v>1019</v>
      </c>
      <c r="B51" s="230" t="s">
        <v>1019</v>
      </c>
      <c r="C51" s="46" t="s">
        <v>1020</v>
      </c>
      <c r="D51" s="114">
        <v>28</v>
      </c>
      <c r="F51" s="18">
        <f t="shared" si="0"/>
        <v>5.5524000000000004</v>
      </c>
      <c r="G51" s="92">
        <f t="shared" si="1"/>
        <v>3.0771999999999999</v>
      </c>
      <c r="H51" s="18">
        <f t="shared" si="2"/>
        <v>5.7204000000000006</v>
      </c>
      <c r="I51" s="92">
        <f t="shared" si="3"/>
        <v>3.2452000000000001</v>
      </c>
      <c r="J51" s="163"/>
      <c r="K51" s="163"/>
      <c r="L51" s="163"/>
      <c r="M51" s="163"/>
      <c r="N51" s="163"/>
    </row>
    <row r="52" spans="1:14" ht="14.25" customHeight="1">
      <c r="A52" s="230" t="s">
        <v>1021</v>
      </c>
      <c r="B52" s="230" t="s">
        <v>1021</v>
      </c>
      <c r="C52" s="105" t="s">
        <v>1022</v>
      </c>
      <c r="D52" s="114">
        <v>48</v>
      </c>
      <c r="F52" s="18">
        <f t="shared" si="0"/>
        <v>9.5183999999999997</v>
      </c>
      <c r="G52" s="92">
        <f t="shared" si="1"/>
        <v>5.2751999999999999</v>
      </c>
      <c r="H52" s="18">
        <f t="shared" si="2"/>
        <v>9.8064</v>
      </c>
      <c r="I52" s="92">
        <f t="shared" si="3"/>
        <v>5.5632000000000001</v>
      </c>
      <c r="J52" s="163"/>
      <c r="K52" s="163"/>
      <c r="L52" s="163"/>
      <c r="M52" s="163"/>
      <c r="N52" s="163"/>
    </row>
    <row r="53" spans="1:14" ht="14.25" customHeight="1">
      <c r="A53" s="48" t="s">
        <v>1023</v>
      </c>
      <c r="B53" s="48" t="s">
        <v>1024</v>
      </c>
      <c r="C53" s="26" t="s">
        <v>1025</v>
      </c>
      <c r="D53" s="47">
        <v>21</v>
      </c>
      <c r="F53" s="18">
        <f t="shared" si="0"/>
        <v>4.1642999999999999</v>
      </c>
      <c r="G53" s="92">
        <f t="shared" si="1"/>
        <v>2.3079000000000001</v>
      </c>
      <c r="H53" s="18">
        <f t="shared" si="2"/>
        <v>4.2903000000000002</v>
      </c>
      <c r="I53" s="92">
        <f t="shared" si="3"/>
        <v>2.4339</v>
      </c>
      <c r="J53" s="163"/>
      <c r="K53" s="163"/>
      <c r="L53" s="163"/>
      <c r="M53" s="163"/>
      <c r="N53" s="163"/>
    </row>
    <row r="54" spans="1:14" ht="14.25" customHeight="1">
      <c r="A54" s="69" t="s">
        <v>1026</v>
      </c>
      <c r="B54" s="69" t="s">
        <v>1027</v>
      </c>
      <c r="C54" s="40" t="s">
        <v>1028</v>
      </c>
      <c r="D54" s="198">
        <v>24</v>
      </c>
      <c r="F54" s="18">
        <f t="shared" si="0"/>
        <v>4.7591999999999999</v>
      </c>
      <c r="G54" s="92">
        <f t="shared" si="1"/>
        <v>2.6375999999999999</v>
      </c>
      <c r="H54" s="18">
        <f t="shared" si="2"/>
        <v>4.9032</v>
      </c>
      <c r="I54" s="92">
        <f t="shared" si="3"/>
        <v>2.7816000000000001</v>
      </c>
      <c r="J54" s="163"/>
      <c r="K54" s="163"/>
      <c r="L54" s="163"/>
      <c r="M54" s="163"/>
      <c r="N54" s="163"/>
    </row>
    <row r="55" spans="1:14" ht="14.25" customHeight="1">
      <c r="A55" s="69" t="s">
        <v>1029</v>
      </c>
      <c r="B55" s="69" t="s">
        <v>1030</v>
      </c>
      <c r="C55" s="40" t="s">
        <v>1031</v>
      </c>
      <c r="D55" s="198">
        <v>28</v>
      </c>
      <c r="F55" s="18">
        <f t="shared" si="0"/>
        <v>5.5524000000000004</v>
      </c>
      <c r="G55" s="92">
        <f t="shared" si="1"/>
        <v>3.0771999999999999</v>
      </c>
      <c r="H55" s="18">
        <f t="shared" si="2"/>
        <v>5.7204000000000006</v>
      </c>
      <c r="I55" s="92">
        <f t="shared" si="3"/>
        <v>3.2452000000000001</v>
      </c>
      <c r="J55" s="163"/>
      <c r="K55" s="163"/>
      <c r="L55" s="163"/>
      <c r="M55" s="163"/>
      <c r="N55" s="163"/>
    </row>
    <row r="56" spans="1:14">
      <c r="A56" s="69" t="s">
        <v>1032</v>
      </c>
      <c r="B56" s="71" t="s">
        <v>1033</v>
      </c>
      <c r="C56" s="88" t="s">
        <v>1034</v>
      </c>
      <c r="D56" s="47">
        <v>31</v>
      </c>
      <c r="F56" s="18">
        <f t="shared" si="0"/>
        <v>6.1473000000000004</v>
      </c>
      <c r="G56" s="92">
        <f t="shared" si="1"/>
        <v>3.4068999999999998</v>
      </c>
      <c r="H56" s="18">
        <f t="shared" si="2"/>
        <v>6.3333000000000004</v>
      </c>
      <c r="I56" s="92">
        <f t="shared" si="3"/>
        <v>3.5929000000000002</v>
      </c>
      <c r="J56" s="163"/>
      <c r="K56" s="163"/>
      <c r="L56" s="163"/>
      <c r="M56" s="163"/>
      <c r="N56" s="163"/>
    </row>
    <row r="57" spans="1:14" ht="14.25" customHeight="1">
      <c r="A57" s="69" t="s">
        <v>1035</v>
      </c>
      <c r="B57" s="71" t="s">
        <v>1036</v>
      </c>
      <c r="C57" s="40" t="s">
        <v>1037</v>
      </c>
      <c r="D57" s="51">
        <v>35</v>
      </c>
      <c r="F57" s="18">
        <f t="shared" si="0"/>
        <v>6.9405000000000001</v>
      </c>
      <c r="G57" s="92">
        <f t="shared" si="1"/>
        <v>3.8464999999999998</v>
      </c>
      <c r="H57" s="18">
        <f t="shared" si="2"/>
        <v>7.1505000000000001</v>
      </c>
      <c r="I57" s="92">
        <f t="shared" si="3"/>
        <v>4.0564999999999998</v>
      </c>
      <c r="J57" s="163"/>
      <c r="K57" s="163"/>
      <c r="L57" s="163"/>
      <c r="M57" s="163"/>
      <c r="N57" s="163"/>
    </row>
    <row r="58" spans="1:14" ht="14.25" customHeight="1">
      <c r="A58" s="48" t="s">
        <v>1038</v>
      </c>
      <c r="B58" s="48" t="s">
        <v>1039</v>
      </c>
      <c r="C58" s="26" t="s">
        <v>1040</v>
      </c>
      <c r="D58" s="47">
        <v>42</v>
      </c>
      <c r="F58" s="18">
        <f t="shared" si="0"/>
        <v>8.3285999999999998</v>
      </c>
      <c r="G58" s="92">
        <f t="shared" si="1"/>
        <v>4.6158000000000001</v>
      </c>
      <c r="H58" s="18">
        <f t="shared" si="2"/>
        <v>8.5806000000000004</v>
      </c>
      <c r="I58" s="92">
        <f t="shared" si="3"/>
        <v>4.8677999999999999</v>
      </c>
      <c r="J58" s="163"/>
      <c r="K58" s="163"/>
      <c r="L58" s="163"/>
      <c r="M58" s="163"/>
      <c r="N58" s="163"/>
    </row>
    <row r="59" spans="1:14" ht="27.6">
      <c r="A59" s="48" t="s">
        <v>1041</v>
      </c>
      <c r="B59" s="48" t="s">
        <v>1042</v>
      </c>
      <c r="C59" s="88" t="s">
        <v>1043</v>
      </c>
      <c r="D59" s="47">
        <v>71</v>
      </c>
      <c r="F59" s="18">
        <f t="shared" si="0"/>
        <v>14.0793</v>
      </c>
      <c r="G59" s="92">
        <f t="shared" si="1"/>
        <v>7.8029000000000002</v>
      </c>
      <c r="H59" s="18">
        <f t="shared" si="2"/>
        <v>14.5053</v>
      </c>
      <c r="I59" s="92">
        <f t="shared" si="3"/>
        <v>8.2288999999999994</v>
      </c>
      <c r="J59" s="163"/>
      <c r="K59" s="163"/>
      <c r="L59" s="163"/>
      <c r="M59" s="163"/>
      <c r="N59" s="163"/>
    </row>
    <row r="60" spans="1:14">
      <c r="A60" s="29" t="s">
        <v>1044</v>
      </c>
      <c r="B60" s="37" t="s">
        <v>1045</v>
      </c>
      <c r="C60" s="115" t="s">
        <v>1046</v>
      </c>
      <c r="D60" s="47">
        <v>79</v>
      </c>
      <c r="F60" s="18">
        <f t="shared" si="0"/>
        <v>15.665700000000001</v>
      </c>
      <c r="G60" s="92">
        <f t="shared" si="1"/>
        <v>8.6821000000000002</v>
      </c>
      <c r="H60" s="18">
        <f t="shared" si="2"/>
        <v>16.139700000000001</v>
      </c>
      <c r="I60" s="92">
        <f t="shared" si="3"/>
        <v>9.1561000000000003</v>
      </c>
      <c r="J60" s="163"/>
      <c r="K60" s="163"/>
      <c r="L60" s="163"/>
      <c r="M60" s="163"/>
      <c r="N60" s="163"/>
    </row>
    <row r="61" spans="1:14">
      <c r="A61" s="69" t="s">
        <v>1047</v>
      </c>
      <c r="B61" s="48" t="s">
        <v>1048</v>
      </c>
      <c r="C61" s="88" t="s">
        <v>1049</v>
      </c>
      <c r="D61" s="47">
        <v>93</v>
      </c>
      <c r="F61" s="18">
        <f t="shared" si="0"/>
        <v>18.4419</v>
      </c>
      <c r="G61" s="92">
        <f t="shared" si="1"/>
        <v>10.220699999999999</v>
      </c>
      <c r="H61" s="18">
        <f t="shared" si="2"/>
        <v>18.9999</v>
      </c>
      <c r="I61" s="92">
        <f t="shared" si="3"/>
        <v>10.778700000000001</v>
      </c>
      <c r="J61" s="163"/>
      <c r="K61" s="163"/>
      <c r="L61" s="163"/>
      <c r="M61" s="163"/>
      <c r="N61" s="163"/>
    </row>
    <row r="62" spans="1:14">
      <c r="A62" s="69" t="s">
        <v>1050</v>
      </c>
      <c r="B62" s="48" t="s">
        <v>1051</v>
      </c>
      <c r="C62" s="88" t="s">
        <v>1052</v>
      </c>
      <c r="D62" s="47">
        <v>105</v>
      </c>
      <c r="F62" s="18">
        <f t="shared" si="0"/>
        <v>20.8215</v>
      </c>
      <c r="G62" s="92">
        <f t="shared" si="1"/>
        <v>11.5395</v>
      </c>
      <c r="H62" s="18">
        <f t="shared" si="2"/>
        <v>21.451499999999999</v>
      </c>
      <c r="I62" s="92">
        <f t="shared" si="3"/>
        <v>12.169500000000001</v>
      </c>
      <c r="J62" s="163"/>
      <c r="K62" s="163"/>
      <c r="L62" s="163"/>
      <c r="M62" s="163"/>
      <c r="N62" s="163"/>
    </row>
    <row r="63" spans="1:14">
      <c r="A63" s="69" t="s">
        <v>1053</v>
      </c>
      <c r="B63" s="48" t="s">
        <v>1054</v>
      </c>
      <c r="C63" s="88" t="s">
        <v>1055</v>
      </c>
      <c r="D63" s="47">
        <v>121</v>
      </c>
      <c r="F63" s="18">
        <f t="shared" si="0"/>
        <v>23.994299999999999</v>
      </c>
      <c r="G63" s="92">
        <f t="shared" si="1"/>
        <v>13.2979</v>
      </c>
      <c r="H63" s="18">
        <f t="shared" si="2"/>
        <v>24.720300000000002</v>
      </c>
      <c r="I63" s="92">
        <f t="shared" si="3"/>
        <v>14.023900000000001</v>
      </c>
      <c r="J63" s="163"/>
      <c r="K63" s="163"/>
      <c r="L63" s="163"/>
      <c r="M63" s="163"/>
      <c r="N63" s="163"/>
    </row>
    <row r="64" spans="1:14" ht="27.6">
      <c r="A64" s="69" t="s">
        <v>1056</v>
      </c>
      <c r="B64" s="48" t="s">
        <v>1057</v>
      </c>
      <c r="C64" s="88" t="s">
        <v>1058</v>
      </c>
      <c r="D64" s="47">
        <v>130</v>
      </c>
      <c r="F64" s="18">
        <f t="shared" si="0"/>
        <v>25.779</v>
      </c>
      <c r="G64" s="92">
        <f t="shared" si="1"/>
        <v>14.286999999999999</v>
      </c>
      <c r="H64" s="18">
        <f t="shared" si="2"/>
        <v>26.559000000000001</v>
      </c>
      <c r="I64" s="92">
        <f t="shared" si="3"/>
        <v>15.067</v>
      </c>
      <c r="J64" s="163"/>
      <c r="K64" s="163"/>
      <c r="L64" s="163"/>
      <c r="M64" s="163"/>
      <c r="N64" s="163"/>
    </row>
    <row r="65" spans="1:14">
      <c r="A65" s="69" t="s">
        <v>1059</v>
      </c>
      <c r="B65" s="48" t="s">
        <v>1060</v>
      </c>
      <c r="C65" s="88" t="s">
        <v>1061</v>
      </c>
      <c r="D65" s="47">
        <v>3</v>
      </c>
      <c r="F65" s="18">
        <f t="shared" ref="F65" si="12">D65*$F$9</f>
        <v>0.59489999999999998</v>
      </c>
      <c r="G65" s="92">
        <f t="shared" ref="G65" si="13">D65*$G$9</f>
        <v>0.32969999999999999</v>
      </c>
      <c r="H65" s="18">
        <f t="shared" ref="H65" si="14">D65*$H$9</f>
        <v>0.6129</v>
      </c>
      <c r="I65" s="92">
        <f t="shared" ref="I65" si="15">D65*$I$9</f>
        <v>0.34770000000000001</v>
      </c>
      <c r="J65" s="163"/>
      <c r="K65" s="163"/>
      <c r="L65" s="163"/>
      <c r="M65" s="163"/>
      <c r="N65" s="163"/>
    </row>
    <row r="66" spans="1:14" ht="14.4">
      <c r="A66" s="356" t="s">
        <v>1062</v>
      </c>
      <c r="B66" s="69" t="s">
        <v>1063</v>
      </c>
      <c r="C66" s="2" t="s">
        <v>1612</v>
      </c>
      <c r="D66" s="47">
        <v>65</v>
      </c>
      <c r="E66"/>
      <c r="F66" s="47">
        <f>D66*$F$9</f>
        <v>12.8895</v>
      </c>
      <c r="G66" s="47">
        <f>D66*$G$9</f>
        <v>7.1434999999999995</v>
      </c>
      <c r="H66" s="47">
        <f>D66*$H$9</f>
        <v>13.279500000000001</v>
      </c>
      <c r="I66" s="47">
        <f>D66*$I$9</f>
        <v>7.5335000000000001</v>
      </c>
      <c r="J66"/>
      <c r="K66" s="163"/>
      <c r="L66" s="163"/>
      <c r="M66" s="163"/>
      <c r="N66" s="163"/>
    </row>
    <row r="67" spans="1:14" ht="15">
      <c r="A67" s="356" t="s">
        <v>1064</v>
      </c>
      <c r="B67" s="357" t="s">
        <v>1065</v>
      </c>
      <c r="C67" s="358" t="s">
        <v>1066</v>
      </c>
      <c r="D67" s="47">
        <v>120</v>
      </c>
      <c r="E67"/>
      <c r="F67" s="47">
        <f>D67*$F$9</f>
        <v>23.795999999999999</v>
      </c>
      <c r="G67" s="47">
        <f>D67*$G$9</f>
        <v>13.187999999999999</v>
      </c>
      <c r="H67" s="47">
        <f>D67*$H$9</f>
        <v>24.516000000000002</v>
      </c>
      <c r="I67" s="47">
        <f>D67*$I$9</f>
        <v>13.908000000000001</v>
      </c>
      <c r="J67"/>
    </row>
    <row r="68" spans="1:14">
      <c r="A68" s="69" t="s">
        <v>1067</v>
      </c>
      <c r="B68" s="74" t="s">
        <v>1068</v>
      </c>
      <c r="C68" s="131" t="s">
        <v>1069</v>
      </c>
      <c r="D68" s="47">
        <v>465</v>
      </c>
      <c r="F68" s="18">
        <f t="shared" si="0"/>
        <v>92.209500000000006</v>
      </c>
      <c r="G68" s="92">
        <f t="shared" si="1"/>
        <v>51.103499999999997</v>
      </c>
      <c r="H68" s="18">
        <f t="shared" si="2"/>
        <v>94.999499999999998</v>
      </c>
      <c r="I68" s="92">
        <f t="shared" si="3"/>
        <v>53.893500000000003</v>
      </c>
    </row>
    <row r="69" spans="1:14">
      <c r="A69" s="29"/>
      <c r="B69" s="37"/>
      <c r="C69" s="115"/>
      <c r="D69" s="47"/>
      <c r="F69" s="18"/>
      <c r="G69" s="92"/>
      <c r="H69" s="18"/>
      <c r="I69" s="92"/>
      <c r="J69" s="163"/>
      <c r="K69" s="163"/>
      <c r="L69" s="163"/>
      <c r="M69" s="163"/>
      <c r="N69" s="163"/>
    </row>
    <row r="70" spans="1:14">
      <c r="A70" s="15" t="s">
        <v>1070</v>
      </c>
      <c r="B70" s="41"/>
      <c r="C70" s="41"/>
      <c r="D70" s="125"/>
      <c r="F70" s="125"/>
      <c r="G70" s="125"/>
      <c r="H70" s="125"/>
      <c r="I70" s="125"/>
      <c r="J70" s="163"/>
      <c r="K70" s="163"/>
      <c r="L70" s="163"/>
      <c r="M70" s="163"/>
      <c r="N70" s="163"/>
    </row>
    <row r="71" spans="1:14">
      <c r="A71" s="132" t="s">
        <v>1071</v>
      </c>
      <c r="B71" s="230" t="s">
        <v>1072</v>
      </c>
      <c r="C71" s="107" t="s">
        <v>1073</v>
      </c>
      <c r="D71" s="114">
        <v>24</v>
      </c>
      <c r="F71" s="18">
        <f t="shared" ref="F71:F126" si="16">D71*$F$9</f>
        <v>4.7591999999999999</v>
      </c>
      <c r="G71" s="92">
        <f t="shared" ref="G71:G126" si="17">D71*$G$9</f>
        <v>2.6375999999999999</v>
      </c>
      <c r="H71" s="18">
        <f t="shared" ref="H71:H126" si="18">D71*$H$9</f>
        <v>4.9032</v>
      </c>
      <c r="I71" s="92">
        <f t="shared" ref="I71:I126" si="19">D71*$I$9</f>
        <v>2.7816000000000001</v>
      </c>
      <c r="J71" s="163"/>
      <c r="K71" s="163"/>
      <c r="L71" s="163"/>
      <c r="M71" s="163"/>
      <c r="N71" s="163"/>
    </row>
    <row r="72" spans="1:14">
      <c r="A72" s="132" t="s">
        <v>1074</v>
      </c>
      <c r="B72" s="230" t="s">
        <v>1072</v>
      </c>
      <c r="C72" s="107" t="s">
        <v>1075</v>
      </c>
      <c r="D72" s="114">
        <v>24</v>
      </c>
      <c r="F72" s="18">
        <f t="shared" si="16"/>
        <v>4.7591999999999999</v>
      </c>
      <c r="G72" s="92">
        <f t="shared" si="17"/>
        <v>2.6375999999999999</v>
      </c>
      <c r="H72" s="18">
        <f t="shared" si="18"/>
        <v>4.9032</v>
      </c>
      <c r="I72" s="92">
        <f t="shared" si="19"/>
        <v>2.7816000000000001</v>
      </c>
      <c r="J72" s="163"/>
      <c r="K72" s="163"/>
      <c r="L72" s="163"/>
      <c r="M72" s="163"/>
      <c r="N72" s="163"/>
    </row>
    <row r="73" spans="1:14" ht="124.2">
      <c r="A73" s="376" t="s">
        <v>1076</v>
      </c>
      <c r="B73" s="377"/>
      <c r="C73" s="378" t="s">
        <v>1077</v>
      </c>
      <c r="D73" s="47">
        <v>25</v>
      </c>
      <c r="F73" s="47">
        <f>D73*$F$9</f>
        <v>4.9575000000000005</v>
      </c>
      <c r="G73" s="47">
        <f>D73*$G$9</f>
        <v>2.7475000000000001</v>
      </c>
      <c r="H73" s="47">
        <f>D73*$H$9</f>
        <v>5.1074999999999999</v>
      </c>
      <c r="I73" s="47">
        <f>D73*$I$9</f>
        <v>2.8975</v>
      </c>
      <c r="J73" s="163"/>
      <c r="K73" s="163"/>
      <c r="L73" s="163"/>
      <c r="M73" s="163"/>
      <c r="N73" s="163"/>
    </row>
    <row r="74" spans="1:14" ht="69">
      <c r="A74" s="376" t="s">
        <v>1078</v>
      </c>
      <c r="B74" s="151"/>
      <c r="C74" s="381" t="s">
        <v>1079</v>
      </c>
      <c r="D74" s="51">
        <v>30</v>
      </c>
      <c r="F74" s="47">
        <f>D74*$F$9</f>
        <v>5.9489999999999998</v>
      </c>
      <c r="G74" s="47">
        <f>D74*$G$9</f>
        <v>3.2969999999999997</v>
      </c>
      <c r="H74" s="47">
        <f>D74*$H$9</f>
        <v>6.1290000000000004</v>
      </c>
      <c r="I74" s="47">
        <f>D74*$I$9</f>
        <v>3.4770000000000003</v>
      </c>
      <c r="J74" s="380"/>
      <c r="K74" s="163"/>
      <c r="L74" s="163"/>
      <c r="M74" s="163"/>
      <c r="N74" s="163"/>
    </row>
    <row r="75" spans="1:14">
      <c r="A75" s="15" t="s">
        <v>1080</v>
      </c>
      <c r="B75" s="41"/>
      <c r="C75" s="41"/>
      <c r="D75" s="125"/>
      <c r="F75" s="125"/>
      <c r="G75" s="125"/>
      <c r="H75" s="125"/>
      <c r="I75" s="125"/>
      <c r="J75" s="163"/>
      <c r="K75" s="163"/>
      <c r="L75" s="163"/>
      <c r="M75" s="163"/>
      <c r="N75" s="163"/>
    </row>
    <row r="76" spans="1:14">
      <c r="A76" s="69" t="s">
        <v>1081</v>
      </c>
      <c r="B76" s="48" t="s">
        <v>1082</v>
      </c>
      <c r="C76" s="40" t="s">
        <v>1083</v>
      </c>
      <c r="D76" s="114">
        <v>19</v>
      </c>
      <c r="F76" s="18">
        <f t="shared" si="16"/>
        <v>3.7677</v>
      </c>
      <c r="G76" s="92">
        <f t="shared" si="17"/>
        <v>2.0880999999999998</v>
      </c>
      <c r="H76" s="18">
        <f t="shared" si="18"/>
        <v>3.8817000000000004</v>
      </c>
      <c r="I76" s="92">
        <f t="shared" si="19"/>
        <v>2.2021000000000002</v>
      </c>
      <c r="J76" s="163"/>
      <c r="K76" s="163"/>
      <c r="L76" s="163"/>
      <c r="M76" s="163"/>
      <c r="N76" s="163"/>
    </row>
    <row r="77" spans="1:14">
      <c r="A77" s="69" t="s">
        <v>1084</v>
      </c>
      <c r="B77" s="48" t="s">
        <v>1085</v>
      </c>
      <c r="C77" s="40" t="s">
        <v>1086</v>
      </c>
      <c r="D77" s="114">
        <v>19</v>
      </c>
      <c r="F77" s="18">
        <f t="shared" si="16"/>
        <v>3.7677</v>
      </c>
      <c r="G77" s="92">
        <f t="shared" si="17"/>
        <v>2.0880999999999998</v>
      </c>
      <c r="H77" s="18">
        <f t="shared" si="18"/>
        <v>3.8817000000000004</v>
      </c>
      <c r="I77" s="92">
        <f t="shared" si="19"/>
        <v>2.2021000000000002</v>
      </c>
      <c r="J77" s="163"/>
      <c r="K77" s="163"/>
      <c r="L77" s="163"/>
      <c r="M77" s="163"/>
      <c r="N77" s="163"/>
    </row>
    <row r="78" spans="1:14">
      <c r="A78" s="69" t="s">
        <v>1087</v>
      </c>
      <c r="B78" s="48" t="s">
        <v>1088</v>
      </c>
      <c r="C78" s="40" t="s">
        <v>1089</v>
      </c>
      <c r="D78" s="114">
        <v>14</v>
      </c>
      <c r="F78" s="18">
        <f t="shared" si="16"/>
        <v>2.7762000000000002</v>
      </c>
      <c r="G78" s="92">
        <f t="shared" si="17"/>
        <v>1.5386</v>
      </c>
      <c r="H78" s="18">
        <f t="shared" si="18"/>
        <v>2.8602000000000003</v>
      </c>
      <c r="I78" s="92">
        <f t="shared" si="19"/>
        <v>1.6226</v>
      </c>
      <c r="J78" s="163"/>
      <c r="K78" s="163"/>
      <c r="L78" s="163"/>
      <c r="M78" s="163"/>
      <c r="N78" s="163"/>
    </row>
    <row r="79" spans="1:14">
      <c r="A79" s="69" t="s">
        <v>1090</v>
      </c>
      <c r="B79" s="48" t="s">
        <v>1091</v>
      </c>
      <c r="C79" s="40" t="s">
        <v>1092</v>
      </c>
      <c r="D79" s="114">
        <v>8</v>
      </c>
      <c r="F79" s="18">
        <f t="shared" si="16"/>
        <v>1.5864</v>
      </c>
      <c r="G79" s="92">
        <f t="shared" si="17"/>
        <v>0.87919999999999998</v>
      </c>
      <c r="H79" s="18">
        <f t="shared" si="18"/>
        <v>1.6344000000000001</v>
      </c>
      <c r="I79" s="92">
        <f t="shared" si="19"/>
        <v>0.92720000000000002</v>
      </c>
      <c r="J79" s="163"/>
      <c r="K79" s="163"/>
      <c r="L79" s="163"/>
      <c r="M79" s="163"/>
      <c r="N79" s="163"/>
    </row>
    <row r="80" spans="1:14">
      <c r="A80" s="69"/>
      <c r="B80" s="48"/>
      <c r="C80" s="40"/>
      <c r="D80" s="47"/>
      <c r="F80" s="18"/>
      <c r="G80" s="92"/>
      <c r="H80" s="18"/>
      <c r="I80" s="92"/>
      <c r="J80" s="163"/>
      <c r="K80" s="163"/>
      <c r="L80" s="163"/>
      <c r="M80" s="163"/>
      <c r="N80" s="163"/>
    </row>
    <row r="81" spans="1:14">
      <c r="A81" s="15" t="s">
        <v>1093</v>
      </c>
      <c r="B81" s="41"/>
      <c r="C81" s="41"/>
      <c r="D81" s="125"/>
      <c r="F81" s="125"/>
      <c r="G81" s="125"/>
      <c r="H81" s="125"/>
      <c r="I81" s="125"/>
      <c r="J81" s="163"/>
      <c r="K81" s="163"/>
      <c r="L81" s="163"/>
      <c r="M81" s="163"/>
      <c r="N81" s="163"/>
    </row>
    <row r="82" spans="1:14">
      <c r="A82" s="78" t="s">
        <v>1094</v>
      </c>
      <c r="B82" s="78" t="s">
        <v>1095</v>
      </c>
      <c r="C82" s="191" t="s">
        <v>1096</v>
      </c>
      <c r="D82" s="114">
        <v>887</v>
      </c>
      <c r="F82" s="18">
        <f t="shared" si="16"/>
        <v>175.8921</v>
      </c>
      <c r="G82" s="92">
        <f t="shared" si="17"/>
        <v>97.481300000000005</v>
      </c>
      <c r="H82" s="18">
        <f t="shared" si="18"/>
        <v>181.2141</v>
      </c>
      <c r="I82" s="92">
        <f t="shared" si="19"/>
        <v>102.80330000000001</v>
      </c>
      <c r="J82" s="163"/>
      <c r="K82" s="163"/>
      <c r="L82" s="163"/>
      <c r="M82" s="163"/>
      <c r="N82" s="163"/>
    </row>
    <row r="83" spans="1:14">
      <c r="A83" s="78" t="s">
        <v>1097</v>
      </c>
      <c r="B83" s="78" t="s">
        <v>1098</v>
      </c>
      <c r="C83" s="191" t="s">
        <v>1099</v>
      </c>
      <c r="D83" s="114">
        <v>698</v>
      </c>
      <c r="F83" s="18">
        <f t="shared" si="16"/>
        <v>138.4134</v>
      </c>
      <c r="G83" s="92">
        <f t="shared" si="17"/>
        <v>76.7102</v>
      </c>
      <c r="H83" s="18">
        <f t="shared" si="18"/>
        <v>142.60140000000001</v>
      </c>
      <c r="I83" s="92">
        <f t="shared" si="19"/>
        <v>80.898200000000003</v>
      </c>
      <c r="J83" s="163"/>
      <c r="K83" s="163"/>
      <c r="L83" s="163"/>
      <c r="M83" s="163"/>
      <c r="N83" s="163"/>
    </row>
    <row r="84" spans="1:14">
      <c r="A84" s="71" t="s">
        <v>1100</v>
      </c>
      <c r="B84" s="129" t="s">
        <v>1101</v>
      </c>
      <c r="C84" s="191" t="s">
        <v>1102</v>
      </c>
      <c r="D84" s="114">
        <v>272</v>
      </c>
      <c r="F84" s="18">
        <f t="shared" si="16"/>
        <v>53.937600000000003</v>
      </c>
      <c r="G84" s="92">
        <f t="shared" si="17"/>
        <v>29.892800000000001</v>
      </c>
      <c r="H84" s="18">
        <f t="shared" si="18"/>
        <v>55.569600000000001</v>
      </c>
      <c r="I84" s="92">
        <f t="shared" si="19"/>
        <v>31.524799999999999</v>
      </c>
      <c r="J84" s="163"/>
      <c r="K84" s="163"/>
      <c r="L84" s="163"/>
      <c r="M84" s="163"/>
      <c r="N84" s="163"/>
    </row>
    <row r="85" spans="1:14" ht="27.6">
      <c r="A85" s="119" t="s">
        <v>1103</v>
      </c>
      <c r="B85" s="199" t="s">
        <v>1104</v>
      </c>
      <c r="C85" s="276" t="s">
        <v>1105</v>
      </c>
      <c r="D85" s="77">
        <v>203</v>
      </c>
      <c r="F85" s="18">
        <f t="shared" si="16"/>
        <v>40.254899999999999</v>
      </c>
      <c r="G85" s="92">
        <f t="shared" si="17"/>
        <v>22.309699999999999</v>
      </c>
      <c r="H85" s="18">
        <f t="shared" si="18"/>
        <v>41.472900000000003</v>
      </c>
      <c r="I85" s="92">
        <f t="shared" si="19"/>
        <v>23.527699999999999</v>
      </c>
      <c r="J85" s="163"/>
      <c r="K85" s="163"/>
      <c r="L85" s="163"/>
      <c r="M85" s="163"/>
      <c r="N85" s="163"/>
    </row>
    <row r="86" spans="1:14">
      <c r="A86" s="43" t="s">
        <v>1106</v>
      </c>
      <c r="B86" s="43" t="s">
        <v>1107</v>
      </c>
      <c r="C86" s="191" t="s">
        <v>1108</v>
      </c>
      <c r="D86" s="114">
        <v>165</v>
      </c>
      <c r="F86" s="18">
        <f t="shared" si="16"/>
        <v>32.719500000000004</v>
      </c>
      <c r="G86" s="92">
        <f t="shared" si="17"/>
        <v>18.133499999999998</v>
      </c>
      <c r="H86" s="18">
        <f t="shared" si="18"/>
        <v>33.709499999999998</v>
      </c>
      <c r="I86" s="92">
        <f t="shared" si="19"/>
        <v>19.1235</v>
      </c>
      <c r="J86" s="163"/>
      <c r="K86" s="163"/>
      <c r="L86" s="163"/>
      <c r="M86" s="163"/>
      <c r="N86" s="163"/>
    </row>
    <row r="87" spans="1:14" ht="27.6">
      <c r="A87" s="21" t="s">
        <v>1109</v>
      </c>
      <c r="B87" s="156" t="s">
        <v>1110</v>
      </c>
      <c r="C87" s="276" t="s">
        <v>1111</v>
      </c>
      <c r="D87" s="77">
        <v>151</v>
      </c>
      <c r="F87" s="18">
        <f t="shared" si="16"/>
        <v>29.943300000000001</v>
      </c>
      <c r="G87" s="92">
        <f t="shared" si="17"/>
        <v>16.594899999999999</v>
      </c>
      <c r="H87" s="18">
        <f t="shared" si="18"/>
        <v>30.849300000000003</v>
      </c>
      <c r="I87" s="92">
        <f t="shared" si="19"/>
        <v>17.500900000000001</v>
      </c>
      <c r="J87" s="163"/>
      <c r="K87" s="163"/>
      <c r="L87" s="163"/>
      <c r="M87" s="163"/>
      <c r="N87" s="163"/>
    </row>
    <row r="88" spans="1:14" ht="27.6">
      <c r="A88" s="21" t="s">
        <v>1112</v>
      </c>
      <c r="B88" s="156" t="s">
        <v>1113</v>
      </c>
      <c r="C88" s="276" t="s">
        <v>1114</v>
      </c>
      <c r="D88" s="77">
        <v>131</v>
      </c>
      <c r="F88" s="18">
        <f t="shared" si="16"/>
        <v>25.9773</v>
      </c>
      <c r="G88" s="92">
        <f t="shared" si="17"/>
        <v>14.3969</v>
      </c>
      <c r="H88" s="18">
        <f t="shared" si="18"/>
        <v>26.763300000000001</v>
      </c>
      <c r="I88" s="92">
        <f t="shared" si="19"/>
        <v>15.1829</v>
      </c>
      <c r="J88" s="163"/>
      <c r="K88" s="163"/>
      <c r="L88" s="163"/>
      <c r="M88" s="163"/>
      <c r="N88" s="163"/>
    </row>
    <row r="89" spans="1:14">
      <c r="A89" s="43" t="s">
        <v>1115</v>
      </c>
      <c r="B89" s="43" t="s">
        <v>1116</v>
      </c>
      <c r="C89" s="191" t="s">
        <v>1117</v>
      </c>
      <c r="D89" s="114">
        <v>128</v>
      </c>
      <c r="F89" s="18">
        <f t="shared" si="16"/>
        <v>25.382400000000001</v>
      </c>
      <c r="G89" s="92">
        <f t="shared" si="17"/>
        <v>14.0672</v>
      </c>
      <c r="H89" s="18">
        <f t="shared" si="18"/>
        <v>26.150400000000001</v>
      </c>
      <c r="I89" s="92">
        <f t="shared" si="19"/>
        <v>14.8352</v>
      </c>
      <c r="J89" s="163"/>
      <c r="K89" s="163"/>
      <c r="L89" s="163"/>
      <c r="M89" s="163"/>
      <c r="N89" s="163"/>
    </row>
    <row r="90" spans="1:14">
      <c r="A90" s="57"/>
      <c r="B90" s="57"/>
      <c r="C90" s="191"/>
      <c r="D90" s="47"/>
      <c r="F90" s="18"/>
      <c r="G90" s="92"/>
      <c r="H90" s="18"/>
      <c r="I90" s="92"/>
      <c r="J90" s="163"/>
      <c r="K90" s="163"/>
      <c r="L90" s="163"/>
      <c r="M90" s="163"/>
      <c r="N90" s="163"/>
    </row>
    <row r="91" spans="1:14">
      <c r="A91" s="15" t="s">
        <v>1118</v>
      </c>
      <c r="B91" s="41"/>
      <c r="C91" s="275"/>
      <c r="D91" s="125"/>
      <c r="F91" s="125"/>
      <c r="G91" s="125"/>
      <c r="H91" s="125"/>
      <c r="I91" s="125"/>
      <c r="J91" s="163"/>
      <c r="K91" s="163"/>
      <c r="L91" s="163"/>
      <c r="M91" s="163"/>
      <c r="N91" s="163"/>
    </row>
    <row r="92" spans="1:14">
      <c r="A92" s="71" t="s">
        <v>1119</v>
      </c>
      <c r="B92" s="129" t="s">
        <v>1120</v>
      </c>
      <c r="C92" s="191" t="s">
        <v>1547</v>
      </c>
      <c r="D92" s="47">
        <v>747</v>
      </c>
      <c r="F92" s="18">
        <f t="shared" si="16"/>
        <v>148.1301</v>
      </c>
      <c r="G92" s="92">
        <f t="shared" si="17"/>
        <v>82.095299999999995</v>
      </c>
      <c r="H92" s="18">
        <f t="shared" si="18"/>
        <v>152.6121</v>
      </c>
      <c r="I92" s="92">
        <f t="shared" si="19"/>
        <v>86.577300000000008</v>
      </c>
      <c r="J92" s="163"/>
      <c r="K92" s="163"/>
      <c r="L92" s="163"/>
      <c r="M92" s="163"/>
      <c r="N92" s="163"/>
    </row>
    <row r="93" spans="1:14" ht="27.6">
      <c r="A93" s="64" t="s">
        <v>1122</v>
      </c>
      <c r="B93" s="64" t="s">
        <v>1123</v>
      </c>
      <c r="C93" s="276" t="s">
        <v>1127</v>
      </c>
      <c r="D93" s="77">
        <v>344</v>
      </c>
      <c r="F93" s="18">
        <f t="shared" si="16"/>
        <v>68.215199999999996</v>
      </c>
      <c r="G93" s="92">
        <f t="shared" si="17"/>
        <v>37.805599999999998</v>
      </c>
      <c r="H93" s="18">
        <f t="shared" si="18"/>
        <v>70.279200000000003</v>
      </c>
      <c r="I93" s="92">
        <f t="shared" si="19"/>
        <v>39.869599999999998</v>
      </c>
      <c r="J93" s="163"/>
      <c r="K93" s="163"/>
      <c r="L93" s="163"/>
      <c r="M93" s="163"/>
      <c r="N93" s="163"/>
    </row>
    <row r="94" spans="1:14" ht="27.6">
      <c r="A94" s="129" t="s">
        <v>1125</v>
      </c>
      <c r="B94" s="129" t="s">
        <v>1126</v>
      </c>
      <c r="C94" s="276" t="s">
        <v>1548</v>
      </c>
      <c r="D94" s="114">
        <v>167</v>
      </c>
      <c r="F94" s="18">
        <f t="shared" si="16"/>
        <v>33.116100000000003</v>
      </c>
      <c r="G94" s="92">
        <f t="shared" si="17"/>
        <v>18.353300000000001</v>
      </c>
      <c r="H94" s="18">
        <f t="shared" si="18"/>
        <v>34.118099999999998</v>
      </c>
      <c r="I94" s="92">
        <f t="shared" si="19"/>
        <v>19.3553</v>
      </c>
      <c r="J94" s="163"/>
      <c r="K94" s="163"/>
      <c r="L94" s="163"/>
      <c r="M94" s="163"/>
      <c r="N94" s="163"/>
    </row>
    <row r="95" spans="1:14" ht="27.6">
      <c r="A95" s="64" t="s">
        <v>1128</v>
      </c>
      <c r="B95" s="156" t="s">
        <v>1129</v>
      </c>
      <c r="C95" s="276" t="s">
        <v>1133</v>
      </c>
      <c r="D95" s="77">
        <v>265</v>
      </c>
      <c r="F95" s="18">
        <f t="shared" si="16"/>
        <v>52.549500000000002</v>
      </c>
      <c r="G95" s="92">
        <f t="shared" si="17"/>
        <v>29.1235</v>
      </c>
      <c r="H95" s="18">
        <f t="shared" si="18"/>
        <v>54.139500000000005</v>
      </c>
      <c r="I95" s="92">
        <f t="shared" si="19"/>
        <v>30.7135</v>
      </c>
      <c r="J95" s="163"/>
      <c r="K95" s="163"/>
      <c r="L95" s="163"/>
      <c r="M95" s="163"/>
      <c r="N95" s="163"/>
    </row>
    <row r="96" spans="1:14">
      <c r="A96" s="55" t="s">
        <v>1131</v>
      </c>
      <c r="B96" s="90" t="s">
        <v>1132</v>
      </c>
      <c r="C96" s="276" t="s">
        <v>1134</v>
      </c>
      <c r="D96" s="114">
        <v>197</v>
      </c>
      <c r="F96" s="18">
        <f t="shared" si="16"/>
        <v>39.065100000000001</v>
      </c>
      <c r="G96" s="92">
        <f t="shared" si="17"/>
        <v>21.650299999999998</v>
      </c>
      <c r="H96" s="18">
        <f t="shared" si="18"/>
        <v>40.247100000000003</v>
      </c>
      <c r="I96" s="92">
        <f t="shared" si="19"/>
        <v>22.8323</v>
      </c>
      <c r="J96" s="163"/>
      <c r="K96" s="163"/>
      <c r="L96" s="163"/>
      <c r="M96" s="163"/>
      <c r="N96" s="163"/>
    </row>
    <row r="97" spans="1:14" ht="14.4">
      <c r="A97" s="359" t="s">
        <v>1615</v>
      </c>
      <c r="B97" s="360" t="s">
        <v>1616</v>
      </c>
      <c r="C97" s="337" t="s">
        <v>1621</v>
      </c>
      <c r="D97" s="143">
        <v>141</v>
      </c>
      <c r="E97" s="143"/>
      <c r="F97" s="143">
        <f t="shared" ref="F97:F99" si="20">D97*$F$9</f>
        <v>27.9603</v>
      </c>
      <c r="G97" s="143">
        <f t="shared" ref="G97:G99" si="21">D97*$G$9</f>
        <v>15.495899999999999</v>
      </c>
      <c r="H97" s="143">
        <f t="shared" ref="H97:H99" si="22">D97*$H$9</f>
        <v>28.8063</v>
      </c>
      <c r="I97" s="143">
        <f t="shared" ref="I97:I99" si="23">D97*$I$9</f>
        <v>16.341899999999999</v>
      </c>
      <c r="J97"/>
      <c r="K97" s="163"/>
      <c r="L97" s="163"/>
      <c r="M97" s="163"/>
      <c r="N97" s="163"/>
    </row>
    <row r="98" spans="1:14" ht="14.4">
      <c r="A98" s="335" t="s">
        <v>1617</v>
      </c>
      <c r="B98" s="360" t="s">
        <v>1619</v>
      </c>
      <c r="C98" s="337" t="s">
        <v>1622</v>
      </c>
      <c r="D98" s="143">
        <v>119</v>
      </c>
      <c r="E98" s="143"/>
      <c r="F98" s="143">
        <f t="shared" si="20"/>
        <v>23.5977</v>
      </c>
      <c r="G98" s="143">
        <f t="shared" si="21"/>
        <v>13.078099999999999</v>
      </c>
      <c r="H98" s="143">
        <f t="shared" si="22"/>
        <v>24.311700000000002</v>
      </c>
      <c r="I98" s="143">
        <f t="shared" si="23"/>
        <v>13.7921</v>
      </c>
      <c r="J98"/>
      <c r="K98" s="163"/>
      <c r="L98" s="163"/>
      <c r="M98" s="163"/>
      <c r="N98" s="163"/>
    </row>
    <row r="99" spans="1:14" ht="14.4">
      <c r="A99" s="335" t="s">
        <v>1618</v>
      </c>
      <c r="B99" s="360" t="s">
        <v>1620</v>
      </c>
      <c r="C99" s="337" t="s">
        <v>1623</v>
      </c>
      <c r="D99" s="143">
        <v>107</v>
      </c>
      <c r="E99" s="143"/>
      <c r="F99" s="143">
        <f t="shared" si="20"/>
        <v>21.2181</v>
      </c>
      <c r="G99" s="143">
        <f t="shared" si="21"/>
        <v>11.7593</v>
      </c>
      <c r="H99" s="143">
        <f t="shared" si="22"/>
        <v>21.860100000000003</v>
      </c>
      <c r="I99" s="143">
        <f t="shared" si="23"/>
        <v>12.401300000000001</v>
      </c>
      <c r="J99"/>
      <c r="K99" s="163"/>
      <c r="L99" s="163"/>
      <c r="M99" s="163"/>
      <c r="N99" s="163"/>
    </row>
    <row r="100" spans="1:14">
      <c r="A100" s="15" t="s">
        <v>1135</v>
      </c>
      <c r="B100" s="41"/>
      <c r="C100" s="41"/>
      <c r="D100" s="125"/>
      <c r="F100" s="125"/>
      <c r="G100" s="125"/>
      <c r="H100" s="125"/>
      <c r="I100" s="125"/>
      <c r="J100" s="163"/>
      <c r="K100" s="163"/>
      <c r="L100" s="163"/>
      <c r="M100" s="163"/>
      <c r="N100" s="163"/>
    </row>
    <row r="101" spans="1:14">
      <c r="A101" s="76" t="s">
        <v>1136</v>
      </c>
      <c r="B101" s="129" t="s">
        <v>1137</v>
      </c>
      <c r="C101" s="40" t="s">
        <v>1138</v>
      </c>
      <c r="D101" s="114">
        <v>19</v>
      </c>
      <c r="F101" s="18">
        <f t="shared" si="16"/>
        <v>3.7677</v>
      </c>
      <c r="G101" s="92">
        <f t="shared" si="17"/>
        <v>2.0880999999999998</v>
      </c>
      <c r="H101" s="18">
        <f t="shared" si="18"/>
        <v>3.8817000000000004</v>
      </c>
      <c r="I101" s="92">
        <f t="shared" si="19"/>
        <v>2.2021000000000002</v>
      </c>
      <c r="J101" s="163"/>
      <c r="K101" s="163"/>
      <c r="L101" s="163"/>
      <c r="M101" s="163"/>
      <c r="N101" s="163"/>
    </row>
    <row r="102" spans="1:14">
      <c r="A102" s="200" t="s">
        <v>1549</v>
      </c>
      <c r="B102" s="96" t="s">
        <v>1140</v>
      </c>
      <c r="C102" s="107" t="s">
        <v>1141</v>
      </c>
      <c r="D102" s="114">
        <v>18</v>
      </c>
      <c r="F102" s="18">
        <f t="shared" si="16"/>
        <v>3.5693999999999999</v>
      </c>
      <c r="G102" s="92">
        <f t="shared" si="17"/>
        <v>1.9782</v>
      </c>
      <c r="H102" s="18">
        <f t="shared" si="18"/>
        <v>3.6774</v>
      </c>
      <c r="I102" s="92">
        <f t="shared" si="19"/>
        <v>2.0861999999999998</v>
      </c>
      <c r="J102" s="163"/>
      <c r="K102" s="163"/>
      <c r="L102" s="163"/>
      <c r="M102" s="163"/>
      <c r="N102" s="163"/>
    </row>
    <row r="103" spans="1:14">
      <c r="A103" s="200" t="s">
        <v>1142</v>
      </c>
      <c r="B103" s="96" t="s">
        <v>1143</v>
      </c>
      <c r="C103" s="107" t="s">
        <v>1144</v>
      </c>
      <c r="D103" s="114">
        <v>19</v>
      </c>
      <c r="F103" s="18">
        <f t="shared" si="16"/>
        <v>3.7677</v>
      </c>
      <c r="G103" s="92">
        <f t="shared" si="17"/>
        <v>2.0880999999999998</v>
      </c>
      <c r="H103" s="18">
        <f t="shared" si="18"/>
        <v>3.8817000000000004</v>
      </c>
      <c r="I103" s="92">
        <f t="shared" si="19"/>
        <v>2.2021000000000002</v>
      </c>
      <c r="J103" s="163"/>
      <c r="K103" s="163"/>
      <c r="L103" s="163"/>
      <c r="M103" s="163"/>
      <c r="N103" s="163"/>
    </row>
    <row r="104" spans="1:14">
      <c r="A104" s="76" t="s">
        <v>1145</v>
      </c>
      <c r="B104" s="129" t="s">
        <v>1146</v>
      </c>
      <c r="C104" s="40" t="s">
        <v>1147</v>
      </c>
      <c r="D104" s="114">
        <v>19</v>
      </c>
      <c r="F104" s="18">
        <f t="shared" si="16"/>
        <v>3.7677</v>
      </c>
      <c r="G104" s="92">
        <f t="shared" si="17"/>
        <v>2.0880999999999998</v>
      </c>
      <c r="H104" s="18">
        <f t="shared" si="18"/>
        <v>3.8817000000000004</v>
      </c>
      <c r="I104" s="92">
        <f t="shared" si="19"/>
        <v>2.2021000000000002</v>
      </c>
      <c r="J104" s="163"/>
      <c r="K104" s="163"/>
      <c r="L104" s="163"/>
      <c r="M104" s="163"/>
      <c r="N104" s="163"/>
    </row>
    <row r="105" spans="1:14">
      <c r="A105" s="76" t="s">
        <v>1148</v>
      </c>
      <c r="B105" s="129" t="s">
        <v>1149</v>
      </c>
      <c r="C105" s="26" t="s">
        <v>1150</v>
      </c>
      <c r="D105" s="114">
        <v>18</v>
      </c>
      <c r="F105" s="18">
        <f t="shared" si="16"/>
        <v>3.5693999999999999</v>
      </c>
      <c r="G105" s="92">
        <f t="shared" si="17"/>
        <v>1.9782</v>
      </c>
      <c r="H105" s="18">
        <f t="shared" si="18"/>
        <v>3.6774</v>
      </c>
      <c r="I105" s="92">
        <f t="shared" si="19"/>
        <v>2.0861999999999998</v>
      </c>
      <c r="J105" s="163"/>
      <c r="K105" s="163"/>
      <c r="L105" s="163"/>
      <c r="M105" s="163"/>
      <c r="N105" s="163"/>
    </row>
    <row r="106" spans="1:14">
      <c r="A106" s="129" t="s">
        <v>1151</v>
      </c>
      <c r="B106" s="129" t="s">
        <v>1152</v>
      </c>
      <c r="C106" s="107" t="s">
        <v>1153</v>
      </c>
      <c r="D106" s="114">
        <v>149</v>
      </c>
      <c r="F106" s="18">
        <f t="shared" si="16"/>
        <v>29.546700000000001</v>
      </c>
      <c r="G106" s="92">
        <f t="shared" si="17"/>
        <v>16.3751</v>
      </c>
      <c r="H106" s="18">
        <f t="shared" si="18"/>
        <v>30.4407</v>
      </c>
      <c r="I106" s="92">
        <f t="shared" si="19"/>
        <v>17.269100000000002</v>
      </c>
      <c r="J106" s="163"/>
      <c r="K106" s="163"/>
      <c r="L106" s="163"/>
      <c r="M106" s="163"/>
      <c r="N106" s="163"/>
    </row>
    <row r="107" spans="1:14" ht="26.1" customHeight="1">
      <c r="A107" s="129" t="s">
        <v>1154</v>
      </c>
      <c r="B107" s="129" t="s">
        <v>1155</v>
      </c>
      <c r="C107" s="40" t="s">
        <v>1156</v>
      </c>
      <c r="D107" s="114">
        <v>23</v>
      </c>
      <c r="F107" s="18">
        <f t="shared" si="16"/>
        <v>4.5609000000000002</v>
      </c>
      <c r="G107" s="92">
        <f t="shared" si="17"/>
        <v>2.5276999999999998</v>
      </c>
      <c r="H107" s="18">
        <f t="shared" si="18"/>
        <v>4.6989000000000001</v>
      </c>
      <c r="I107" s="92">
        <f t="shared" si="19"/>
        <v>2.6657000000000002</v>
      </c>
      <c r="J107" s="163"/>
      <c r="K107" s="163"/>
      <c r="L107" s="163"/>
      <c r="M107" s="163"/>
      <c r="N107" s="163"/>
    </row>
    <row r="108" spans="1:14">
      <c r="A108" s="69"/>
      <c r="B108" s="48"/>
      <c r="C108" s="40"/>
      <c r="D108" s="47"/>
      <c r="F108" s="18"/>
      <c r="G108" s="92"/>
      <c r="H108" s="18"/>
      <c r="I108" s="92"/>
      <c r="J108" s="163"/>
      <c r="K108" s="163"/>
      <c r="L108" s="163"/>
      <c r="M108" s="163"/>
      <c r="N108" s="163"/>
    </row>
    <row r="109" spans="1:14">
      <c r="A109" s="15" t="s">
        <v>1157</v>
      </c>
      <c r="B109" s="41"/>
      <c r="C109" s="41"/>
      <c r="D109" s="125"/>
      <c r="F109" s="125"/>
      <c r="G109" s="125"/>
      <c r="H109" s="125"/>
      <c r="I109" s="125"/>
      <c r="J109" s="163"/>
      <c r="K109" s="163"/>
      <c r="L109" s="163"/>
      <c r="M109" s="163"/>
      <c r="N109" s="163"/>
    </row>
    <row r="110" spans="1:14">
      <c r="A110" s="69" t="s">
        <v>1158</v>
      </c>
      <c r="B110" s="48" t="s">
        <v>1159</v>
      </c>
      <c r="C110" s="40" t="s">
        <v>1160</v>
      </c>
      <c r="D110" s="114">
        <v>160</v>
      </c>
      <c r="F110" s="18">
        <f t="shared" si="16"/>
        <v>31.728000000000002</v>
      </c>
      <c r="G110" s="92">
        <f t="shared" si="17"/>
        <v>17.584</v>
      </c>
      <c r="H110" s="18">
        <f t="shared" si="18"/>
        <v>32.688000000000002</v>
      </c>
      <c r="I110" s="92">
        <f t="shared" si="19"/>
        <v>18.544</v>
      </c>
      <c r="J110" s="163"/>
      <c r="K110" s="163"/>
      <c r="L110" s="163"/>
      <c r="M110" s="163"/>
      <c r="N110" s="163"/>
    </row>
    <row r="111" spans="1:14" s="59" customFormat="1">
      <c r="A111" s="69" t="s">
        <v>1161</v>
      </c>
      <c r="B111" s="48" t="s">
        <v>1162</v>
      </c>
      <c r="C111" s="40" t="s">
        <v>1163</v>
      </c>
      <c r="D111" s="114">
        <v>94</v>
      </c>
      <c r="F111" s="18">
        <f t="shared" si="16"/>
        <v>18.6402</v>
      </c>
      <c r="G111" s="92">
        <f t="shared" si="17"/>
        <v>10.3306</v>
      </c>
      <c r="H111" s="18">
        <f t="shared" si="18"/>
        <v>19.2042</v>
      </c>
      <c r="I111" s="92">
        <f t="shared" si="19"/>
        <v>10.894600000000001</v>
      </c>
    </row>
    <row r="112" spans="1:14">
      <c r="A112" s="69" t="s">
        <v>1164</v>
      </c>
      <c r="B112" s="48" t="s">
        <v>1165</v>
      </c>
      <c r="C112" s="40" t="s">
        <v>1166</v>
      </c>
      <c r="D112" s="114">
        <v>153</v>
      </c>
      <c r="F112" s="18">
        <f t="shared" si="16"/>
        <v>30.3399</v>
      </c>
      <c r="G112" s="92">
        <f t="shared" si="17"/>
        <v>16.814699999999998</v>
      </c>
      <c r="H112" s="18">
        <f t="shared" si="18"/>
        <v>31.257900000000003</v>
      </c>
      <c r="I112" s="92">
        <f t="shared" si="19"/>
        <v>17.732700000000001</v>
      </c>
      <c r="J112" s="163"/>
      <c r="K112" s="163"/>
      <c r="L112" s="163"/>
      <c r="M112" s="163"/>
      <c r="N112" s="163"/>
    </row>
    <row r="113" spans="1:14">
      <c r="A113" s="69" t="s">
        <v>1167</v>
      </c>
      <c r="B113" s="48" t="s">
        <v>1168</v>
      </c>
      <c r="C113" s="40" t="s">
        <v>1169</v>
      </c>
      <c r="D113" s="143">
        <v>76</v>
      </c>
      <c r="E113" s="163"/>
      <c r="F113" s="18">
        <f t="shared" ref="F113" si="24">D113*$F$9</f>
        <v>15.0708</v>
      </c>
      <c r="G113" s="92">
        <f t="shared" ref="G113" si="25">D113*$G$9</f>
        <v>8.3523999999999994</v>
      </c>
      <c r="H113" s="18">
        <f t="shared" ref="H113" si="26">D113*$H$9</f>
        <v>15.526800000000001</v>
      </c>
      <c r="I113" s="92">
        <f t="shared" ref="I113" si="27">D113*$I$9</f>
        <v>8.8084000000000007</v>
      </c>
      <c r="J113" s="163"/>
      <c r="K113" s="163"/>
      <c r="L113" s="163"/>
      <c r="M113" s="163"/>
    </row>
    <row r="114" spans="1:14">
      <c r="A114" s="29"/>
      <c r="B114" s="37"/>
      <c r="C114" s="80"/>
      <c r="D114" s="47"/>
      <c r="F114" s="18"/>
      <c r="G114" s="92"/>
      <c r="H114" s="18"/>
      <c r="I114" s="92"/>
      <c r="J114" s="163"/>
      <c r="K114" s="163"/>
      <c r="L114" s="163"/>
      <c r="M114" s="163"/>
      <c r="N114" s="163"/>
    </row>
    <row r="115" spans="1:14">
      <c r="A115" s="15" t="s">
        <v>1170</v>
      </c>
      <c r="B115" s="41"/>
      <c r="C115" s="41"/>
      <c r="D115" s="125"/>
      <c r="F115" s="125"/>
      <c r="G115" s="125"/>
      <c r="H115" s="125"/>
      <c r="I115" s="125"/>
      <c r="J115" s="163"/>
      <c r="K115" s="163"/>
      <c r="L115" s="163"/>
      <c r="M115" s="163"/>
      <c r="N115" s="163"/>
    </row>
    <row r="116" spans="1:14">
      <c r="A116" s="69" t="s">
        <v>1171</v>
      </c>
      <c r="B116" s="48" t="s">
        <v>1172</v>
      </c>
      <c r="C116" s="40" t="s">
        <v>1173</v>
      </c>
      <c r="D116" s="114">
        <v>12</v>
      </c>
      <c r="F116" s="18">
        <f t="shared" si="16"/>
        <v>2.3795999999999999</v>
      </c>
      <c r="G116" s="92">
        <f t="shared" si="17"/>
        <v>1.3188</v>
      </c>
      <c r="H116" s="18">
        <f t="shared" si="18"/>
        <v>2.4516</v>
      </c>
      <c r="I116" s="92">
        <f t="shared" si="19"/>
        <v>1.3908</v>
      </c>
      <c r="J116" s="163"/>
      <c r="K116" s="163"/>
      <c r="L116" s="163"/>
      <c r="M116" s="163"/>
      <c r="N116" s="163"/>
    </row>
    <row r="117" spans="1:14">
      <c r="A117" s="69" t="s">
        <v>1174</v>
      </c>
      <c r="B117" s="48" t="s">
        <v>1175</v>
      </c>
      <c r="C117" s="40" t="s">
        <v>1176</v>
      </c>
      <c r="D117" s="114">
        <v>8</v>
      </c>
      <c r="F117" s="18">
        <f t="shared" si="16"/>
        <v>1.5864</v>
      </c>
      <c r="G117" s="92">
        <f t="shared" si="17"/>
        <v>0.87919999999999998</v>
      </c>
      <c r="H117" s="18">
        <f t="shared" si="18"/>
        <v>1.6344000000000001</v>
      </c>
      <c r="I117" s="92">
        <f t="shared" si="19"/>
        <v>0.92720000000000002</v>
      </c>
      <c r="J117" s="163"/>
      <c r="K117" s="163"/>
      <c r="L117" s="163"/>
      <c r="M117" s="163"/>
      <c r="N117" s="163"/>
    </row>
    <row r="118" spans="1:14">
      <c r="A118" s="129" t="s">
        <v>1177</v>
      </c>
      <c r="B118" s="129" t="s">
        <v>1178</v>
      </c>
      <c r="C118" s="26" t="s">
        <v>1179</v>
      </c>
      <c r="D118" s="114">
        <v>16</v>
      </c>
      <c r="F118" s="18">
        <f t="shared" si="16"/>
        <v>3.1728000000000001</v>
      </c>
      <c r="G118" s="92">
        <f t="shared" si="17"/>
        <v>1.7584</v>
      </c>
      <c r="H118" s="18">
        <f t="shared" si="18"/>
        <v>3.2688000000000001</v>
      </c>
      <c r="I118" s="92">
        <f t="shared" si="19"/>
        <v>1.8544</v>
      </c>
      <c r="J118" s="163"/>
      <c r="K118" s="163"/>
      <c r="L118" s="163"/>
      <c r="M118" s="163"/>
      <c r="N118" s="163"/>
    </row>
    <row r="119" spans="1:14">
      <c r="A119" s="129" t="s">
        <v>1180</v>
      </c>
      <c r="B119" s="129" t="s">
        <v>1181</v>
      </c>
      <c r="C119" s="26" t="s">
        <v>1182</v>
      </c>
      <c r="D119" s="114">
        <v>12</v>
      </c>
      <c r="F119" s="18">
        <f t="shared" si="16"/>
        <v>2.3795999999999999</v>
      </c>
      <c r="G119" s="92">
        <f t="shared" si="17"/>
        <v>1.3188</v>
      </c>
      <c r="H119" s="18">
        <f t="shared" si="18"/>
        <v>2.4516</v>
      </c>
      <c r="I119" s="92">
        <f t="shared" si="19"/>
        <v>1.3908</v>
      </c>
      <c r="J119" s="163"/>
      <c r="K119" s="163"/>
      <c r="L119" s="163"/>
      <c r="M119" s="163"/>
      <c r="N119" s="163"/>
    </row>
    <row r="120" spans="1:14">
      <c r="A120" s="129" t="s">
        <v>1183</v>
      </c>
      <c r="B120" s="129" t="s">
        <v>1184</v>
      </c>
      <c r="C120" s="26" t="s">
        <v>1185</v>
      </c>
      <c r="D120" s="114">
        <v>8</v>
      </c>
      <c r="F120" s="18">
        <f t="shared" si="16"/>
        <v>1.5864</v>
      </c>
      <c r="G120" s="92">
        <f t="shared" si="17"/>
        <v>0.87919999999999998</v>
      </c>
      <c r="H120" s="18">
        <f t="shared" si="18"/>
        <v>1.6344000000000001</v>
      </c>
      <c r="I120" s="92">
        <f t="shared" si="19"/>
        <v>0.92720000000000002</v>
      </c>
      <c r="J120" s="163"/>
      <c r="K120" s="163"/>
      <c r="L120" s="163"/>
      <c r="M120" s="163"/>
      <c r="N120" s="163"/>
    </row>
    <row r="121" spans="1:14">
      <c r="A121" s="69" t="s">
        <v>1550</v>
      </c>
      <c r="B121" s="48" t="s">
        <v>1187</v>
      </c>
      <c r="C121" s="88" t="s">
        <v>1188</v>
      </c>
      <c r="D121" s="114">
        <v>14</v>
      </c>
      <c r="F121" s="18">
        <f t="shared" si="16"/>
        <v>2.7762000000000002</v>
      </c>
      <c r="G121" s="92">
        <f t="shared" si="17"/>
        <v>1.5386</v>
      </c>
      <c r="H121" s="18">
        <f t="shared" si="18"/>
        <v>2.8602000000000003</v>
      </c>
      <c r="I121" s="92">
        <f t="shared" si="19"/>
        <v>1.6226</v>
      </c>
      <c r="J121" s="163"/>
      <c r="K121" s="163"/>
      <c r="L121" s="163"/>
      <c r="M121" s="163"/>
      <c r="N121" s="163"/>
    </row>
    <row r="122" spans="1:14">
      <c r="A122" s="69" t="s">
        <v>1189</v>
      </c>
      <c r="B122" s="48" t="s">
        <v>1190</v>
      </c>
      <c r="C122" s="88" t="s">
        <v>1191</v>
      </c>
      <c r="D122" s="114">
        <v>13</v>
      </c>
      <c r="F122" s="18">
        <f t="shared" si="16"/>
        <v>2.5779000000000001</v>
      </c>
      <c r="G122" s="92">
        <f t="shared" si="17"/>
        <v>1.4287000000000001</v>
      </c>
      <c r="H122" s="18">
        <f t="shared" si="18"/>
        <v>2.6558999999999999</v>
      </c>
      <c r="I122" s="92">
        <f t="shared" si="19"/>
        <v>1.5066999999999999</v>
      </c>
      <c r="J122" s="163"/>
      <c r="K122" s="163"/>
      <c r="L122" s="163"/>
      <c r="M122" s="163"/>
      <c r="N122" s="163"/>
    </row>
    <row r="123" spans="1:14">
      <c r="A123" s="69" t="s">
        <v>1192</v>
      </c>
      <c r="B123" s="48" t="s">
        <v>1193</v>
      </c>
      <c r="C123" s="88" t="s">
        <v>1194</v>
      </c>
      <c r="D123" s="114">
        <v>11</v>
      </c>
      <c r="F123" s="18">
        <f t="shared" si="16"/>
        <v>2.1813000000000002</v>
      </c>
      <c r="G123" s="92">
        <f t="shared" si="17"/>
        <v>1.2088999999999999</v>
      </c>
      <c r="H123" s="18">
        <f t="shared" si="18"/>
        <v>2.2473000000000001</v>
      </c>
      <c r="I123" s="92">
        <f t="shared" si="19"/>
        <v>1.2749000000000001</v>
      </c>
      <c r="J123" s="163"/>
      <c r="K123" s="163"/>
      <c r="L123" s="163"/>
      <c r="M123" s="163"/>
      <c r="N123" s="163"/>
    </row>
    <row r="124" spans="1:14" ht="14.4">
      <c r="A124" s="29" t="s">
        <v>1195</v>
      </c>
      <c r="B124" s="37" t="s">
        <v>1196</v>
      </c>
      <c r="C124" s="276" t="s">
        <v>1197</v>
      </c>
      <c r="D124" s="114">
        <v>35</v>
      </c>
      <c r="F124" s="18">
        <f t="shared" si="16"/>
        <v>6.9405000000000001</v>
      </c>
      <c r="G124" s="92">
        <f t="shared" si="17"/>
        <v>3.8464999999999998</v>
      </c>
      <c r="H124" s="18">
        <f t="shared" si="18"/>
        <v>7.1505000000000001</v>
      </c>
      <c r="I124" s="92">
        <f t="shared" si="19"/>
        <v>4.0564999999999998</v>
      </c>
      <c r="J124" s="286"/>
      <c r="K124" s="163"/>
      <c r="L124" s="163"/>
      <c r="M124" s="163"/>
      <c r="N124" s="163"/>
    </row>
    <row r="125" spans="1:14">
      <c r="A125" s="69" t="s">
        <v>1551</v>
      </c>
      <c r="B125" s="48" t="s">
        <v>1199</v>
      </c>
      <c r="C125" s="88" t="s">
        <v>1200</v>
      </c>
      <c r="D125" s="114">
        <v>9</v>
      </c>
      <c r="F125" s="18">
        <f t="shared" si="16"/>
        <v>1.7847</v>
      </c>
      <c r="G125" s="92">
        <f t="shared" si="17"/>
        <v>0.98909999999999998</v>
      </c>
      <c r="H125" s="18">
        <f t="shared" si="18"/>
        <v>1.8387</v>
      </c>
      <c r="I125" s="92">
        <f t="shared" si="19"/>
        <v>1.0430999999999999</v>
      </c>
      <c r="J125" s="163"/>
      <c r="K125" s="163"/>
      <c r="L125" s="163"/>
      <c r="M125" s="163"/>
      <c r="N125" s="163"/>
    </row>
    <row r="126" spans="1:14">
      <c r="A126" s="69" t="s">
        <v>1552</v>
      </c>
      <c r="B126" s="48" t="s">
        <v>1202</v>
      </c>
      <c r="C126" s="88" t="s">
        <v>1203</v>
      </c>
      <c r="D126" s="114">
        <v>8</v>
      </c>
      <c r="F126" s="18">
        <f t="shared" si="16"/>
        <v>1.5864</v>
      </c>
      <c r="G126" s="92">
        <f t="shared" si="17"/>
        <v>0.87919999999999998</v>
      </c>
      <c r="H126" s="18">
        <f t="shared" si="18"/>
        <v>1.6344000000000001</v>
      </c>
      <c r="I126" s="92">
        <f t="shared" si="19"/>
        <v>0.92720000000000002</v>
      </c>
      <c r="J126" s="163"/>
      <c r="K126" s="163"/>
      <c r="L126" s="163"/>
      <c r="M126" s="163"/>
      <c r="N126" s="163"/>
    </row>
    <row r="127" spans="1:14">
      <c r="A127" s="69" t="s">
        <v>1553</v>
      </c>
      <c r="B127" s="48" t="s">
        <v>1205</v>
      </c>
      <c r="C127" s="88" t="s">
        <v>1206</v>
      </c>
      <c r="D127" s="114">
        <v>6</v>
      </c>
      <c r="F127" s="18">
        <f t="shared" ref="F127:F178" si="28">D127*$F$9</f>
        <v>1.1898</v>
      </c>
      <c r="G127" s="92">
        <f t="shared" ref="G127:G178" si="29">D127*$G$9</f>
        <v>0.65939999999999999</v>
      </c>
      <c r="H127" s="18">
        <f t="shared" ref="H127:H178" si="30">D127*$H$9</f>
        <v>1.2258</v>
      </c>
      <c r="I127" s="92">
        <f t="shared" ref="I127:I178" si="31">D127*$I$9</f>
        <v>0.69540000000000002</v>
      </c>
      <c r="J127" s="163"/>
      <c r="K127" s="163"/>
      <c r="L127" s="163"/>
      <c r="M127" s="163"/>
      <c r="N127" s="163"/>
    </row>
    <row r="128" spans="1:14">
      <c r="A128" s="69" t="s">
        <v>1554</v>
      </c>
      <c r="B128" s="48" t="s">
        <v>1208</v>
      </c>
      <c r="C128" s="88" t="s">
        <v>1209</v>
      </c>
      <c r="D128" s="114">
        <v>6</v>
      </c>
      <c r="F128" s="18">
        <f t="shared" si="28"/>
        <v>1.1898</v>
      </c>
      <c r="G128" s="92">
        <f t="shared" si="29"/>
        <v>0.65939999999999999</v>
      </c>
      <c r="H128" s="18">
        <f t="shared" si="30"/>
        <v>1.2258</v>
      </c>
      <c r="I128" s="92">
        <f t="shared" si="31"/>
        <v>0.69540000000000002</v>
      </c>
      <c r="J128" s="163"/>
      <c r="K128" s="163"/>
      <c r="L128" s="163"/>
      <c r="M128" s="163"/>
      <c r="N128" s="163"/>
    </row>
    <row r="129" spans="1:14">
      <c r="A129" s="69" t="s">
        <v>1210</v>
      </c>
      <c r="B129" s="48" t="s">
        <v>1211</v>
      </c>
      <c r="C129" s="88" t="s">
        <v>1212</v>
      </c>
      <c r="D129" s="114">
        <v>18</v>
      </c>
      <c r="F129" s="18">
        <f t="shared" si="28"/>
        <v>3.5693999999999999</v>
      </c>
      <c r="G129" s="92">
        <f t="shared" si="29"/>
        <v>1.9782</v>
      </c>
      <c r="H129" s="18">
        <f t="shared" si="30"/>
        <v>3.6774</v>
      </c>
      <c r="I129" s="92">
        <f t="shared" si="31"/>
        <v>2.0861999999999998</v>
      </c>
      <c r="J129" s="163"/>
      <c r="K129" s="163"/>
      <c r="L129" s="163"/>
      <c r="M129" s="163"/>
      <c r="N129" s="163"/>
    </row>
    <row r="130" spans="1:14">
      <c r="A130" s="129" t="s">
        <v>1213</v>
      </c>
      <c r="B130" s="129" t="s">
        <v>1214</v>
      </c>
      <c r="C130" s="26" t="s">
        <v>1215</v>
      </c>
      <c r="D130" s="114">
        <v>14</v>
      </c>
      <c r="F130" s="18">
        <f t="shared" si="28"/>
        <v>2.7762000000000002</v>
      </c>
      <c r="G130" s="92">
        <f t="shared" si="29"/>
        <v>1.5386</v>
      </c>
      <c r="H130" s="18">
        <f t="shared" si="30"/>
        <v>2.8602000000000003</v>
      </c>
      <c r="I130" s="92">
        <f t="shared" si="31"/>
        <v>1.6226</v>
      </c>
      <c r="J130" s="163"/>
      <c r="K130" s="163"/>
      <c r="L130" s="163"/>
      <c r="M130" s="163"/>
      <c r="N130" s="163"/>
    </row>
    <row r="131" spans="1:14">
      <c r="A131" s="129" t="s">
        <v>1216</v>
      </c>
      <c r="B131" s="129" t="s">
        <v>1217</v>
      </c>
      <c r="C131" s="26" t="s">
        <v>1218</v>
      </c>
      <c r="D131" s="114">
        <v>12</v>
      </c>
      <c r="F131" s="18">
        <f t="shared" si="28"/>
        <v>2.3795999999999999</v>
      </c>
      <c r="G131" s="92">
        <f t="shared" si="29"/>
        <v>1.3188</v>
      </c>
      <c r="H131" s="18">
        <f t="shared" si="30"/>
        <v>2.4516</v>
      </c>
      <c r="I131" s="92">
        <f t="shared" si="31"/>
        <v>1.3908</v>
      </c>
      <c r="J131" s="163"/>
      <c r="K131" s="163"/>
      <c r="L131" s="163"/>
      <c r="M131" s="163"/>
      <c r="N131" s="163"/>
    </row>
    <row r="132" spans="1:14">
      <c r="A132" s="129"/>
      <c r="B132" s="129"/>
      <c r="C132" s="135"/>
      <c r="D132" s="47"/>
      <c r="F132" s="18"/>
      <c r="G132" s="92"/>
      <c r="H132" s="18"/>
      <c r="I132" s="92"/>
      <c r="J132" s="163"/>
      <c r="K132" s="163"/>
      <c r="L132" s="163"/>
      <c r="M132" s="163"/>
      <c r="N132" s="163"/>
    </row>
    <row r="133" spans="1:14">
      <c r="A133" s="15" t="s">
        <v>1219</v>
      </c>
      <c r="B133" s="41"/>
      <c r="C133" s="41"/>
      <c r="D133" s="125"/>
      <c r="F133" s="125"/>
      <c r="G133" s="125"/>
      <c r="H133" s="125"/>
      <c r="I133" s="125"/>
      <c r="J133" s="163"/>
      <c r="K133" s="163"/>
      <c r="L133" s="163"/>
      <c r="M133" s="163"/>
      <c r="N133" s="163"/>
    </row>
    <row r="134" spans="1:14">
      <c r="A134" s="132" t="s">
        <v>1220</v>
      </c>
      <c r="B134" s="230" t="s">
        <v>1221</v>
      </c>
      <c r="C134" s="107" t="s">
        <v>1222</v>
      </c>
      <c r="D134" s="114">
        <v>11</v>
      </c>
      <c r="F134" s="18">
        <f t="shared" si="28"/>
        <v>2.1813000000000002</v>
      </c>
      <c r="G134" s="92">
        <f t="shared" si="29"/>
        <v>1.2088999999999999</v>
      </c>
      <c r="H134" s="18">
        <f t="shared" si="30"/>
        <v>2.2473000000000001</v>
      </c>
      <c r="I134" s="92">
        <f t="shared" si="31"/>
        <v>1.2749000000000001</v>
      </c>
      <c r="J134" s="163"/>
      <c r="K134" s="163"/>
      <c r="L134" s="163"/>
      <c r="M134" s="163"/>
      <c r="N134" s="163"/>
    </row>
    <row r="135" spans="1:14">
      <c r="A135" s="132" t="s">
        <v>1223</v>
      </c>
      <c r="B135" s="230" t="s">
        <v>1224</v>
      </c>
      <c r="C135" s="107" t="s">
        <v>1225</v>
      </c>
      <c r="D135" s="114">
        <v>9</v>
      </c>
      <c r="F135" s="18">
        <f t="shared" si="28"/>
        <v>1.7847</v>
      </c>
      <c r="G135" s="92">
        <f t="shared" si="29"/>
        <v>0.98909999999999998</v>
      </c>
      <c r="H135" s="18">
        <f t="shared" si="30"/>
        <v>1.8387</v>
      </c>
      <c r="I135" s="92">
        <f t="shared" si="31"/>
        <v>1.0430999999999999</v>
      </c>
      <c r="J135" s="163"/>
      <c r="K135" s="163"/>
      <c r="L135" s="163"/>
      <c r="M135" s="163"/>
      <c r="N135" s="163"/>
    </row>
    <row r="136" spans="1:14">
      <c r="A136" s="69"/>
      <c r="B136" s="48"/>
      <c r="C136" s="40"/>
      <c r="D136" s="47"/>
      <c r="F136" s="18"/>
      <c r="G136" s="92"/>
      <c r="H136" s="18"/>
      <c r="I136" s="92"/>
      <c r="J136" s="163"/>
      <c r="K136" s="163"/>
      <c r="L136" s="163"/>
      <c r="M136" s="163"/>
      <c r="N136" s="163"/>
    </row>
    <row r="137" spans="1:14">
      <c r="A137" s="15" t="s">
        <v>1226</v>
      </c>
      <c r="B137" s="41"/>
      <c r="C137" s="41"/>
      <c r="D137" s="125"/>
      <c r="F137" s="125"/>
      <c r="G137" s="125"/>
      <c r="H137" s="125"/>
      <c r="I137" s="125"/>
      <c r="J137" s="163"/>
      <c r="K137" s="163"/>
      <c r="L137" s="163"/>
      <c r="M137" s="163"/>
      <c r="N137" s="163"/>
    </row>
    <row r="138" spans="1:14">
      <c r="A138" s="69" t="s">
        <v>1227</v>
      </c>
      <c r="B138" s="48" t="s">
        <v>1228</v>
      </c>
      <c r="C138" s="107" t="s">
        <v>1229</v>
      </c>
      <c r="D138" s="114">
        <v>16</v>
      </c>
      <c r="F138" s="18">
        <f t="shared" si="28"/>
        <v>3.1728000000000001</v>
      </c>
      <c r="G138" s="92">
        <f t="shared" si="29"/>
        <v>1.7584</v>
      </c>
      <c r="H138" s="18">
        <f t="shared" si="30"/>
        <v>3.2688000000000001</v>
      </c>
      <c r="I138" s="92">
        <f t="shared" si="31"/>
        <v>1.8544</v>
      </c>
      <c r="J138" s="163"/>
      <c r="K138" s="163"/>
      <c r="L138" s="163"/>
      <c r="M138" s="163"/>
      <c r="N138" s="163"/>
    </row>
    <row r="139" spans="1:14" s="160" customFormat="1" ht="14.4">
      <c r="A139" s="69" t="s">
        <v>1230</v>
      </c>
      <c r="B139" s="48" t="s">
        <v>1231</v>
      </c>
      <c r="C139" s="276" t="s">
        <v>1232</v>
      </c>
      <c r="D139" s="143">
        <v>25</v>
      </c>
      <c r="F139" s="18">
        <f t="shared" si="28"/>
        <v>4.9575000000000005</v>
      </c>
      <c r="G139" s="92">
        <f t="shared" si="29"/>
        <v>2.7475000000000001</v>
      </c>
      <c r="H139" s="18">
        <f t="shared" si="30"/>
        <v>5.1074999999999999</v>
      </c>
      <c r="I139" s="92">
        <f t="shared" si="31"/>
        <v>2.8975</v>
      </c>
      <c r="J139" s="286"/>
      <c r="K139" s="166"/>
      <c r="L139" s="166"/>
      <c r="M139" s="166"/>
      <c r="N139" s="166"/>
    </row>
    <row r="140" spans="1:14">
      <c r="A140" s="69" t="s">
        <v>1233</v>
      </c>
      <c r="B140" s="48" t="s">
        <v>1234</v>
      </c>
      <c r="C140" s="40" t="s">
        <v>1235</v>
      </c>
      <c r="D140" s="114">
        <v>12</v>
      </c>
      <c r="F140" s="18">
        <f t="shared" si="28"/>
        <v>2.3795999999999999</v>
      </c>
      <c r="G140" s="92">
        <f t="shared" si="29"/>
        <v>1.3188</v>
      </c>
      <c r="H140" s="18">
        <f t="shared" si="30"/>
        <v>2.4516</v>
      </c>
      <c r="I140" s="92">
        <f t="shared" si="31"/>
        <v>1.3908</v>
      </c>
      <c r="J140" s="163"/>
      <c r="K140" s="163"/>
      <c r="L140" s="163"/>
      <c r="M140" s="163"/>
      <c r="N140" s="163"/>
    </row>
    <row r="141" spans="1:14" s="160" customFormat="1">
      <c r="A141" s="69" t="s">
        <v>1236</v>
      </c>
      <c r="B141" s="48" t="s">
        <v>1237</v>
      </c>
      <c r="C141" s="40" t="s">
        <v>1238</v>
      </c>
      <c r="D141" s="143">
        <v>27</v>
      </c>
      <c r="F141" s="18">
        <f t="shared" si="28"/>
        <v>5.3540999999999999</v>
      </c>
      <c r="G141" s="92">
        <f t="shared" si="29"/>
        <v>2.9672999999999998</v>
      </c>
      <c r="H141" s="18">
        <f t="shared" si="30"/>
        <v>5.5161000000000007</v>
      </c>
      <c r="I141" s="92">
        <f t="shared" si="31"/>
        <v>3.1293000000000002</v>
      </c>
      <c r="J141" s="166"/>
      <c r="K141" s="166"/>
      <c r="L141" s="166"/>
      <c r="M141" s="166"/>
      <c r="N141" s="166"/>
    </row>
    <row r="142" spans="1:14">
      <c r="A142" s="69" t="s">
        <v>1239</v>
      </c>
      <c r="B142" s="48" t="s">
        <v>1231</v>
      </c>
      <c r="C142" s="107" t="s">
        <v>1240</v>
      </c>
      <c r="D142" s="114">
        <v>12</v>
      </c>
      <c r="F142" s="18">
        <f t="shared" si="28"/>
        <v>2.3795999999999999</v>
      </c>
      <c r="G142" s="92">
        <f t="shared" si="29"/>
        <v>1.3188</v>
      </c>
      <c r="H142" s="18">
        <f t="shared" si="30"/>
        <v>2.4516</v>
      </c>
      <c r="I142" s="92">
        <f t="shared" si="31"/>
        <v>1.3908</v>
      </c>
      <c r="J142" s="163"/>
      <c r="K142" s="163"/>
      <c r="L142" s="163"/>
      <c r="M142" s="163"/>
      <c r="N142" s="163"/>
    </row>
    <row r="143" spans="1:14">
      <c r="A143" s="69" t="s">
        <v>1241</v>
      </c>
      <c r="B143" s="48" t="s">
        <v>1242</v>
      </c>
      <c r="C143" s="40" t="s">
        <v>1243</v>
      </c>
      <c r="D143" s="143">
        <v>40</v>
      </c>
      <c r="F143" s="18">
        <f t="shared" ref="F143" si="32">D143*$F$9</f>
        <v>7.9320000000000004</v>
      </c>
      <c r="G143" s="92">
        <f t="shared" ref="G143" si="33">D143*$G$9</f>
        <v>4.3959999999999999</v>
      </c>
      <c r="H143" s="18">
        <f t="shared" ref="H143" si="34">D143*$H$9</f>
        <v>8.1720000000000006</v>
      </c>
      <c r="I143" s="92">
        <f t="shared" ref="I143" si="35">D143*$I$9</f>
        <v>4.6360000000000001</v>
      </c>
      <c r="J143" s="163"/>
      <c r="K143" s="163"/>
      <c r="L143" s="163"/>
      <c r="M143" s="163"/>
      <c r="N143" s="163"/>
    </row>
    <row r="144" spans="1:14">
      <c r="A144" s="69"/>
      <c r="B144" s="48"/>
      <c r="C144" s="40"/>
      <c r="D144" s="47"/>
      <c r="F144" s="18"/>
      <c r="G144" s="92"/>
      <c r="H144" s="18"/>
      <c r="I144" s="92"/>
      <c r="J144" s="163"/>
      <c r="K144" s="163"/>
      <c r="L144" s="163"/>
      <c r="M144" s="163"/>
      <c r="N144" s="163"/>
    </row>
    <row r="145" spans="1:14">
      <c r="A145" s="15" t="s">
        <v>1244</v>
      </c>
      <c r="B145" s="41"/>
      <c r="C145" s="41"/>
      <c r="D145" s="125"/>
      <c r="E145" s="163"/>
      <c r="F145" s="125"/>
      <c r="G145" s="125"/>
      <c r="H145" s="125"/>
      <c r="I145" s="125"/>
      <c r="J145" s="163"/>
      <c r="K145" s="163"/>
      <c r="L145" s="163"/>
      <c r="M145" s="163"/>
    </row>
    <row r="146" spans="1:14">
      <c r="A146" s="132" t="s">
        <v>1245</v>
      </c>
      <c r="B146" s="230" t="s">
        <v>1246</v>
      </c>
      <c r="C146" s="107" t="s">
        <v>1247</v>
      </c>
      <c r="D146" s="114">
        <v>8</v>
      </c>
      <c r="E146" s="163"/>
      <c r="F146" s="18">
        <f t="shared" si="28"/>
        <v>1.5864</v>
      </c>
      <c r="G146" s="92">
        <f t="shared" si="29"/>
        <v>0.87919999999999998</v>
      </c>
      <c r="H146" s="18">
        <f t="shared" si="30"/>
        <v>1.6344000000000001</v>
      </c>
      <c r="I146" s="92">
        <f t="shared" si="31"/>
        <v>0.92720000000000002</v>
      </c>
      <c r="J146" s="163"/>
      <c r="K146" s="163"/>
      <c r="L146" s="163"/>
      <c r="M146" s="163"/>
    </row>
    <row r="147" spans="1:14">
      <c r="A147" s="132" t="s">
        <v>1248</v>
      </c>
      <c r="B147" s="230" t="s">
        <v>1249</v>
      </c>
      <c r="C147" s="107" t="s">
        <v>1250</v>
      </c>
      <c r="D147" s="114">
        <v>171</v>
      </c>
      <c r="E147" s="163"/>
      <c r="F147" s="18">
        <f t="shared" si="28"/>
        <v>33.909300000000002</v>
      </c>
      <c r="G147" s="92">
        <f t="shared" si="29"/>
        <v>18.792899999999999</v>
      </c>
      <c r="H147" s="18">
        <f t="shared" si="30"/>
        <v>34.935300000000005</v>
      </c>
      <c r="I147" s="92">
        <f t="shared" si="31"/>
        <v>19.818899999999999</v>
      </c>
      <c r="J147" s="163"/>
      <c r="K147" s="163"/>
      <c r="L147" s="163"/>
      <c r="M147" s="163"/>
    </row>
    <row r="148" spans="1:14" ht="14.4">
      <c r="A148" s="132" t="s">
        <v>1555</v>
      </c>
      <c r="B148" s="230" t="s">
        <v>1252</v>
      </c>
      <c r="C148" s="276" t="s">
        <v>1253</v>
      </c>
      <c r="D148" s="114">
        <v>9</v>
      </c>
      <c r="E148" s="216"/>
      <c r="F148" s="18">
        <f t="shared" si="28"/>
        <v>1.7847</v>
      </c>
      <c r="G148" s="92">
        <f t="shared" si="29"/>
        <v>0.98909999999999998</v>
      </c>
      <c r="H148" s="18">
        <f t="shared" si="30"/>
        <v>1.8387</v>
      </c>
      <c r="I148" s="92">
        <f t="shared" si="31"/>
        <v>1.0430999999999999</v>
      </c>
      <c r="J148" s="286"/>
    </row>
    <row r="149" spans="1:14">
      <c r="A149" s="132" t="s">
        <v>1254</v>
      </c>
      <c r="B149" s="230" t="s">
        <v>1252</v>
      </c>
      <c r="C149" s="107" t="s">
        <v>1255</v>
      </c>
      <c r="D149" s="114">
        <v>151</v>
      </c>
      <c r="F149" s="18">
        <f t="shared" si="28"/>
        <v>29.943300000000001</v>
      </c>
      <c r="G149" s="92">
        <f t="shared" si="29"/>
        <v>16.594899999999999</v>
      </c>
      <c r="H149" s="18">
        <f t="shared" si="30"/>
        <v>30.849300000000003</v>
      </c>
      <c r="I149" s="92">
        <f t="shared" si="31"/>
        <v>17.500900000000001</v>
      </c>
      <c r="J149" s="102"/>
      <c r="K149" s="24"/>
    </row>
    <row r="150" spans="1:14">
      <c r="A150" s="132" t="s">
        <v>1556</v>
      </c>
      <c r="B150" s="230" t="s">
        <v>1257</v>
      </c>
      <c r="C150" s="107" t="s">
        <v>1258</v>
      </c>
      <c r="D150" s="114">
        <v>35</v>
      </c>
      <c r="F150" s="18">
        <f t="shared" si="28"/>
        <v>6.9405000000000001</v>
      </c>
      <c r="G150" s="92">
        <f t="shared" si="29"/>
        <v>3.8464999999999998</v>
      </c>
      <c r="H150" s="18">
        <f t="shared" si="30"/>
        <v>7.1505000000000001</v>
      </c>
      <c r="I150" s="92">
        <f t="shared" si="31"/>
        <v>4.0564999999999998</v>
      </c>
      <c r="J150" s="163"/>
      <c r="K150" s="163"/>
    </row>
    <row r="151" spans="1:14">
      <c r="A151" s="69" t="s">
        <v>1557</v>
      </c>
      <c r="B151" s="48" t="s">
        <v>1260</v>
      </c>
      <c r="C151" s="107" t="s">
        <v>1261</v>
      </c>
      <c r="D151" s="114">
        <v>12</v>
      </c>
      <c r="F151" s="18">
        <f t="shared" si="28"/>
        <v>2.3795999999999999</v>
      </c>
      <c r="G151" s="92">
        <f t="shared" si="29"/>
        <v>1.3188</v>
      </c>
      <c r="H151" s="18">
        <f t="shared" si="30"/>
        <v>2.4516</v>
      </c>
      <c r="I151" s="92">
        <f t="shared" si="31"/>
        <v>1.3908</v>
      </c>
      <c r="J151" s="163"/>
      <c r="K151" s="163"/>
    </row>
    <row r="152" spans="1:14">
      <c r="A152" s="69" t="s">
        <v>1558</v>
      </c>
      <c r="B152" s="48" t="s">
        <v>1263</v>
      </c>
      <c r="C152" s="107" t="s">
        <v>1264</v>
      </c>
      <c r="D152" s="114">
        <v>15</v>
      </c>
      <c r="F152" s="18">
        <f t="shared" si="28"/>
        <v>2.9744999999999999</v>
      </c>
      <c r="G152" s="92">
        <f t="shared" si="29"/>
        <v>1.6484999999999999</v>
      </c>
      <c r="H152" s="18">
        <f t="shared" si="30"/>
        <v>3.0645000000000002</v>
      </c>
      <c r="I152" s="92">
        <f t="shared" si="31"/>
        <v>1.7385000000000002</v>
      </c>
      <c r="J152" s="163"/>
      <c r="K152" s="163"/>
    </row>
    <row r="153" spans="1:14">
      <c r="A153" s="69" t="s">
        <v>1559</v>
      </c>
      <c r="B153" s="48" t="s">
        <v>1266</v>
      </c>
      <c r="C153" s="107" t="s">
        <v>1267</v>
      </c>
      <c r="D153" s="114">
        <v>6</v>
      </c>
      <c r="F153" s="18">
        <f t="shared" si="28"/>
        <v>1.1898</v>
      </c>
      <c r="G153" s="92">
        <f t="shared" si="29"/>
        <v>0.65939999999999999</v>
      </c>
      <c r="H153" s="18">
        <f t="shared" si="30"/>
        <v>1.2258</v>
      </c>
      <c r="I153" s="92">
        <f t="shared" si="31"/>
        <v>0.69540000000000002</v>
      </c>
      <c r="J153" s="163"/>
      <c r="K153" s="163"/>
    </row>
    <row r="154" spans="1:14">
      <c r="A154" s="69" t="s">
        <v>1560</v>
      </c>
      <c r="B154" s="48" t="s">
        <v>1269</v>
      </c>
      <c r="C154" s="107" t="s">
        <v>1270</v>
      </c>
      <c r="D154" s="114">
        <v>9</v>
      </c>
      <c r="F154" s="18">
        <f t="shared" si="28"/>
        <v>1.7847</v>
      </c>
      <c r="G154" s="92">
        <f t="shared" si="29"/>
        <v>0.98909999999999998</v>
      </c>
      <c r="H154" s="18">
        <f t="shared" si="30"/>
        <v>1.8387</v>
      </c>
      <c r="I154" s="92">
        <f t="shared" si="31"/>
        <v>1.0430999999999999</v>
      </c>
      <c r="J154" s="163"/>
      <c r="K154" s="163"/>
      <c r="L154" s="163"/>
      <c r="M154" s="163"/>
      <c r="N154" s="163"/>
    </row>
    <row r="155" spans="1:14">
      <c r="A155" s="69" t="s">
        <v>1561</v>
      </c>
      <c r="B155" s="48" t="s">
        <v>1272</v>
      </c>
      <c r="C155" s="34" t="s">
        <v>1273</v>
      </c>
      <c r="D155" s="114">
        <v>13</v>
      </c>
      <c r="F155" s="18">
        <f t="shared" si="28"/>
        <v>2.5779000000000001</v>
      </c>
      <c r="G155" s="92">
        <f t="shared" si="29"/>
        <v>1.4287000000000001</v>
      </c>
      <c r="H155" s="18">
        <f t="shared" si="30"/>
        <v>2.6558999999999999</v>
      </c>
      <c r="I155" s="92">
        <f t="shared" si="31"/>
        <v>1.5066999999999999</v>
      </c>
      <c r="J155" s="163"/>
      <c r="K155" s="163"/>
      <c r="L155" s="163"/>
      <c r="M155" s="163"/>
      <c r="N155" s="163"/>
    </row>
    <row r="156" spans="1:14">
      <c r="A156" s="69" t="s">
        <v>1562</v>
      </c>
      <c r="B156" s="48" t="s">
        <v>1563</v>
      </c>
      <c r="C156" s="107" t="s">
        <v>1276</v>
      </c>
      <c r="D156" s="114">
        <v>30</v>
      </c>
      <c r="F156" s="18">
        <f t="shared" si="28"/>
        <v>5.9489999999999998</v>
      </c>
      <c r="G156" s="92">
        <f t="shared" si="29"/>
        <v>3.2969999999999997</v>
      </c>
      <c r="H156" s="18">
        <f t="shared" si="30"/>
        <v>6.1290000000000004</v>
      </c>
      <c r="I156" s="92">
        <f t="shared" si="31"/>
        <v>3.4770000000000003</v>
      </c>
      <c r="J156" s="163"/>
      <c r="K156" s="163"/>
      <c r="L156" s="163"/>
      <c r="M156" s="163"/>
      <c r="N156" s="163"/>
    </row>
    <row r="157" spans="1:14" ht="14.4">
      <c r="A157" s="132" t="s">
        <v>1564</v>
      </c>
      <c r="B157" s="230" t="s">
        <v>1278</v>
      </c>
      <c r="C157" s="276" t="s">
        <v>1279</v>
      </c>
      <c r="D157" s="114">
        <v>37</v>
      </c>
      <c r="F157" s="18">
        <f t="shared" si="28"/>
        <v>7.3371000000000004</v>
      </c>
      <c r="G157" s="92">
        <f t="shared" si="29"/>
        <v>4.0663</v>
      </c>
      <c r="H157" s="18">
        <f t="shared" si="30"/>
        <v>7.5590999999999999</v>
      </c>
      <c r="I157" s="92">
        <f t="shared" si="31"/>
        <v>4.2883000000000004</v>
      </c>
      <c r="J157" s="286"/>
      <c r="K157" s="163"/>
      <c r="L157" s="163"/>
      <c r="M157" s="163"/>
      <c r="N157" s="163"/>
    </row>
    <row r="158" spans="1:14">
      <c r="A158" s="69" t="s">
        <v>1280</v>
      </c>
      <c r="B158" s="48" t="s">
        <v>1281</v>
      </c>
      <c r="C158" s="107" t="s">
        <v>1282</v>
      </c>
      <c r="D158" s="114">
        <v>191</v>
      </c>
      <c r="F158" s="18">
        <f t="shared" si="28"/>
        <v>37.875300000000003</v>
      </c>
      <c r="G158" s="92">
        <f t="shared" si="29"/>
        <v>20.9909</v>
      </c>
      <c r="H158" s="18">
        <f t="shared" si="30"/>
        <v>39.021300000000004</v>
      </c>
      <c r="I158" s="92">
        <f t="shared" si="31"/>
        <v>22.136900000000001</v>
      </c>
      <c r="J158" s="163"/>
      <c r="K158" s="163"/>
      <c r="L158" s="163"/>
      <c r="M158" s="163"/>
      <c r="N158" s="163"/>
    </row>
    <row r="159" spans="1:14">
      <c r="A159" s="69" t="s">
        <v>1283</v>
      </c>
      <c r="B159" s="48" t="s">
        <v>1284</v>
      </c>
      <c r="C159" s="107" t="s">
        <v>1285</v>
      </c>
      <c r="D159" s="114">
        <v>141</v>
      </c>
      <c r="F159" s="18">
        <f t="shared" si="28"/>
        <v>27.9603</v>
      </c>
      <c r="G159" s="92">
        <f t="shared" si="29"/>
        <v>15.495899999999999</v>
      </c>
      <c r="H159" s="18">
        <f t="shared" si="30"/>
        <v>28.8063</v>
      </c>
      <c r="I159" s="92">
        <f t="shared" si="31"/>
        <v>16.341899999999999</v>
      </c>
      <c r="J159" s="163"/>
      <c r="K159" s="163"/>
      <c r="L159" s="163"/>
      <c r="M159" s="163"/>
      <c r="N159" s="163"/>
    </row>
    <row r="160" spans="1:14" ht="14.4">
      <c r="A160" s="69" t="s">
        <v>1286</v>
      </c>
      <c r="B160" s="69" t="s">
        <v>1287</v>
      </c>
      <c r="C160" s="40" t="s">
        <v>1288</v>
      </c>
      <c r="D160" s="143">
        <v>17</v>
      </c>
      <c r="F160" s="295">
        <f>D160*$F$9</f>
        <v>3.3711000000000002</v>
      </c>
      <c r="G160" s="92">
        <f t="shared" ref="G160:G175" si="36">D160*$G$9</f>
        <v>1.8683000000000001</v>
      </c>
      <c r="H160" s="18">
        <f t="shared" ref="H160:H175" si="37">D160*$H$9</f>
        <v>3.4731000000000001</v>
      </c>
      <c r="I160" s="92">
        <f t="shared" ref="I160:I175" si="38">D160*$I$9</f>
        <v>1.9702999999999999</v>
      </c>
      <c r="J160" s="286"/>
    </row>
    <row r="161" spans="1:10" ht="14.4">
      <c r="A161" s="69" t="s">
        <v>1290</v>
      </c>
      <c r="B161" s="69" t="s">
        <v>1291</v>
      </c>
      <c r="C161" s="40" t="s">
        <v>1292</v>
      </c>
      <c r="D161" s="143">
        <v>24</v>
      </c>
      <c r="F161" s="18">
        <f t="shared" ref="F161:F175" si="39">D161*$F$9</f>
        <v>4.7591999999999999</v>
      </c>
      <c r="G161" s="92">
        <f t="shared" si="36"/>
        <v>2.6375999999999999</v>
      </c>
      <c r="H161" s="18">
        <f t="shared" si="37"/>
        <v>4.9032</v>
      </c>
      <c r="I161" s="92">
        <f t="shared" si="38"/>
        <v>2.7816000000000001</v>
      </c>
      <c r="J161" s="286"/>
    </row>
    <row r="162" spans="1:10" ht="14.4">
      <c r="A162" s="69" t="s">
        <v>1294</v>
      </c>
      <c r="B162" s="69" t="s">
        <v>1295</v>
      </c>
      <c r="C162" s="40" t="s">
        <v>1296</v>
      </c>
      <c r="D162" s="143">
        <v>14</v>
      </c>
      <c r="F162" s="18">
        <f t="shared" si="39"/>
        <v>2.7762000000000002</v>
      </c>
      <c r="G162" s="92">
        <f t="shared" si="36"/>
        <v>1.5386</v>
      </c>
      <c r="H162" s="18">
        <f t="shared" si="37"/>
        <v>2.8602000000000003</v>
      </c>
      <c r="I162" s="92">
        <f t="shared" si="38"/>
        <v>1.6226</v>
      </c>
      <c r="J162" s="286"/>
    </row>
    <row r="163" spans="1:10" ht="14.4">
      <c r="A163" s="69" t="s">
        <v>1298</v>
      </c>
      <c r="B163" s="69" t="s">
        <v>1299</v>
      </c>
      <c r="C163" s="40" t="s">
        <v>1300</v>
      </c>
      <c r="D163" s="143">
        <v>32</v>
      </c>
      <c r="F163" s="18">
        <f t="shared" si="39"/>
        <v>6.3456000000000001</v>
      </c>
      <c r="G163" s="92">
        <f t="shared" si="36"/>
        <v>3.5167999999999999</v>
      </c>
      <c r="H163" s="18">
        <f t="shared" si="37"/>
        <v>6.5376000000000003</v>
      </c>
      <c r="I163" s="92">
        <f t="shared" si="38"/>
        <v>3.7088000000000001</v>
      </c>
      <c r="J163" s="286"/>
    </row>
    <row r="164" spans="1:10" ht="14.4">
      <c r="A164" s="69" t="s">
        <v>1302</v>
      </c>
      <c r="B164" s="69" t="s">
        <v>1303</v>
      </c>
      <c r="C164" s="40" t="s">
        <v>1304</v>
      </c>
      <c r="D164" s="143">
        <v>46</v>
      </c>
      <c r="F164" s="18">
        <f t="shared" si="39"/>
        <v>9.1218000000000004</v>
      </c>
      <c r="G164" s="92">
        <f t="shared" si="36"/>
        <v>5.0553999999999997</v>
      </c>
      <c r="H164" s="18">
        <f t="shared" si="37"/>
        <v>9.3978000000000002</v>
      </c>
      <c r="I164" s="92">
        <f t="shared" si="38"/>
        <v>5.3314000000000004</v>
      </c>
      <c r="J164" s="286"/>
    </row>
    <row r="165" spans="1:10" ht="14.4">
      <c r="A165" s="69" t="s">
        <v>1306</v>
      </c>
      <c r="B165" s="69" t="s">
        <v>1307</v>
      </c>
      <c r="C165" s="40" t="s">
        <v>1308</v>
      </c>
      <c r="D165" s="143">
        <v>37</v>
      </c>
      <c r="F165" s="18">
        <f t="shared" si="39"/>
        <v>7.3371000000000004</v>
      </c>
      <c r="G165" s="92">
        <f t="shared" si="36"/>
        <v>4.0663</v>
      </c>
      <c r="H165" s="18">
        <f t="shared" si="37"/>
        <v>7.5590999999999999</v>
      </c>
      <c r="I165" s="92">
        <f t="shared" si="38"/>
        <v>4.2883000000000004</v>
      </c>
      <c r="J165" s="286"/>
    </row>
    <row r="166" spans="1:10" ht="14.4">
      <c r="A166" s="69" t="s">
        <v>1310</v>
      </c>
      <c r="B166" s="69" t="s">
        <v>1311</v>
      </c>
      <c r="C166" s="40" t="s">
        <v>1312</v>
      </c>
      <c r="D166" s="143">
        <v>12</v>
      </c>
      <c r="F166" s="18">
        <f t="shared" si="39"/>
        <v>2.3795999999999999</v>
      </c>
      <c r="G166" s="92">
        <f t="shared" si="36"/>
        <v>1.3188</v>
      </c>
      <c r="H166" s="18">
        <f t="shared" si="37"/>
        <v>2.4516</v>
      </c>
      <c r="I166" s="92">
        <f t="shared" si="38"/>
        <v>1.3908</v>
      </c>
      <c r="J166" s="286"/>
    </row>
    <row r="167" spans="1:10" ht="14.4">
      <c r="A167" s="69" t="s">
        <v>1314</v>
      </c>
      <c r="B167" s="69" t="s">
        <v>1315</v>
      </c>
      <c r="C167" s="40" t="s">
        <v>1316</v>
      </c>
      <c r="D167" s="143">
        <v>12</v>
      </c>
      <c r="F167" s="18">
        <f t="shared" si="39"/>
        <v>2.3795999999999999</v>
      </c>
      <c r="G167" s="92">
        <f t="shared" si="36"/>
        <v>1.3188</v>
      </c>
      <c r="H167" s="18">
        <f t="shared" si="37"/>
        <v>2.4516</v>
      </c>
      <c r="I167" s="92">
        <f t="shared" si="38"/>
        <v>1.3908</v>
      </c>
      <c r="J167" s="286"/>
    </row>
    <row r="168" spans="1:10" ht="14.4">
      <c r="A168" s="69" t="s">
        <v>1317</v>
      </c>
      <c r="B168" s="69" t="s">
        <v>1318</v>
      </c>
      <c r="C168" s="40" t="s">
        <v>1319</v>
      </c>
      <c r="D168" s="143">
        <v>10</v>
      </c>
      <c r="F168" s="18">
        <f t="shared" si="39"/>
        <v>1.9830000000000001</v>
      </c>
      <c r="G168" s="92">
        <f t="shared" si="36"/>
        <v>1.099</v>
      </c>
      <c r="H168" s="18">
        <f t="shared" si="37"/>
        <v>2.0430000000000001</v>
      </c>
      <c r="I168" s="92">
        <f t="shared" si="38"/>
        <v>1.159</v>
      </c>
      <c r="J168" s="286"/>
    </row>
    <row r="169" spans="1:10" ht="14.4">
      <c r="A169" s="69" t="s">
        <v>1321</v>
      </c>
      <c r="B169" s="69" t="s">
        <v>1322</v>
      </c>
      <c r="C169" s="40" t="s">
        <v>1323</v>
      </c>
      <c r="D169" s="143">
        <v>10</v>
      </c>
      <c r="F169" s="18">
        <f t="shared" si="39"/>
        <v>1.9830000000000001</v>
      </c>
      <c r="G169" s="92">
        <f t="shared" si="36"/>
        <v>1.099</v>
      </c>
      <c r="H169" s="18">
        <f t="shared" si="37"/>
        <v>2.0430000000000001</v>
      </c>
      <c r="I169" s="92">
        <f t="shared" si="38"/>
        <v>1.159</v>
      </c>
      <c r="J169" s="286"/>
    </row>
    <row r="170" spans="1:10" ht="14.4">
      <c r="A170" s="69" t="s">
        <v>1324</v>
      </c>
      <c r="B170" s="69" t="s">
        <v>1325</v>
      </c>
      <c r="C170" s="40" t="s">
        <v>1326</v>
      </c>
      <c r="D170" s="143">
        <v>12</v>
      </c>
      <c r="F170" s="18">
        <f t="shared" si="39"/>
        <v>2.3795999999999999</v>
      </c>
      <c r="G170" s="92">
        <f t="shared" si="36"/>
        <v>1.3188</v>
      </c>
      <c r="H170" s="18">
        <f t="shared" si="37"/>
        <v>2.4516</v>
      </c>
      <c r="I170" s="92">
        <f t="shared" si="38"/>
        <v>1.3908</v>
      </c>
      <c r="J170" s="286"/>
    </row>
    <row r="171" spans="1:10" ht="14.4">
      <c r="A171" s="69" t="s">
        <v>1327</v>
      </c>
      <c r="B171" s="69" t="s">
        <v>1328</v>
      </c>
      <c r="C171" s="40" t="s">
        <v>1329</v>
      </c>
      <c r="D171" s="143">
        <v>12</v>
      </c>
      <c r="F171" s="18">
        <f t="shared" si="39"/>
        <v>2.3795999999999999</v>
      </c>
      <c r="G171" s="92">
        <f t="shared" si="36"/>
        <v>1.3188</v>
      </c>
      <c r="H171" s="18">
        <f t="shared" si="37"/>
        <v>2.4516</v>
      </c>
      <c r="I171" s="92">
        <f t="shared" si="38"/>
        <v>1.3908</v>
      </c>
      <c r="J171" s="286"/>
    </row>
    <row r="172" spans="1:10" ht="14.4">
      <c r="A172" s="69" t="s">
        <v>1330</v>
      </c>
      <c r="B172" s="69" t="s">
        <v>1331</v>
      </c>
      <c r="C172" s="40" t="s">
        <v>1332</v>
      </c>
      <c r="D172" s="143">
        <v>14</v>
      </c>
      <c r="F172" s="18">
        <f t="shared" si="39"/>
        <v>2.7762000000000002</v>
      </c>
      <c r="G172" s="92">
        <f t="shared" si="36"/>
        <v>1.5386</v>
      </c>
      <c r="H172" s="18">
        <f t="shared" si="37"/>
        <v>2.8602000000000003</v>
      </c>
      <c r="I172" s="92">
        <f t="shared" si="38"/>
        <v>1.6226</v>
      </c>
      <c r="J172" s="286"/>
    </row>
    <row r="173" spans="1:10" ht="14.4">
      <c r="A173" s="69" t="s">
        <v>1333</v>
      </c>
      <c r="B173" s="69" t="s">
        <v>1334</v>
      </c>
      <c r="C173" s="40" t="s">
        <v>1335</v>
      </c>
      <c r="D173" s="143">
        <v>32</v>
      </c>
      <c r="F173" s="18">
        <f t="shared" si="39"/>
        <v>6.3456000000000001</v>
      </c>
      <c r="G173" s="92">
        <f t="shared" si="36"/>
        <v>3.5167999999999999</v>
      </c>
      <c r="H173" s="18">
        <f t="shared" si="37"/>
        <v>6.5376000000000003</v>
      </c>
      <c r="I173" s="92">
        <f t="shared" si="38"/>
        <v>3.7088000000000001</v>
      </c>
      <c r="J173" s="286"/>
    </row>
    <row r="174" spans="1:10" ht="14.4">
      <c r="A174" s="69" t="s">
        <v>1336</v>
      </c>
      <c r="B174" s="69" t="s">
        <v>1337</v>
      </c>
      <c r="C174" s="40" t="s">
        <v>1338</v>
      </c>
      <c r="D174" s="143">
        <v>26</v>
      </c>
      <c r="F174" s="18">
        <f t="shared" si="39"/>
        <v>5.1558000000000002</v>
      </c>
      <c r="G174" s="92">
        <f t="shared" si="36"/>
        <v>2.8574000000000002</v>
      </c>
      <c r="H174" s="18">
        <f t="shared" si="37"/>
        <v>5.3117999999999999</v>
      </c>
      <c r="I174" s="92">
        <f t="shared" si="38"/>
        <v>3.0133999999999999</v>
      </c>
      <c r="J174" s="286"/>
    </row>
    <row r="175" spans="1:10" ht="14.4">
      <c r="A175" s="69" t="s">
        <v>1340</v>
      </c>
      <c r="B175" s="69" t="s">
        <v>1341</v>
      </c>
      <c r="C175" s="40" t="s">
        <v>1342</v>
      </c>
      <c r="D175" s="143">
        <v>24</v>
      </c>
      <c r="F175" s="18">
        <f t="shared" si="39"/>
        <v>4.7591999999999999</v>
      </c>
      <c r="G175" s="92">
        <f t="shared" si="36"/>
        <v>2.6375999999999999</v>
      </c>
      <c r="H175" s="18">
        <f t="shared" si="37"/>
        <v>4.9032</v>
      </c>
      <c r="I175" s="92">
        <f t="shared" si="38"/>
        <v>2.7816000000000001</v>
      </c>
      <c r="J175" s="286"/>
    </row>
    <row r="176" spans="1:10">
      <c r="A176" s="69"/>
      <c r="B176" s="48"/>
      <c r="C176" s="107"/>
      <c r="D176" s="47"/>
      <c r="F176" s="18"/>
      <c r="G176" s="92"/>
      <c r="H176" s="18"/>
      <c r="I176" s="92"/>
    </row>
    <row r="177" spans="1:14">
      <c r="A177" s="15" t="s">
        <v>1343</v>
      </c>
      <c r="B177" s="41"/>
      <c r="C177" s="41"/>
      <c r="D177" s="125"/>
      <c r="F177" s="125"/>
      <c r="G177" s="125"/>
      <c r="H177" s="125"/>
      <c r="I177" s="125"/>
    </row>
    <row r="178" spans="1:14">
      <c r="A178" s="69" t="s">
        <v>1344</v>
      </c>
      <c r="B178" s="69" t="s">
        <v>1345</v>
      </c>
      <c r="C178" s="40" t="s">
        <v>1346</v>
      </c>
      <c r="D178" s="114">
        <v>2471</v>
      </c>
      <c r="F178" s="92">
        <f t="shared" si="28"/>
        <v>489.99930000000001</v>
      </c>
      <c r="G178" s="92">
        <f t="shared" si="29"/>
        <v>271.56290000000001</v>
      </c>
      <c r="H178" s="92">
        <f t="shared" si="30"/>
        <v>504.82530000000003</v>
      </c>
      <c r="I178" s="92">
        <f t="shared" si="31"/>
        <v>286.38890000000004</v>
      </c>
    </row>
    <row r="179" spans="1:14">
      <c r="A179" s="271"/>
      <c r="B179" s="59"/>
      <c r="C179" s="272"/>
      <c r="D179" s="273"/>
      <c r="F179" s="274"/>
      <c r="G179" s="274"/>
      <c r="H179" s="163"/>
      <c r="I179" s="163"/>
      <c r="J179" s="163"/>
      <c r="K179" s="163"/>
      <c r="L179" s="163"/>
      <c r="M179" s="163"/>
      <c r="N179" s="163"/>
    </row>
    <row r="180" spans="1:14" ht="27.6">
      <c r="A180" s="271"/>
      <c r="B180" s="59"/>
      <c r="C180" s="272"/>
      <c r="D180" s="273"/>
      <c r="F180" s="50" t="s">
        <v>1542</v>
      </c>
      <c r="G180" s="50" t="s">
        <v>1542</v>
      </c>
      <c r="H180" s="163"/>
      <c r="I180" s="163"/>
      <c r="J180" s="163"/>
      <c r="K180" s="163"/>
      <c r="L180" s="163"/>
      <c r="M180" s="163"/>
      <c r="N180" s="163"/>
    </row>
    <row r="181" spans="1:14">
      <c r="A181" s="271"/>
      <c r="B181" s="59"/>
      <c r="C181" s="272"/>
      <c r="D181" s="273"/>
      <c r="F181" s="118">
        <v>0.25186999999999998</v>
      </c>
      <c r="G181" s="118">
        <v>0.12719</v>
      </c>
      <c r="H181" s="163"/>
      <c r="I181" s="163"/>
      <c r="J181" s="163"/>
      <c r="K181" s="163"/>
      <c r="L181" s="163"/>
      <c r="M181" s="163"/>
      <c r="N181" s="163"/>
    </row>
    <row r="182" spans="1:14">
      <c r="A182" s="271"/>
      <c r="B182" s="59"/>
      <c r="C182" s="272"/>
      <c r="D182" s="273"/>
      <c r="F182" s="395" t="s">
        <v>1565</v>
      </c>
      <c r="G182" s="396"/>
      <c r="H182" s="163"/>
      <c r="I182" s="163"/>
      <c r="J182" s="163"/>
      <c r="K182" s="163"/>
      <c r="L182" s="163"/>
      <c r="M182" s="163"/>
      <c r="N182" s="163"/>
    </row>
    <row r="183" spans="1:14">
      <c r="A183" s="271"/>
      <c r="B183" s="59"/>
      <c r="C183" s="272"/>
      <c r="D183" s="273"/>
      <c r="F183" s="82" t="s">
        <v>1545</v>
      </c>
      <c r="G183" s="17" t="s">
        <v>1546</v>
      </c>
      <c r="H183" s="163"/>
      <c r="I183" s="163"/>
      <c r="J183" s="163"/>
      <c r="K183" s="163"/>
      <c r="L183" s="163"/>
      <c r="M183" s="163"/>
      <c r="N183" s="163"/>
    </row>
    <row r="184" spans="1:14">
      <c r="A184" s="15" t="s">
        <v>1347</v>
      </c>
      <c r="B184" s="41"/>
      <c r="C184" s="41"/>
      <c r="D184" s="125"/>
      <c r="F184" s="125"/>
      <c r="G184" s="125"/>
      <c r="H184" s="163"/>
      <c r="I184" s="163"/>
      <c r="J184" s="163"/>
      <c r="K184" s="163"/>
      <c r="L184" s="163"/>
      <c r="M184" s="163"/>
      <c r="N184" s="163"/>
    </row>
    <row r="185" spans="1:14">
      <c r="A185" s="69" t="s">
        <v>1348</v>
      </c>
      <c r="B185" s="48" t="s">
        <v>1349</v>
      </c>
      <c r="C185" s="40" t="s">
        <v>1350</v>
      </c>
      <c r="D185" s="47">
        <v>3</v>
      </c>
      <c r="F185" s="92">
        <f t="shared" ref="F185:F195" si="40">D185*$F$181</f>
        <v>0.75560999999999989</v>
      </c>
      <c r="G185" s="92">
        <f t="shared" ref="G185:G195" si="41">D185*$G$181</f>
        <v>0.38156999999999996</v>
      </c>
      <c r="H185" s="163"/>
      <c r="I185" s="163"/>
      <c r="J185" s="163"/>
      <c r="K185" s="163"/>
      <c r="L185" s="163"/>
      <c r="M185" s="163"/>
      <c r="N185" s="163"/>
    </row>
    <row r="186" spans="1:14" ht="27.6">
      <c r="A186" s="42" t="s">
        <v>1351</v>
      </c>
      <c r="B186" s="129" t="s">
        <v>1352</v>
      </c>
      <c r="C186" s="40" t="s">
        <v>1353</v>
      </c>
      <c r="D186" s="47">
        <v>5</v>
      </c>
      <c r="F186" s="18">
        <f t="shared" si="40"/>
        <v>1.25935</v>
      </c>
      <c r="G186" s="92">
        <f t="shared" si="41"/>
        <v>0.63595000000000002</v>
      </c>
      <c r="H186" s="163"/>
      <c r="I186" s="163"/>
      <c r="J186" s="163"/>
      <c r="K186" s="163"/>
      <c r="L186" s="163"/>
      <c r="M186" s="163"/>
      <c r="N186" s="163"/>
    </row>
    <row r="187" spans="1:14">
      <c r="A187" s="42" t="s">
        <v>1354</v>
      </c>
      <c r="B187" s="129" t="s">
        <v>1352</v>
      </c>
      <c r="C187" s="40" t="s">
        <v>1353</v>
      </c>
      <c r="D187" s="47">
        <v>5</v>
      </c>
      <c r="F187" s="18">
        <f t="shared" si="40"/>
        <v>1.25935</v>
      </c>
      <c r="G187" s="92">
        <f t="shared" si="41"/>
        <v>0.63595000000000002</v>
      </c>
      <c r="H187" s="163"/>
      <c r="I187" s="163"/>
      <c r="J187" s="163"/>
      <c r="K187" s="163"/>
      <c r="L187" s="163"/>
      <c r="M187" s="163"/>
      <c r="N187" s="163"/>
    </row>
    <row r="188" spans="1:14">
      <c r="A188" s="69" t="s">
        <v>1355</v>
      </c>
      <c r="B188" s="48" t="s">
        <v>1356</v>
      </c>
      <c r="C188" s="40" t="s">
        <v>1357</v>
      </c>
      <c r="D188" s="47">
        <v>3</v>
      </c>
      <c r="F188" s="18">
        <f t="shared" si="40"/>
        <v>0.75560999999999989</v>
      </c>
      <c r="G188" s="92">
        <f t="shared" si="41"/>
        <v>0.38156999999999996</v>
      </c>
      <c r="H188" s="163"/>
      <c r="I188" s="163"/>
      <c r="J188" s="163"/>
      <c r="K188" s="163"/>
      <c r="L188" s="163"/>
      <c r="M188" s="163"/>
      <c r="N188" s="163"/>
    </row>
    <row r="189" spans="1:14" ht="27.6">
      <c r="A189" s="69" t="s">
        <v>1358</v>
      </c>
      <c r="B189" s="48" t="s">
        <v>1359</v>
      </c>
      <c r="C189" s="40" t="s">
        <v>1360</v>
      </c>
      <c r="D189" s="47">
        <v>6</v>
      </c>
      <c r="F189" s="18">
        <f t="shared" si="40"/>
        <v>1.5112199999999998</v>
      </c>
      <c r="G189" s="92">
        <f t="shared" si="41"/>
        <v>0.76313999999999993</v>
      </c>
      <c r="H189" s="163"/>
      <c r="I189" s="163"/>
      <c r="J189" s="163"/>
      <c r="K189" s="163"/>
      <c r="L189" s="163"/>
      <c r="M189" s="163"/>
      <c r="N189" s="163"/>
    </row>
    <row r="190" spans="1:14">
      <c r="A190" s="69" t="s">
        <v>1361</v>
      </c>
      <c r="B190" s="48" t="s">
        <v>1362</v>
      </c>
      <c r="C190" s="40" t="s">
        <v>1363</v>
      </c>
      <c r="D190" s="47">
        <v>6</v>
      </c>
      <c r="F190" s="18">
        <f t="shared" si="40"/>
        <v>1.5112199999999998</v>
      </c>
      <c r="G190" s="92">
        <f t="shared" si="41"/>
        <v>0.76313999999999993</v>
      </c>
      <c r="H190" s="163"/>
      <c r="I190" s="163"/>
      <c r="J190" s="163"/>
      <c r="K190" s="163"/>
      <c r="L190" s="163"/>
      <c r="M190" s="163"/>
      <c r="N190" s="163"/>
    </row>
    <row r="191" spans="1:14">
      <c r="A191" s="69" t="s">
        <v>1364</v>
      </c>
      <c r="B191" s="48" t="s">
        <v>1365</v>
      </c>
      <c r="C191" s="40" t="s">
        <v>1366</v>
      </c>
      <c r="D191" s="47">
        <v>2</v>
      </c>
      <c r="F191" s="18">
        <f t="shared" si="40"/>
        <v>0.50373999999999997</v>
      </c>
      <c r="G191" s="92">
        <f t="shared" si="41"/>
        <v>0.25438</v>
      </c>
      <c r="H191" s="163"/>
      <c r="I191" s="163"/>
      <c r="J191" s="163"/>
      <c r="K191" s="163"/>
      <c r="L191" s="163"/>
      <c r="M191" s="163"/>
      <c r="N191" s="163"/>
    </row>
    <row r="192" spans="1:14">
      <c r="A192" s="69" t="s">
        <v>1367</v>
      </c>
      <c r="B192" s="48" t="s">
        <v>1368</v>
      </c>
      <c r="C192" s="40" t="s">
        <v>1369</v>
      </c>
      <c r="D192" s="47">
        <v>2</v>
      </c>
      <c r="F192" s="18">
        <f t="shared" si="40"/>
        <v>0.50373999999999997</v>
      </c>
      <c r="G192" s="92">
        <f t="shared" si="41"/>
        <v>0.25438</v>
      </c>
      <c r="H192" s="163"/>
      <c r="I192" s="163"/>
      <c r="J192" s="163"/>
      <c r="K192" s="163"/>
      <c r="L192" s="163"/>
      <c r="M192" s="163"/>
      <c r="N192" s="163"/>
    </row>
    <row r="193" spans="1:14">
      <c r="A193" s="69" t="s">
        <v>1370</v>
      </c>
      <c r="B193" s="48" t="s">
        <v>1371</v>
      </c>
      <c r="C193" s="40" t="s">
        <v>1372</v>
      </c>
      <c r="D193" s="47">
        <v>2</v>
      </c>
      <c r="F193" s="18">
        <f t="shared" si="40"/>
        <v>0.50373999999999997</v>
      </c>
      <c r="G193" s="92">
        <f t="shared" si="41"/>
        <v>0.25438</v>
      </c>
      <c r="H193" s="163"/>
      <c r="I193" s="163"/>
      <c r="J193" s="163"/>
      <c r="K193" s="163"/>
      <c r="L193" s="163"/>
      <c r="M193" s="163"/>
      <c r="N193" s="163"/>
    </row>
    <row r="194" spans="1:14">
      <c r="A194" s="132" t="s">
        <v>1373</v>
      </c>
      <c r="B194" s="230" t="s">
        <v>1374</v>
      </c>
      <c r="C194" s="107" t="s">
        <v>1375</v>
      </c>
      <c r="D194" s="217">
        <v>5</v>
      </c>
      <c r="F194" s="18">
        <f t="shared" si="40"/>
        <v>1.25935</v>
      </c>
      <c r="G194" s="92">
        <f t="shared" si="41"/>
        <v>0.63595000000000002</v>
      </c>
      <c r="H194" s="163"/>
      <c r="I194" s="163"/>
      <c r="J194" s="163"/>
      <c r="K194" s="163"/>
      <c r="L194" s="163"/>
      <c r="M194" s="163"/>
      <c r="N194" s="163"/>
    </row>
    <row r="195" spans="1:14">
      <c r="A195" s="132" t="s">
        <v>1376</v>
      </c>
      <c r="B195" s="230" t="s">
        <v>1377</v>
      </c>
      <c r="C195" s="107" t="s">
        <v>1378</v>
      </c>
      <c r="D195" s="217">
        <v>20</v>
      </c>
      <c r="F195" s="18">
        <f t="shared" si="40"/>
        <v>5.0373999999999999</v>
      </c>
      <c r="G195" s="92">
        <f t="shared" si="41"/>
        <v>2.5438000000000001</v>
      </c>
      <c r="H195" s="163"/>
      <c r="I195" s="163"/>
      <c r="J195" s="163"/>
      <c r="K195" s="163"/>
      <c r="L195" s="163"/>
      <c r="M195" s="163"/>
      <c r="N195" s="163"/>
    </row>
    <row r="196" spans="1:14">
      <c r="A196" s="132"/>
      <c r="B196" s="230"/>
      <c r="C196" s="107"/>
      <c r="D196" s="217"/>
      <c r="F196" s="18"/>
      <c r="G196" s="92"/>
      <c r="H196" s="163"/>
      <c r="I196" s="163"/>
      <c r="J196" s="163"/>
      <c r="K196" s="163"/>
      <c r="L196" s="163"/>
      <c r="M196" s="163"/>
      <c r="N196" s="163"/>
    </row>
    <row r="197" spans="1:14">
      <c r="A197" s="15" t="s">
        <v>1379</v>
      </c>
      <c r="B197" s="41"/>
      <c r="C197" s="41"/>
      <c r="D197" s="125"/>
      <c r="F197" s="125"/>
      <c r="G197" s="125"/>
      <c r="H197" s="163"/>
      <c r="I197" s="163"/>
      <c r="J197" s="163"/>
      <c r="K197" s="163"/>
      <c r="L197" s="163"/>
      <c r="M197" s="163"/>
      <c r="N197" s="163"/>
    </row>
    <row r="198" spans="1:14">
      <c r="A198" s="129" t="s">
        <v>1380</v>
      </c>
      <c r="B198" s="129" t="s">
        <v>1380</v>
      </c>
      <c r="C198" s="40" t="s">
        <v>1381</v>
      </c>
      <c r="D198" s="47">
        <v>23</v>
      </c>
      <c r="F198" s="18">
        <f>D198*$F$181</f>
        <v>5.7930099999999998</v>
      </c>
      <c r="G198" s="92">
        <f>D198*$G$181</f>
        <v>2.92537</v>
      </c>
      <c r="H198" s="163"/>
      <c r="I198" s="163"/>
      <c r="J198" s="163"/>
      <c r="K198" s="163"/>
      <c r="L198" s="163"/>
      <c r="M198" s="163"/>
      <c r="N198" s="163"/>
    </row>
    <row r="199" spans="1:14">
      <c r="A199" s="129" t="s">
        <v>1382</v>
      </c>
      <c r="B199" s="129" t="s">
        <v>1382</v>
      </c>
      <c r="C199" s="40" t="s">
        <v>1383</v>
      </c>
      <c r="D199" s="47">
        <v>10</v>
      </c>
      <c r="F199" s="18">
        <f>D199*$F$181</f>
        <v>2.5186999999999999</v>
      </c>
      <c r="G199" s="92">
        <f>D199*$G$181</f>
        <v>1.2719</v>
      </c>
      <c r="H199" s="163"/>
      <c r="I199" s="163"/>
      <c r="J199" s="163"/>
      <c r="K199" s="163"/>
      <c r="L199" s="163"/>
      <c r="M199" s="163"/>
      <c r="N199" s="163"/>
    </row>
    <row r="200" spans="1:14">
      <c r="A200" s="129" t="s">
        <v>1384</v>
      </c>
      <c r="B200" s="129" t="s">
        <v>1384</v>
      </c>
      <c r="C200" s="40" t="s">
        <v>1385</v>
      </c>
      <c r="D200" s="47">
        <v>2</v>
      </c>
      <c r="F200" s="18">
        <f>D200*$F$181</f>
        <v>0.50373999999999997</v>
      </c>
      <c r="G200" s="92">
        <f>D200*$G$181</f>
        <v>0.25438</v>
      </c>
      <c r="H200" s="163"/>
      <c r="I200" s="163"/>
      <c r="J200" s="163"/>
      <c r="K200" s="163"/>
      <c r="L200" s="163"/>
      <c r="M200" s="163"/>
      <c r="N200" s="163"/>
    </row>
    <row r="201" spans="1:14">
      <c r="A201" s="129"/>
      <c r="B201" s="129"/>
      <c r="C201" s="40"/>
      <c r="D201" s="47"/>
      <c r="F201" s="18"/>
      <c r="G201" s="92"/>
      <c r="H201" s="163"/>
      <c r="I201" s="163"/>
      <c r="J201" s="163"/>
      <c r="K201" s="163"/>
      <c r="L201" s="163"/>
      <c r="M201" s="163"/>
      <c r="N201" s="163"/>
    </row>
    <row r="202" spans="1:14" ht="27.6">
      <c r="A202" s="15" t="s">
        <v>1386</v>
      </c>
      <c r="B202" s="41"/>
      <c r="C202" s="41"/>
      <c r="D202" s="125"/>
      <c r="F202" s="125"/>
      <c r="G202" s="125"/>
      <c r="H202" s="163"/>
      <c r="I202" s="163"/>
      <c r="J202" s="163"/>
      <c r="K202" s="163"/>
      <c r="L202" s="163"/>
      <c r="M202" s="163"/>
      <c r="N202" s="163"/>
    </row>
    <row r="203" spans="1:14">
      <c r="A203" s="129" t="s">
        <v>1387</v>
      </c>
      <c r="B203" s="129" t="s">
        <v>1388</v>
      </c>
      <c r="C203" s="40" t="s">
        <v>1389</v>
      </c>
      <c r="D203" s="47">
        <v>75</v>
      </c>
      <c r="F203" s="18">
        <f>D203*$F$181</f>
        <v>18.890249999999998</v>
      </c>
      <c r="G203" s="92">
        <f>D203*$G$181</f>
        <v>9.5392499999999991</v>
      </c>
      <c r="H203" s="163"/>
      <c r="I203" s="163"/>
      <c r="J203" s="163"/>
      <c r="K203" s="163"/>
      <c r="L203" s="163"/>
      <c r="M203" s="163"/>
      <c r="N203" s="163"/>
    </row>
    <row r="204" spans="1:14">
      <c r="A204" s="129" t="s">
        <v>1390</v>
      </c>
      <c r="B204" s="129" t="s">
        <v>1391</v>
      </c>
      <c r="C204" s="40" t="s">
        <v>1392</v>
      </c>
      <c r="D204" s="47">
        <v>36</v>
      </c>
      <c r="F204" s="18">
        <f>D204*$F$181</f>
        <v>9.0673199999999987</v>
      </c>
      <c r="G204" s="92">
        <f>D204*$G$181</f>
        <v>4.5788399999999996</v>
      </c>
      <c r="H204" s="163"/>
      <c r="I204" s="163"/>
      <c r="J204" s="163"/>
      <c r="K204" s="163"/>
      <c r="L204" s="163"/>
      <c r="M204" s="163"/>
      <c r="N204" s="163"/>
    </row>
    <row r="205" spans="1:14">
      <c r="A205" s="129" t="s">
        <v>1393</v>
      </c>
      <c r="B205" s="129" t="s">
        <v>1394</v>
      </c>
      <c r="C205" s="40" t="s">
        <v>1395</v>
      </c>
      <c r="D205" s="47">
        <v>75</v>
      </c>
      <c r="F205" s="18">
        <f>D205*$F$181</f>
        <v>18.890249999999998</v>
      </c>
      <c r="G205" s="92">
        <f>D205*$G$181</f>
        <v>9.5392499999999991</v>
      </c>
      <c r="H205" s="163"/>
      <c r="I205" s="163"/>
      <c r="J205" s="163"/>
      <c r="K205" s="163"/>
      <c r="L205" s="163"/>
      <c r="M205" s="163"/>
      <c r="N205" s="163"/>
    </row>
    <row r="206" spans="1:14">
      <c r="A206" s="129" t="s">
        <v>1396</v>
      </c>
      <c r="B206" s="129" t="s">
        <v>1397</v>
      </c>
      <c r="C206" s="40" t="s">
        <v>1398</v>
      </c>
      <c r="D206" s="47">
        <v>36</v>
      </c>
      <c r="F206" s="18">
        <f>D206*$F$181</f>
        <v>9.0673199999999987</v>
      </c>
      <c r="G206" s="92">
        <f>D206*$G$181</f>
        <v>4.5788399999999996</v>
      </c>
      <c r="H206" s="163"/>
      <c r="I206" s="163"/>
      <c r="J206" s="163"/>
      <c r="K206" s="163"/>
      <c r="L206" s="163"/>
      <c r="M206" s="163"/>
      <c r="N206" s="163"/>
    </row>
    <row r="207" spans="1:14">
      <c r="A207" s="129"/>
      <c r="B207" s="129"/>
      <c r="C207" s="40"/>
      <c r="D207" s="47"/>
      <c r="F207" s="18"/>
      <c r="G207" s="92"/>
      <c r="H207" s="163"/>
      <c r="I207" s="163"/>
      <c r="J207" s="163"/>
      <c r="K207" s="163"/>
      <c r="L207" s="163"/>
      <c r="M207" s="163"/>
      <c r="N207" s="163"/>
    </row>
    <row r="208" spans="1:14" ht="27.6">
      <c r="A208" s="15" t="s">
        <v>1399</v>
      </c>
      <c r="B208" s="41"/>
      <c r="C208" s="41"/>
      <c r="D208" s="125"/>
      <c r="F208" s="125"/>
      <c r="G208" s="125"/>
      <c r="H208" s="163"/>
      <c r="I208" s="163"/>
      <c r="J208" s="163"/>
      <c r="K208" s="163"/>
      <c r="L208" s="163"/>
      <c r="M208" s="163"/>
      <c r="N208" s="163"/>
    </row>
    <row r="209" spans="1:14">
      <c r="A209" s="96" t="s">
        <v>1400</v>
      </c>
      <c r="B209" s="96" t="s">
        <v>1401</v>
      </c>
      <c r="C209" s="107" t="s">
        <v>1402</v>
      </c>
      <c r="D209" s="217">
        <v>8</v>
      </c>
      <c r="F209" s="18">
        <f t="shared" ref="F209:F219" si="42">D209*$F$181</f>
        <v>2.0149599999999999</v>
      </c>
      <c r="G209" s="92">
        <f t="shared" ref="G209:G219" si="43">D209*$G$181</f>
        <v>1.01752</v>
      </c>
      <c r="H209" s="163"/>
      <c r="I209" s="163"/>
      <c r="J209" s="163"/>
      <c r="K209" s="163"/>
      <c r="L209" s="163"/>
      <c r="M209" s="163"/>
      <c r="N209" s="163"/>
    </row>
    <row r="210" spans="1:14">
      <c r="A210" s="96" t="s">
        <v>1403</v>
      </c>
      <c r="B210" s="96" t="s">
        <v>1403</v>
      </c>
      <c r="C210" s="107" t="s">
        <v>1404</v>
      </c>
      <c r="D210" s="217">
        <v>6</v>
      </c>
      <c r="F210" s="18">
        <f t="shared" si="42"/>
        <v>1.5112199999999998</v>
      </c>
      <c r="G210" s="92">
        <f t="shared" si="43"/>
        <v>0.76313999999999993</v>
      </c>
      <c r="H210" s="163"/>
      <c r="I210" s="163"/>
      <c r="J210" s="163"/>
      <c r="K210" s="163"/>
      <c r="L210" s="163"/>
      <c r="M210" s="163"/>
      <c r="N210" s="163"/>
    </row>
    <row r="211" spans="1:14">
      <c r="A211" s="96" t="s">
        <v>1405</v>
      </c>
      <c r="B211" s="96" t="s">
        <v>1406</v>
      </c>
      <c r="C211" s="107" t="s">
        <v>1407</v>
      </c>
      <c r="D211" s="217">
        <v>18</v>
      </c>
      <c r="F211" s="18">
        <f t="shared" si="42"/>
        <v>4.5336599999999994</v>
      </c>
      <c r="G211" s="92">
        <f t="shared" si="43"/>
        <v>2.2894199999999998</v>
      </c>
      <c r="H211" s="163"/>
      <c r="I211" s="163"/>
      <c r="J211" s="163"/>
      <c r="K211" s="163"/>
      <c r="L211" s="163"/>
      <c r="M211" s="163"/>
      <c r="N211" s="163"/>
    </row>
    <row r="212" spans="1:14">
      <c r="A212" s="96" t="s">
        <v>1408</v>
      </c>
      <c r="B212" s="96" t="s">
        <v>1409</v>
      </c>
      <c r="C212" s="107" t="s">
        <v>1410</v>
      </c>
      <c r="D212" s="217">
        <v>8</v>
      </c>
      <c r="F212" s="18">
        <f t="shared" si="42"/>
        <v>2.0149599999999999</v>
      </c>
      <c r="G212" s="92">
        <f t="shared" si="43"/>
        <v>1.01752</v>
      </c>
      <c r="H212" s="163"/>
      <c r="I212" s="163"/>
      <c r="J212" s="163"/>
      <c r="K212" s="163"/>
      <c r="L212" s="163"/>
      <c r="M212" s="163"/>
      <c r="N212" s="163"/>
    </row>
    <row r="213" spans="1:14">
      <c r="A213" s="96" t="s">
        <v>1411</v>
      </c>
      <c r="B213" s="96" t="s">
        <v>1412</v>
      </c>
      <c r="C213" s="107" t="s">
        <v>1413</v>
      </c>
      <c r="D213" s="217">
        <v>4</v>
      </c>
      <c r="F213" s="18">
        <f t="shared" si="42"/>
        <v>1.0074799999999999</v>
      </c>
      <c r="G213" s="92">
        <f t="shared" si="43"/>
        <v>0.50875999999999999</v>
      </c>
      <c r="H213" s="163"/>
      <c r="I213" s="163"/>
      <c r="J213" s="163"/>
      <c r="K213" s="163"/>
      <c r="L213" s="163"/>
      <c r="M213" s="163"/>
      <c r="N213" s="163"/>
    </row>
    <row r="214" spans="1:14">
      <c r="A214" s="96" t="s">
        <v>1414</v>
      </c>
      <c r="B214" s="96" t="s">
        <v>1415</v>
      </c>
      <c r="C214" s="107" t="s">
        <v>1416</v>
      </c>
      <c r="D214" s="217">
        <v>4</v>
      </c>
      <c r="F214" s="18">
        <f t="shared" si="42"/>
        <v>1.0074799999999999</v>
      </c>
      <c r="G214" s="92">
        <f t="shared" si="43"/>
        <v>0.50875999999999999</v>
      </c>
      <c r="H214" s="163"/>
      <c r="I214" s="163"/>
      <c r="J214" s="163"/>
      <c r="K214" s="163"/>
      <c r="L214" s="163"/>
      <c r="M214" s="163"/>
      <c r="N214" s="163"/>
    </row>
    <row r="215" spans="1:14">
      <c r="A215" s="96" t="s">
        <v>1417</v>
      </c>
      <c r="B215" s="96" t="s">
        <v>1418</v>
      </c>
      <c r="C215" s="107" t="s">
        <v>1419</v>
      </c>
      <c r="D215" s="217">
        <v>4</v>
      </c>
      <c r="F215" s="18">
        <f t="shared" si="42"/>
        <v>1.0074799999999999</v>
      </c>
      <c r="G215" s="92">
        <f t="shared" si="43"/>
        <v>0.50875999999999999</v>
      </c>
      <c r="H215" s="163"/>
      <c r="I215" s="163"/>
      <c r="J215" s="163"/>
      <c r="K215" s="163"/>
      <c r="L215" s="163"/>
      <c r="M215" s="163"/>
      <c r="N215" s="163"/>
    </row>
    <row r="216" spans="1:14">
      <c r="A216" s="96" t="s">
        <v>1420</v>
      </c>
      <c r="B216" s="96" t="s">
        <v>1421</v>
      </c>
      <c r="C216" s="107" t="s">
        <v>1422</v>
      </c>
      <c r="D216" s="217">
        <v>4</v>
      </c>
      <c r="F216" s="18">
        <f t="shared" si="42"/>
        <v>1.0074799999999999</v>
      </c>
      <c r="G216" s="92">
        <f t="shared" si="43"/>
        <v>0.50875999999999999</v>
      </c>
      <c r="H216" s="163"/>
      <c r="I216" s="163"/>
      <c r="J216" s="163"/>
      <c r="K216" s="163"/>
      <c r="L216" s="163"/>
      <c r="M216" s="163"/>
      <c r="N216" s="163"/>
    </row>
    <row r="217" spans="1:14">
      <c r="A217" s="96" t="s">
        <v>1423</v>
      </c>
      <c r="B217" s="96" t="s">
        <v>1424</v>
      </c>
      <c r="C217" s="107" t="s">
        <v>1425</v>
      </c>
      <c r="D217" s="217">
        <v>10</v>
      </c>
      <c r="F217" s="18">
        <f t="shared" si="42"/>
        <v>2.5186999999999999</v>
      </c>
      <c r="G217" s="92">
        <f t="shared" si="43"/>
        <v>1.2719</v>
      </c>
      <c r="H217" s="163"/>
      <c r="I217" s="163"/>
      <c r="J217" s="163"/>
      <c r="K217" s="163"/>
      <c r="L217" s="163"/>
      <c r="M217" s="163"/>
      <c r="N217" s="163"/>
    </row>
    <row r="218" spans="1:14">
      <c r="A218" s="96" t="s">
        <v>1426</v>
      </c>
      <c r="B218" s="96" t="s">
        <v>1427</v>
      </c>
      <c r="C218" s="107" t="s">
        <v>1428</v>
      </c>
      <c r="D218" s="217">
        <v>4</v>
      </c>
      <c r="F218" s="18">
        <f t="shared" si="42"/>
        <v>1.0074799999999999</v>
      </c>
      <c r="G218" s="92">
        <f t="shared" si="43"/>
        <v>0.50875999999999999</v>
      </c>
      <c r="H218" s="163"/>
      <c r="I218" s="163"/>
      <c r="J218" s="163"/>
      <c r="K218" s="163"/>
      <c r="L218" s="163"/>
      <c r="M218" s="163"/>
      <c r="N218" s="163"/>
    </row>
    <row r="219" spans="1:14">
      <c r="A219" s="96" t="s">
        <v>1429</v>
      </c>
      <c r="B219" s="96" t="s">
        <v>1430</v>
      </c>
      <c r="C219" s="107" t="s">
        <v>1431</v>
      </c>
      <c r="D219" s="217">
        <v>18</v>
      </c>
      <c r="F219" s="18">
        <f t="shared" si="42"/>
        <v>4.5336599999999994</v>
      </c>
      <c r="G219" s="92">
        <f t="shared" si="43"/>
        <v>2.2894199999999998</v>
      </c>
      <c r="H219" s="163"/>
      <c r="I219" s="163"/>
      <c r="J219" s="163"/>
      <c r="K219" s="163"/>
      <c r="L219" s="163"/>
      <c r="M219" s="163"/>
      <c r="N219" s="163"/>
    </row>
    <row r="220" spans="1:14" ht="27.6">
      <c r="A220" s="129" t="s">
        <v>1432</v>
      </c>
      <c r="B220" s="129" t="s">
        <v>1433</v>
      </c>
      <c r="C220" s="40" t="s">
        <v>1434</v>
      </c>
      <c r="D220" s="47">
        <v>3</v>
      </c>
      <c r="F220" s="18">
        <f t="shared" ref="F220" si="44">D220*$F$181</f>
        <v>0.75560999999999989</v>
      </c>
      <c r="G220" s="92">
        <f t="shared" ref="G220" si="45">D220*$G$181</f>
        <v>0.38156999999999996</v>
      </c>
      <c r="H220" s="163"/>
      <c r="I220" s="163"/>
      <c r="J220" s="163"/>
      <c r="K220" s="163"/>
      <c r="L220" s="163"/>
      <c r="M220" s="163"/>
      <c r="N220" s="163"/>
    </row>
    <row r="221" spans="1:14">
      <c r="A221" s="15" t="s">
        <v>1435</v>
      </c>
      <c r="B221" s="41"/>
      <c r="C221" s="41"/>
      <c r="D221" s="125"/>
      <c r="F221" s="125"/>
      <c r="G221" s="125"/>
      <c r="H221" s="163"/>
      <c r="I221" s="163"/>
      <c r="J221" s="163"/>
      <c r="K221" s="163"/>
      <c r="L221" s="163"/>
      <c r="M221" s="163"/>
      <c r="N221" s="163"/>
    </row>
    <row r="222" spans="1:14" ht="27.6">
      <c r="A222" s="48" t="s">
        <v>1436</v>
      </c>
      <c r="B222" s="48" t="s">
        <v>1437</v>
      </c>
      <c r="C222" s="40" t="s">
        <v>1438</v>
      </c>
      <c r="D222" s="123">
        <v>69</v>
      </c>
      <c r="F222" s="18">
        <f>D222*$F$181</f>
        <v>17.37903</v>
      </c>
      <c r="G222" s="92">
        <f>D222*$G$181</f>
        <v>8.7761099999999992</v>
      </c>
      <c r="H222" s="163"/>
      <c r="I222" s="163"/>
      <c r="J222" s="163"/>
      <c r="K222" s="163"/>
      <c r="L222" s="163"/>
      <c r="M222" s="163"/>
      <c r="N222" s="163"/>
    </row>
    <row r="223" spans="1:14" ht="27.6">
      <c r="A223" s="48" t="s">
        <v>1436</v>
      </c>
      <c r="B223" s="48" t="s">
        <v>1439</v>
      </c>
      <c r="C223" s="40" t="s">
        <v>1440</v>
      </c>
      <c r="D223" s="123">
        <v>62</v>
      </c>
      <c r="F223" s="18">
        <f>D223*$F$181</f>
        <v>15.615939999999998</v>
      </c>
      <c r="G223" s="92">
        <f>D223*$G$181</f>
        <v>7.8857799999999996</v>
      </c>
      <c r="H223" s="163"/>
      <c r="I223" s="163"/>
      <c r="J223" s="163"/>
      <c r="K223" s="163"/>
      <c r="L223" s="163"/>
      <c r="M223" s="163"/>
      <c r="N223" s="163"/>
    </row>
    <row r="224" spans="1:14" ht="27.6">
      <c r="A224" s="48" t="s">
        <v>1441</v>
      </c>
      <c r="B224" s="48" t="s">
        <v>1442</v>
      </c>
      <c r="C224" s="40" t="s">
        <v>1443</v>
      </c>
      <c r="D224" s="146">
        <v>48</v>
      </c>
      <c r="F224" s="18">
        <f>D224*$F$181</f>
        <v>12.089759999999998</v>
      </c>
      <c r="G224" s="92">
        <f>D224*$G$181</f>
        <v>6.1051199999999994</v>
      </c>
      <c r="H224" s="163"/>
      <c r="I224" s="163"/>
      <c r="J224" s="163"/>
      <c r="K224" s="163"/>
      <c r="L224" s="163"/>
      <c r="M224" s="163"/>
      <c r="N224" s="163"/>
    </row>
    <row r="225" spans="1:14">
      <c r="A225" s="84"/>
      <c r="B225" s="84"/>
      <c r="C225" s="40"/>
      <c r="D225" s="47"/>
      <c r="F225" s="18"/>
      <c r="G225" s="92"/>
      <c r="H225" s="163"/>
      <c r="I225" s="163"/>
      <c r="J225" s="163"/>
      <c r="K225" s="163"/>
      <c r="L225" s="163"/>
      <c r="M225" s="163"/>
      <c r="N225" s="163"/>
    </row>
    <row r="226" spans="1:14" ht="27.6">
      <c r="A226" s="15" t="s">
        <v>1444</v>
      </c>
      <c r="B226" s="41"/>
      <c r="C226" s="41"/>
      <c r="D226" s="125"/>
      <c r="F226" s="125"/>
      <c r="G226" s="125"/>
      <c r="H226" s="163"/>
      <c r="I226" s="163"/>
      <c r="J226" s="163"/>
      <c r="K226" s="163"/>
      <c r="L226" s="163"/>
      <c r="M226" s="163"/>
      <c r="N226" s="163"/>
    </row>
    <row r="227" spans="1:14" ht="27.6">
      <c r="A227" s="230" t="s">
        <v>1445</v>
      </c>
      <c r="B227" s="230" t="s">
        <v>1446</v>
      </c>
      <c r="C227" s="107" t="s">
        <v>1447</v>
      </c>
      <c r="D227" s="147">
        <v>50</v>
      </c>
      <c r="F227" s="18">
        <f>D227*$F$181</f>
        <v>12.593499999999999</v>
      </c>
      <c r="G227" s="92">
        <f>D227*$G$181</f>
        <v>6.3594999999999997</v>
      </c>
      <c r="H227" s="163"/>
      <c r="I227" s="163"/>
      <c r="J227" s="163"/>
      <c r="K227" s="163"/>
      <c r="L227" s="163"/>
      <c r="M227" s="163"/>
      <c r="N227" s="163"/>
    </row>
    <row r="228" spans="1:14" ht="27.6">
      <c r="A228" s="230" t="s">
        <v>1448</v>
      </c>
      <c r="B228" s="230" t="s">
        <v>1446</v>
      </c>
      <c r="C228" s="107" t="s">
        <v>1449</v>
      </c>
      <c r="D228" s="147">
        <v>18</v>
      </c>
      <c r="F228" s="18">
        <f>D228*$F$181</f>
        <v>4.5336599999999994</v>
      </c>
      <c r="G228" s="92">
        <f>D228*$G$181</f>
        <v>2.2894199999999998</v>
      </c>
      <c r="H228" s="163"/>
      <c r="I228" s="163"/>
      <c r="J228" s="163"/>
      <c r="K228" s="163"/>
      <c r="L228" s="163"/>
      <c r="M228" s="163"/>
      <c r="N228" s="163"/>
    </row>
    <row r="229" spans="1:14">
      <c r="A229" s="230" t="s">
        <v>1450</v>
      </c>
      <c r="B229" s="230" t="s">
        <v>1446</v>
      </c>
      <c r="C229" s="107" t="s">
        <v>1451</v>
      </c>
      <c r="D229" s="133">
        <v>36</v>
      </c>
      <c r="F229" s="18">
        <f>D229*$F$181</f>
        <v>9.0673199999999987</v>
      </c>
      <c r="G229" s="92">
        <f>D229*$G$181</f>
        <v>4.5788399999999996</v>
      </c>
      <c r="H229" s="163"/>
      <c r="I229" s="163"/>
      <c r="J229" s="163"/>
      <c r="K229" s="163"/>
      <c r="L229" s="163"/>
      <c r="M229" s="163"/>
      <c r="N229" s="163"/>
    </row>
    <row r="230" spans="1:14">
      <c r="A230" s="48"/>
      <c r="B230" s="48"/>
      <c r="C230" s="40"/>
      <c r="D230" s="47"/>
      <c r="F230" s="18"/>
      <c r="G230" s="92"/>
      <c r="H230" s="163"/>
      <c r="I230" s="163"/>
      <c r="J230" s="163"/>
      <c r="K230" s="163"/>
      <c r="L230" s="163"/>
      <c r="M230" s="163"/>
      <c r="N230" s="163"/>
    </row>
    <row r="231" spans="1:14" ht="27.6">
      <c r="A231" s="15" t="s">
        <v>1452</v>
      </c>
      <c r="B231" s="41"/>
      <c r="C231" s="41"/>
      <c r="D231" s="125"/>
      <c r="F231" s="125"/>
      <c r="G231" s="125"/>
      <c r="H231" s="163"/>
      <c r="I231" s="163"/>
      <c r="J231" s="163"/>
      <c r="K231" s="163"/>
      <c r="L231" s="163"/>
      <c r="M231" s="163"/>
      <c r="N231" s="163"/>
    </row>
    <row r="232" spans="1:14">
      <c r="A232" s="69" t="s">
        <v>1453</v>
      </c>
      <c r="B232" s="48" t="s">
        <v>1446</v>
      </c>
      <c r="C232" s="40" t="s">
        <v>1454</v>
      </c>
      <c r="D232" s="123">
        <v>90</v>
      </c>
      <c r="F232" s="18">
        <f>D232*$F$181</f>
        <v>22.668299999999999</v>
      </c>
      <c r="G232" s="92">
        <f>D232*$G$181</f>
        <v>11.447099999999999</v>
      </c>
      <c r="H232" s="163"/>
      <c r="I232" s="163"/>
      <c r="J232" s="163"/>
      <c r="K232" s="163"/>
      <c r="L232" s="163"/>
      <c r="M232" s="163"/>
      <c r="N232" s="163"/>
    </row>
    <row r="233" spans="1:14">
      <c r="A233" s="48" t="s">
        <v>1455</v>
      </c>
      <c r="B233" s="48" t="s">
        <v>1446</v>
      </c>
      <c r="C233" s="40" t="s">
        <v>1456</v>
      </c>
      <c r="D233" s="123">
        <v>18</v>
      </c>
      <c r="F233" s="18">
        <f>D233*$F$181</f>
        <v>4.5336599999999994</v>
      </c>
      <c r="G233" s="92">
        <f>D233*$G$181</f>
        <v>2.2894199999999998</v>
      </c>
      <c r="H233" s="163"/>
      <c r="I233" s="163"/>
      <c r="J233" s="163"/>
      <c r="K233" s="163"/>
      <c r="L233" s="163"/>
      <c r="M233" s="163"/>
      <c r="N233" s="163"/>
    </row>
    <row r="234" spans="1:14">
      <c r="A234" s="48" t="s">
        <v>1457</v>
      </c>
      <c r="B234" s="48" t="s">
        <v>1446</v>
      </c>
      <c r="C234" s="40" t="s">
        <v>1458</v>
      </c>
      <c r="D234" s="146">
        <v>36</v>
      </c>
      <c r="F234" s="18">
        <f>D234*$F$181</f>
        <v>9.0673199999999987</v>
      </c>
      <c r="G234" s="92">
        <f>D234*$G$181</f>
        <v>4.5788399999999996</v>
      </c>
      <c r="H234" s="163"/>
      <c r="I234" s="163"/>
      <c r="J234" s="163"/>
      <c r="K234" s="163"/>
      <c r="L234" s="163"/>
      <c r="M234" s="163"/>
      <c r="N234" s="163"/>
    </row>
    <row r="235" spans="1:14">
      <c r="A235" s="48"/>
      <c r="B235" s="48"/>
      <c r="C235" s="40"/>
      <c r="D235" s="47"/>
      <c r="F235" s="18"/>
      <c r="G235" s="92"/>
      <c r="H235" s="163"/>
      <c r="I235" s="163"/>
      <c r="J235" s="163"/>
      <c r="K235" s="163"/>
      <c r="L235" s="163"/>
      <c r="M235" s="163"/>
      <c r="N235" s="163"/>
    </row>
    <row r="236" spans="1:14" ht="27.6">
      <c r="A236" s="15" t="s">
        <v>1459</v>
      </c>
      <c r="B236" s="41"/>
      <c r="C236" s="41"/>
      <c r="D236" s="125"/>
      <c r="F236" s="125"/>
      <c r="G236" s="125"/>
      <c r="H236" s="163"/>
      <c r="I236" s="163"/>
      <c r="J236" s="163"/>
      <c r="K236" s="163"/>
      <c r="L236" s="163"/>
      <c r="M236" s="163"/>
      <c r="N236" s="163"/>
    </row>
    <row r="237" spans="1:14" ht="27.6">
      <c r="A237" s="69" t="s">
        <v>1460</v>
      </c>
      <c r="B237" s="48" t="s">
        <v>1461</v>
      </c>
      <c r="C237" s="40" t="s">
        <v>1462</v>
      </c>
      <c r="D237" s="123">
        <v>11030</v>
      </c>
      <c r="F237" s="18">
        <f t="shared" ref="F237:F265" si="46">D237*$F$181</f>
        <v>2778.1261</v>
      </c>
      <c r="G237" s="92">
        <f t="shared" ref="G237:G265" si="47">D237*$G$181</f>
        <v>1402.9057</v>
      </c>
      <c r="H237" s="163"/>
      <c r="I237" s="163"/>
      <c r="J237" s="163"/>
      <c r="K237" s="163"/>
      <c r="L237" s="163"/>
      <c r="M237" s="163"/>
      <c r="N237" s="163"/>
    </row>
    <row r="238" spans="1:14" ht="41.4">
      <c r="A238" s="69" t="s">
        <v>1463</v>
      </c>
      <c r="B238" s="48" t="s">
        <v>1464</v>
      </c>
      <c r="C238" s="40" t="s">
        <v>1465</v>
      </c>
      <c r="D238" s="123">
        <v>6</v>
      </c>
      <c r="F238" s="18">
        <f t="shared" si="46"/>
        <v>1.5112199999999998</v>
      </c>
      <c r="G238" s="92">
        <f t="shared" si="47"/>
        <v>0.76313999999999993</v>
      </c>
      <c r="H238" s="163"/>
      <c r="I238" s="163"/>
      <c r="J238" s="163"/>
      <c r="K238" s="163"/>
      <c r="L238" s="163"/>
      <c r="M238" s="163"/>
      <c r="N238" s="163"/>
    </row>
    <row r="239" spans="1:14" ht="41.4">
      <c r="A239" s="69" t="s">
        <v>1466</v>
      </c>
      <c r="B239" s="48" t="s">
        <v>1467</v>
      </c>
      <c r="C239" s="40" t="s">
        <v>1468</v>
      </c>
      <c r="D239" s="193">
        <v>5</v>
      </c>
      <c r="F239" s="18">
        <f t="shared" si="46"/>
        <v>1.25935</v>
      </c>
      <c r="G239" s="92">
        <f t="shared" si="47"/>
        <v>0.63595000000000002</v>
      </c>
      <c r="H239" s="163"/>
      <c r="I239" s="163"/>
      <c r="J239" s="163"/>
      <c r="K239" s="163"/>
      <c r="L239" s="163"/>
      <c r="M239" s="163"/>
      <c r="N239" s="163"/>
    </row>
    <row r="240" spans="1:14" ht="41.4">
      <c r="A240" s="69" t="s">
        <v>1469</v>
      </c>
      <c r="B240" s="48" t="s">
        <v>1470</v>
      </c>
      <c r="C240" s="40" t="s">
        <v>1471</v>
      </c>
      <c r="D240" s="193">
        <v>4</v>
      </c>
      <c r="F240" s="18">
        <f t="shared" si="46"/>
        <v>1.0074799999999999</v>
      </c>
      <c r="G240" s="92">
        <f t="shared" si="47"/>
        <v>0.50875999999999999</v>
      </c>
      <c r="H240" s="163"/>
      <c r="I240" s="163"/>
      <c r="J240" s="163"/>
      <c r="K240" s="163"/>
      <c r="L240" s="163"/>
      <c r="M240" s="163"/>
      <c r="N240" s="163"/>
    </row>
    <row r="241" spans="1:14" ht="41.4">
      <c r="A241" s="69" t="s">
        <v>1472</v>
      </c>
      <c r="B241" s="48" t="s">
        <v>1473</v>
      </c>
      <c r="C241" s="40" t="s">
        <v>1474</v>
      </c>
      <c r="D241" s="193">
        <v>4</v>
      </c>
      <c r="F241" s="18">
        <f t="shared" si="46"/>
        <v>1.0074799999999999</v>
      </c>
      <c r="G241" s="92">
        <f t="shared" si="47"/>
        <v>0.50875999999999999</v>
      </c>
      <c r="H241" s="163"/>
      <c r="I241" s="163"/>
      <c r="J241" s="163"/>
      <c r="K241" s="163"/>
      <c r="L241" s="163"/>
      <c r="M241" s="163"/>
      <c r="N241" s="163"/>
    </row>
    <row r="242" spans="1:14" ht="27.6">
      <c r="A242" s="69" t="s">
        <v>1475</v>
      </c>
      <c r="B242" s="48" t="s">
        <v>1476</v>
      </c>
      <c r="C242" s="40" t="s">
        <v>1477</v>
      </c>
      <c r="D242" s="193">
        <v>3</v>
      </c>
      <c r="F242" s="18">
        <f t="shared" si="46"/>
        <v>0.75560999999999989</v>
      </c>
      <c r="G242" s="92">
        <f t="shared" si="47"/>
        <v>0.38156999999999996</v>
      </c>
      <c r="H242" s="163"/>
      <c r="I242" s="163"/>
      <c r="J242" s="163"/>
      <c r="K242" s="163"/>
      <c r="L242" s="163"/>
      <c r="M242" s="163"/>
      <c r="N242" s="163"/>
    </row>
    <row r="243" spans="1:14" ht="27.6">
      <c r="A243" s="69" t="s">
        <v>1478</v>
      </c>
      <c r="B243" s="48" t="s">
        <v>1479</v>
      </c>
      <c r="C243" s="40" t="s">
        <v>1480</v>
      </c>
      <c r="D243" s="193">
        <v>2</v>
      </c>
      <c r="F243" s="18">
        <f t="shared" si="46"/>
        <v>0.50373999999999997</v>
      </c>
      <c r="G243" s="92">
        <f t="shared" si="47"/>
        <v>0.25438</v>
      </c>
      <c r="H243" s="163"/>
      <c r="I243" s="163"/>
      <c r="J243" s="163"/>
      <c r="K243" s="163"/>
      <c r="L243" s="163"/>
      <c r="M243" s="163"/>
      <c r="N243" s="163"/>
    </row>
    <row r="244" spans="1:14" ht="27.6">
      <c r="A244" s="69" t="s">
        <v>1481</v>
      </c>
      <c r="B244" s="48" t="s">
        <v>1482</v>
      </c>
      <c r="C244" s="40" t="s">
        <v>1483</v>
      </c>
      <c r="D244" s="193">
        <v>1</v>
      </c>
      <c r="F244" s="18">
        <f t="shared" si="46"/>
        <v>0.25186999999999998</v>
      </c>
      <c r="G244" s="92">
        <f t="shared" si="47"/>
        <v>0.12719</v>
      </c>
      <c r="H244" s="163"/>
      <c r="I244" s="163"/>
      <c r="J244" s="163"/>
      <c r="K244" s="163"/>
      <c r="L244" s="163"/>
      <c r="M244" s="163"/>
      <c r="N244" s="163"/>
    </row>
    <row r="245" spans="1:14" ht="27.6">
      <c r="A245" s="69" t="s">
        <v>1484</v>
      </c>
      <c r="B245" s="48" t="s">
        <v>1485</v>
      </c>
      <c r="C245" s="40" t="s">
        <v>1486</v>
      </c>
      <c r="D245" s="193">
        <v>1</v>
      </c>
      <c r="F245" s="18">
        <f t="shared" si="46"/>
        <v>0.25186999999999998</v>
      </c>
      <c r="G245" s="92">
        <f t="shared" si="47"/>
        <v>0.12719</v>
      </c>
      <c r="H245" s="163"/>
      <c r="I245" s="163"/>
      <c r="J245" s="163"/>
      <c r="K245" s="163"/>
      <c r="L245" s="163"/>
      <c r="M245" s="163"/>
      <c r="N245" s="163"/>
    </row>
    <row r="246" spans="1:14" ht="27.6">
      <c r="A246" s="69" t="s">
        <v>1487</v>
      </c>
      <c r="B246" s="48" t="s">
        <v>1488</v>
      </c>
      <c r="C246" s="40" t="s">
        <v>1489</v>
      </c>
      <c r="D246" s="193">
        <v>1</v>
      </c>
      <c r="F246" s="18">
        <f t="shared" si="46"/>
        <v>0.25186999999999998</v>
      </c>
      <c r="G246" s="92">
        <f t="shared" si="47"/>
        <v>0.12719</v>
      </c>
      <c r="H246" s="163"/>
      <c r="I246" s="163"/>
      <c r="J246" s="163"/>
      <c r="K246" s="163"/>
      <c r="L246" s="163"/>
      <c r="M246" s="163"/>
      <c r="N246" s="163"/>
    </row>
    <row r="247" spans="1:14">
      <c r="A247" s="69" t="s">
        <v>1490</v>
      </c>
      <c r="B247" s="48" t="s">
        <v>1491</v>
      </c>
      <c r="C247" s="40" t="s">
        <v>1492</v>
      </c>
      <c r="D247" s="193">
        <v>25</v>
      </c>
      <c r="F247" s="18">
        <f t="shared" si="46"/>
        <v>6.2967499999999994</v>
      </c>
      <c r="G247" s="92">
        <f t="shared" si="47"/>
        <v>3.1797499999999999</v>
      </c>
      <c r="H247" s="163"/>
      <c r="I247" s="163"/>
      <c r="J247" s="163"/>
      <c r="K247" s="163"/>
      <c r="L247" s="163"/>
      <c r="M247" s="163"/>
      <c r="N247" s="163"/>
    </row>
    <row r="248" spans="1:14">
      <c r="A248" s="69" t="s">
        <v>1493</v>
      </c>
      <c r="B248" s="48" t="s">
        <v>1494</v>
      </c>
      <c r="C248" s="40" t="s">
        <v>1495</v>
      </c>
      <c r="D248" s="193">
        <v>14</v>
      </c>
      <c r="F248" s="18">
        <f t="shared" si="46"/>
        <v>3.5261799999999996</v>
      </c>
      <c r="G248" s="92">
        <f t="shared" si="47"/>
        <v>1.7806599999999999</v>
      </c>
      <c r="H248" s="163"/>
      <c r="I248" s="163"/>
      <c r="J248" s="163"/>
      <c r="K248" s="163"/>
      <c r="L248" s="163"/>
      <c r="M248" s="163"/>
      <c r="N248" s="163"/>
    </row>
    <row r="249" spans="1:14">
      <c r="A249" s="69" t="s">
        <v>1496</v>
      </c>
      <c r="B249" s="48" t="s">
        <v>1497</v>
      </c>
      <c r="C249" s="88" t="s">
        <v>1498</v>
      </c>
      <c r="D249" s="193">
        <v>3</v>
      </c>
      <c r="F249" s="18">
        <f t="shared" si="46"/>
        <v>0.75560999999999989</v>
      </c>
      <c r="G249" s="92">
        <f t="shared" si="47"/>
        <v>0.38156999999999996</v>
      </c>
      <c r="H249" s="163"/>
      <c r="I249" s="163"/>
      <c r="J249" s="163"/>
      <c r="K249" s="163"/>
      <c r="L249" s="163"/>
      <c r="M249" s="163"/>
      <c r="N249" s="163"/>
    </row>
    <row r="250" spans="1:14">
      <c r="A250" s="69" t="s">
        <v>1499</v>
      </c>
      <c r="B250" s="48" t="s">
        <v>1500</v>
      </c>
      <c r="C250" s="88" t="s">
        <v>1501</v>
      </c>
      <c r="D250" s="193">
        <v>3</v>
      </c>
      <c r="F250" s="18">
        <f t="shared" si="46"/>
        <v>0.75560999999999989</v>
      </c>
      <c r="G250" s="92">
        <f t="shared" si="47"/>
        <v>0.38156999999999996</v>
      </c>
      <c r="H250" s="163"/>
      <c r="I250" s="163"/>
      <c r="J250" s="163"/>
      <c r="K250" s="163"/>
      <c r="L250" s="163"/>
      <c r="M250" s="163"/>
      <c r="N250" s="163"/>
    </row>
    <row r="251" spans="1:14">
      <c r="A251" s="69" t="s">
        <v>1502</v>
      </c>
      <c r="B251" s="48" t="s">
        <v>1503</v>
      </c>
      <c r="C251" s="88" t="s">
        <v>1504</v>
      </c>
      <c r="D251" s="193">
        <v>2</v>
      </c>
      <c r="F251" s="18">
        <f t="shared" si="46"/>
        <v>0.50373999999999997</v>
      </c>
      <c r="G251" s="92">
        <f t="shared" si="47"/>
        <v>0.25438</v>
      </c>
      <c r="H251" s="163"/>
      <c r="I251" s="163"/>
      <c r="J251" s="163"/>
      <c r="K251" s="163"/>
      <c r="L251" s="163"/>
      <c r="M251" s="163"/>
      <c r="N251" s="163"/>
    </row>
    <row r="252" spans="1:14">
      <c r="A252" s="69" t="s">
        <v>1505</v>
      </c>
      <c r="B252" s="48" t="s">
        <v>1506</v>
      </c>
      <c r="C252" s="88" t="s">
        <v>1507</v>
      </c>
      <c r="D252" s="193">
        <v>5</v>
      </c>
      <c r="F252" s="18">
        <f t="shared" si="46"/>
        <v>1.25935</v>
      </c>
      <c r="G252" s="92">
        <f t="shared" si="47"/>
        <v>0.63595000000000002</v>
      </c>
      <c r="H252" s="163"/>
      <c r="I252" s="163"/>
      <c r="J252" s="163"/>
      <c r="K252" s="163"/>
      <c r="L252" s="163"/>
      <c r="M252" s="163"/>
      <c r="N252" s="163"/>
    </row>
    <row r="253" spans="1:14">
      <c r="A253" s="69" t="s">
        <v>1508</v>
      </c>
      <c r="B253" s="69" t="s">
        <v>1509</v>
      </c>
      <c r="C253" s="40" t="s">
        <v>1510</v>
      </c>
      <c r="D253" s="193">
        <v>150</v>
      </c>
      <c r="F253" s="18">
        <f t="shared" si="46"/>
        <v>37.780499999999996</v>
      </c>
      <c r="G253" s="92">
        <f t="shared" si="47"/>
        <v>19.078499999999998</v>
      </c>
      <c r="H253" s="163"/>
      <c r="I253" s="163"/>
      <c r="J253" s="163"/>
      <c r="K253" s="163"/>
      <c r="L253" s="163"/>
      <c r="M253" s="163"/>
      <c r="N253" s="163"/>
    </row>
    <row r="254" spans="1:14">
      <c r="A254" s="69" t="s">
        <v>1511</v>
      </c>
      <c r="B254" s="48" t="s">
        <v>1512</v>
      </c>
      <c r="C254" s="40" t="s">
        <v>1513</v>
      </c>
      <c r="D254" s="193">
        <v>1</v>
      </c>
      <c r="F254" s="18">
        <f t="shared" si="46"/>
        <v>0.25186999999999998</v>
      </c>
      <c r="G254" s="92">
        <f t="shared" si="47"/>
        <v>0.12719</v>
      </c>
      <c r="H254" s="163"/>
      <c r="I254" s="163"/>
      <c r="J254" s="163"/>
      <c r="K254" s="163"/>
      <c r="L254" s="163"/>
      <c r="M254" s="163"/>
      <c r="N254" s="163"/>
    </row>
    <row r="255" spans="1:14">
      <c r="A255" s="69" t="s">
        <v>1514</v>
      </c>
      <c r="B255" s="48" t="s">
        <v>1388</v>
      </c>
      <c r="C255" s="40" t="s">
        <v>1515</v>
      </c>
      <c r="D255" s="193">
        <v>75</v>
      </c>
      <c r="F255" s="18">
        <f t="shared" si="46"/>
        <v>18.890249999999998</v>
      </c>
      <c r="G255" s="92">
        <f t="shared" si="47"/>
        <v>9.5392499999999991</v>
      </c>
      <c r="H255" s="163"/>
      <c r="I255" s="163"/>
      <c r="J255" s="163"/>
      <c r="K255" s="163"/>
      <c r="L255" s="163"/>
      <c r="M255" s="163"/>
      <c r="N255" s="163"/>
    </row>
    <row r="256" spans="1:14">
      <c r="A256" s="69" t="s">
        <v>1516</v>
      </c>
      <c r="B256" s="48" t="s">
        <v>1391</v>
      </c>
      <c r="C256" s="40" t="s">
        <v>1517</v>
      </c>
      <c r="D256" s="193">
        <v>36</v>
      </c>
      <c r="F256" s="18">
        <f t="shared" si="46"/>
        <v>9.0673199999999987</v>
      </c>
      <c r="G256" s="92">
        <f t="shared" si="47"/>
        <v>4.5788399999999996</v>
      </c>
      <c r="H256" s="163"/>
      <c r="I256" s="163"/>
      <c r="J256" s="163"/>
      <c r="K256" s="163"/>
      <c r="L256" s="163"/>
      <c r="M256" s="163"/>
      <c r="N256" s="163"/>
    </row>
    <row r="257" spans="1:14">
      <c r="A257" s="69" t="s">
        <v>1518</v>
      </c>
      <c r="B257" s="48" t="s">
        <v>1394</v>
      </c>
      <c r="C257" s="40" t="s">
        <v>1519</v>
      </c>
      <c r="D257" s="193">
        <v>75</v>
      </c>
      <c r="F257" s="18">
        <f t="shared" si="46"/>
        <v>18.890249999999998</v>
      </c>
      <c r="G257" s="92">
        <f t="shared" si="47"/>
        <v>9.5392499999999991</v>
      </c>
      <c r="H257" s="163"/>
      <c r="I257" s="163"/>
      <c r="J257" s="163"/>
      <c r="K257" s="163"/>
      <c r="L257" s="163"/>
      <c r="M257" s="163"/>
      <c r="N257" s="163"/>
    </row>
    <row r="258" spans="1:14">
      <c r="A258" s="69" t="s">
        <v>1520</v>
      </c>
      <c r="B258" s="48" t="s">
        <v>1397</v>
      </c>
      <c r="C258" s="40" t="s">
        <v>1521</v>
      </c>
      <c r="D258" s="193">
        <v>36</v>
      </c>
      <c r="F258" s="18">
        <f t="shared" si="46"/>
        <v>9.0673199999999987</v>
      </c>
      <c r="G258" s="92">
        <f t="shared" si="47"/>
        <v>4.5788399999999996</v>
      </c>
      <c r="H258" s="163"/>
      <c r="I258" s="163"/>
      <c r="J258" s="163"/>
      <c r="K258" s="163"/>
      <c r="L258" s="163"/>
      <c r="M258" s="163"/>
      <c r="N258" s="163"/>
    </row>
    <row r="259" spans="1:14">
      <c r="A259" s="69" t="s">
        <v>1522</v>
      </c>
      <c r="B259" s="48" t="s">
        <v>1523</v>
      </c>
      <c r="C259" s="40" t="s">
        <v>1524</v>
      </c>
      <c r="D259" s="193">
        <v>25</v>
      </c>
      <c r="F259" s="18">
        <f t="shared" si="46"/>
        <v>6.2967499999999994</v>
      </c>
      <c r="G259" s="92">
        <f t="shared" si="47"/>
        <v>3.1797499999999999</v>
      </c>
      <c r="H259" s="163"/>
      <c r="I259" s="163"/>
      <c r="J259" s="163"/>
      <c r="K259" s="163"/>
      <c r="L259" s="163"/>
      <c r="M259" s="163"/>
      <c r="N259" s="163"/>
    </row>
    <row r="260" spans="1:14">
      <c r="A260" s="69" t="s">
        <v>1525</v>
      </c>
      <c r="B260" s="48" t="s">
        <v>1525</v>
      </c>
      <c r="C260" s="40" t="s">
        <v>1526</v>
      </c>
      <c r="D260" s="193">
        <v>3</v>
      </c>
      <c r="F260" s="18">
        <f t="shared" si="46"/>
        <v>0.75560999999999989</v>
      </c>
      <c r="G260" s="92">
        <f t="shared" si="47"/>
        <v>0.38156999999999996</v>
      </c>
      <c r="H260" s="163"/>
      <c r="I260" s="163"/>
      <c r="J260" s="163"/>
      <c r="K260" s="163"/>
      <c r="L260" s="163"/>
      <c r="M260" s="163"/>
      <c r="N260" s="163"/>
    </row>
    <row r="261" spans="1:14">
      <c r="A261" s="69" t="s">
        <v>1527</v>
      </c>
      <c r="B261" s="48" t="s">
        <v>1527</v>
      </c>
      <c r="C261" s="88" t="s">
        <v>1528</v>
      </c>
      <c r="D261" s="193">
        <v>2</v>
      </c>
      <c r="E261" s="163"/>
      <c r="F261" s="18">
        <f t="shared" si="46"/>
        <v>0.50373999999999997</v>
      </c>
      <c r="G261" s="92">
        <f t="shared" si="47"/>
        <v>0.25438</v>
      </c>
      <c r="H261" s="163"/>
      <c r="I261" s="163"/>
      <c r="J261" s="163"/>
      <c r="K261" s="163"/>
      <c r="L261" s="163"/>
      <c r="M261" s="163"/>
      <c r="N261" s="163"/>
    </row>
    <row r="262" spans="1:14">
      <c r="A262" s="69" t="s">
        <v>1529</v>
      </c>
      <c r="B262" s="48" t="s">
        <v>1529</v>
      </c>
      <c r="C262" s="88" t="s">
        <v>1530</v>
      </c>
      <c r="D262" s="193">
        <v>4</v>
      </c>
      <c r="F262" s="18">
        <f t="shared" si="46"/>
        <v>1.0074799999999999</v>
      </c>
      <c r="G262" s="92">
        <f t="shared" si="47"/>
        <v>0.50875999999999999</v>
      </c>
    </row>
    <row r="263" spans="1:14">
      <c r="A263" s="69" t="s">
        <v>1531</v>
      </c>
      <c r="B263" s="48" t="s">
        <v>1531</v>
      </c>
      <c r="C263" s="88" t="s">
        <v>1532</v>
      </c>
      <c r="D263" s="193">
        <v>4</v>
      </c>
      <c r="F263" s="18">
        <f t="shared" si="46"/>
        <v>1.0074799999999999</v>
      </c>
      <c r="G263" s="92">
        <f t="shared" si="47"/>
        <v>0.50875999999999999</v>
      </c>
    </row>
    <row r="264" spans="1:14">
      <c r="A264" s="69" t="s">
        <v>1533</v>
      </c>
      <c r="B264" s="48" t="s">
        <v>1533</v>
      </c>
      <c r="C264" s="88" t="s">
        <v>1534</v>
      </c>
      <c r="D264" s="193">
        <v>4</v>
      </c>
      <c r="F264" s="18">
        <f t="shared" si="46"/>
        <v>1.0074799999999999</v>
      </c>
      <c r="G264" s="92">
        <f t="shared" si="47"/>
        <v>0.50875999999999999</v>
      </c>
    </row>
    <row r="265" spans="1:14">
      <c r="A265" s="69" t="s">
        <v>1535</v>
      </c>
      <c r="B265" s="48" t="s">
        <v>1535</v>
      </c>
      <c r="C265" s="88" t="s">
        <v>1536</v>
      </c>
      <c r="D265" s="193">
        <v>3</v>
      </c>
      <c r="F265" s="18">
        <f t="shared" si="46"/>
        <v>0.75560999999999989</v>
      </c>
      <c r="G265" s="92">
        <f t="shared" si="47"/>
        <v>0.38156999999999996</v>
      </c>
    </row>
    <row r="266" spans="1:14">
      <c r="A266" s="163"/>
      <c r="B266" s="163"/>
      <c r="C266" s="44"/>
    </row>
    <row r="267" spans="1:14">
      <c r="A267" s="79" t="s">
        <v>931</v>
      </c>
      <c r="B267" s="75" t="s">
        <v>142</v>
      </c>
      <c r="C267" s="75"/>
      <c r="D267" s="221" t="s">
        <v>935</v>
      </c>
      <c r="F267" s="75"/>
      <c r="G267" s="75"/>
    </row>
    <row r="268" spans="1:14">
      <c r="A268" s="15" t="s">
        <v>1537</v>
      </c>
      <c r="B268" s="41"/>
      <c r="C268" s="41"/>
      <c r="D268" s="136"/>
      <c r="F268" s="136"/>
      <c r="G268" s="136"/>
    </row>
    <row r="269" spans="1:14" ht="409.6" customHeight="1">
      <c r="A269" s="69" t="s">
        <v>1538</v>
      </c>
      <c r="B269" s="48" t="s">
        <v>1539</v>
      </c>
      <c r="C269" s="362" t="s">
        <v>2021</v>
      </c>
      <c r="D269" s="283">
        <v>110</v>
      </c>
      <c r="F269" s="18">
        <f>D269*$F$181</f>
        <v>27.705699999999997</v>
      </c>
      <c r="G269" s="92">
        <f>D269*$G$181</f>
        <v>13.9909</v>
      </c>
      <c r="H269" s="363"/>
      <c r="I269" s="163"/>
    </row>
  </sheetData>
  <mergeCells count="3">
    <mergeCell ref="F182:G182"/>
    <mergeCell ref="F10:G10"/>
    <mergeCell ref="H10:I10"/>
  </mergeCell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12D80-FBCC-406C-B3BA-FE513FA1682F}">
  <sheetPr>
    <tabColor rgb="FFFFC000"/>
  </sheetPr>
  <dimension ref="A1:AS439"/>
  <sheetViews>
    <sheetView zoomScaleNormal="100" zoomScaleSheetLayoutView="50" workbookViewId="0">
      <pane xSplit="1" topLeftCell="C1" activePane="topRight" state="frozen"/>
      <selection activeCell="A101" sqref="A101"/>
      <selection pane="topRight" activeCell="A5" sqref="A5"/>
    </sheetView>
  </sheetViews>
  <sheetFormatPr baseColWidth="10" defaultColWidth="51.44140625" defaultRowHeight="13.8"/>
  <cols>
    <col min="1" max="1" width="87" style="171" customWidth="1"/>
    <col min="2" max="2" width="112.6640625" style="171" bestFit="1" customWidth="1"/>
    <col min="3" max="3" width="7.33203125" style="237" customWidth="1"/>
    <col min="4" max="4" width="12.6640625" style="237" customWidth="1"/>
    <col min="5" max="5" width="13.6640625" style="205" customWidth="1"/>
    <col min="6" max="6" width="12.33203125" style="205" customWidth="1"/>
    <col min="7" max="9" width="18.6640625" style="205" customWidth="1"/>
    <col min="10" max="10" width="11" style="205" customWidth="1"/>
    <col min="11" max="12" width="14.33203125" style="205" customWidth="1"/>
    <col min="13" max="13" width="10.5546875" style="205" customWidth="1"/>
    <col min="14" max="15" width="14.33203125" style="205" customWidth="1"/>
    <col min="16" max="16" width="12.5546875" style="205" customWidth="1"/>
    <col min="17" max="17" width="17.33203125" style="205" bestFit="1" customWidth="1"/>
    <col min="18" max="18" width="12.5546875" style="205" customWidth="1"/>
    <col min="19" max="21" width="11.5546875" style="162" customWidth="1"/>
    <col min="22" max="22" width="15.33203125" style="167" bestFit="1" customWidth="1"/>
    <col min="23" max="45" width="51.44140625" style="253"/>
    <col min="46" max="16384" width="51.44140625" style="171"/>
  </cols>
  <sheetData>
    <row r="1" spans="1:45">
      <c r="E1" s="205" t="s">
        <v>137</v>
      </c>
    </row>
    <row r="7" spans="1:45" s="177" customFormat="1" ht="15.6">
      <c r="A7" s="128" t="s">
        <v>138</v>
      </c>
      <c r="B7" s="220"/>
      <c r="C7" s="38"/>
      <c r="D7" s="38"/>
      <c r="E7" s="127"/>
      <c r="F7" s="127"/>
      <c r="G7" s="127"/>
      <c r="H7" s="127"/>
      <c r="I7" s="127"/>
      <c r="J7" s="127"/>
      <c r="K7" s="127"/>
      <c r="L7" s="127"/>
      <c r="M7" s="127"/>
      <c r="N7" s="127"/>
      <c r="O7" s="127"/>
      <c r="P7" s="127"/>
      <c r="Q7" s="127"/>
      <c r="R7" s="127"/>
      <c r="S7" s="127"/>
      <c r="T7" s="127"/>
      <c r="U7" s="127"/>
      <c r="V7" s="173"/>
      <c r="W7" s="397" t="s">
        <v>1566</v>
      </c>
      <c r="X7" s="397"/>
      <c r="Y7" s="397"/>
      <c r="Z7" s="397"/>
      <c r="AA7" s="397"/>
      <c r="AB7" s="397"/>
      <c r="AC7" s="397"/>
      <c r="AD7" s="172"/>
      <c r="AE7" s="172"/>
      <c r="AF7" s="172"/>
      <c r="AG7" s="172"/>
      <c r="AH7" s="172"/>
      <c r="AI7" s="172"/>
      <c r="AJ7" s="172"/>
      <c r="AK7" s="172"/>
      <c r="AL7" s="172"/>
      <c r="AM7" s="172"/>
      <c r="AN7" s="172"/>
      <c r="AO7" s="172"/>
      <c r="AP7" s="172"/>
      <c r="AQ7" s="172"/>
      <c r="AR7" s="172"/>
      <c r="AS7" s="172"/>
    </row>
    <row r="8" spans="1:45" s="177" customFormat="1" ht="31.2">
      <c r="A8" s="128" t="s">
        <v>139</v>
      </c>
      <c r="B8" s="220"/>
      <c r="C8" s="38"/>
      <c r="D8" s="38"/>
      <c r="E8" s="127"/>
      <c r="F8" s="127"/>
      <c r="G8" s="127"/>
      <c r="H8" s="127"/>
      <c r="I8" s="127"/>
      <c r="J8" s="127"/>
      <c r="K8" s="127"/>
      <c r="L8" s="127"/>
      <c r="M8" s="127"/>
      <c r="N8" s="127"/>
      <c r="O8" s="127"/>
      <c r="P8" s="127"/>
      <c r="Q8" s="127"/>
      <c r="R8" s="127"/>
      <c r="S8" s="127"/>
      <c r="T8" s="127"/>
      <c r="U8" s="127"/>
      <c r="V8" s="171"/>
      <c r="W8" s="254" t="s">
        <v>1567</v>
      </c>
      <c r="X8" s="254" t="s">
        <v>1568</v>
      </c>
      <c r="Y8" s="254" t="s">
        <v>1569</v>
      </c>
      <c r="Z8" s="254" t="s">
        <v>1570</v>
      </c>
      <c r="AA8" s="254" t="s">
        <v>1571</v>
      </c>
      <c r="AB8" s="254" t="s">
        <v>1572</v>
      </c>
      <c r="AC8" s="254" t="s">
        <v>1573</v>
      </c>
      <c r="AD8" s="172"/>
      <c r="AE8" s="172"/>
      <c r="AF8" s="172"/>
      <c r="AG8" s="172"/>
      <c r="AH8" s="172"/>
      <c r="AI8" s="172"/>
      <c r="AJ8" s="172"/>
      <c r="AK8" s="172"/>
      <c r="AL8" s="172"/>
      <c r="AM8" s="172"/>
      <c r="AN8" s="172"/>
      <c r="AO8" s="172"/>
      <c r="AP8" s="172"/>
      <c r="AQ8" s="172"/>
      <c r="AR8" s="172"/>
      <c r="AS8" s="172"/>
    </row>
    <row r="9" spans="1:45" s="177" customFormat="1">
      <c r="A9" s="38"/>
      <c r="B9" s="38"/>
      <c r="C9" s="38"/>
      <c r="D9" s="38"/>
      <c r="E9" s="127"/>
      <c r="F9" s="127"/>
      <c r="G9" s="127"/>
      <c r="H9" s="127"/>
      <c r="I9" s="127"/>
      <c r="J9" s="127"/>
      <c r="K9" s="127"/>
      <c r="L9" s="127"/>
      <c r="M9" s="127"/>
      <c r="N9" s="127"/>
      <c r="O9" s="127"/>
      <c r="P9" s="127"/>
      <c r="Q9" s="127"/>
      <c r="R9" s="127"/>
      <c r="S9" s="127"/>
      <c r="T9" s="127"/>
      <c r="U9" s="127"/>
      <c r="V9" s="197"/>
      <c r="W9" s="255">
        <v>0.3765</v>
      </c>
      <c r="X9" s="255">
        <v>0.3765</v>
      </c>
      <c r="Y9" s="255">
        <v>0.45200000000000001</v>
      </c>
      <c r="Z9" s="255">
        <v>0.379</v>
      </c>
      <c r="AA9" s="255">
        <v>0.499</v>
      </c>
      <c r="AB9" s="255">
        <v>0.43</v>
      </c>
      <c r="AC9" s="255">
        <v>0.48299999999999998</v>
      </c>
      <c r="AD9" s="172"/>
      <c r="AE9" s="172"/>
      <c r="AF9" s="172"/>
      <c r="AG9" s="172"/>
      <c r="AH9" s="172"/>
      <c r="AI9" s="172"/>
      <c r="AJ9" s="172"/>
      <c r="AK9" s="172"/>
      <c r="AL9" s="172"/>
      <c r="AM9" s="172"/>
      <c r="AN9" s="172"/>
      <c r="AO9" s="172"/>
      <c r="AP9" s="172"/>
      <c r="AQ9" s="172"/>
      <c r="AR9" s="172"/>
      <c r="AS9" s="172"/>
    </row>
    <row r="10" spans="1:45" s="175" customFormat="1">
      <c r="A10" s="210" t="s">
        <v>140</v>
      </c>
      <c r="B10" s="210"/>
      <c r="C10" s="210"/>
      <c r="D10" s="210"/>
      <c r="E10" s="210"/>
      <c r="F10" s="210"/>
      <c r="G10" s="210"/>
      <c r="H10" s="210"/>
      <c r="I10" s="210"/>
      <c r="J10" s="210"/>
      <c r="K10" s="210"/>
      <c r="L10" s="210"/>
      <c r="M10" s="210"/>
      <c r="N10" s="210"/>
      <c r="O10" s="210"/>
      <c r="P10" s="210"/>
      <c r="Q10" s="210"/>
      <c r="R10" s="210"/>
      <c r="S10" s="210"/>
      <c r="T10" s="210"/>
      <c r="U10" s="210"/>
      <c r="V10" s="206"/>
      <c r="W10" s="395" t="s">
        <v>1574</v>
      </c>
      <c r="X10" s="398"/>
      <c r="Y10" s="398"/>
      <c r="Z10" s="398"/>
      <c r="AA10" s="398"/>
      <c r="AB10" s="398"/>
      <c r="AC10" s="396"/>
      <c r="AD10" s="174"/>
      <c r="AE10" s="174"/>
      <c r="AF10" s="174"/>
      <c r="AG10" s="174"/>
      <c r="AH10" s="174"/>
      <c r="AI10" s="174"/>
      <c r="AJ10" s="174"/>
      <c r="AK10" s="174"/>
      <c r="AL10" s="174"/>
      <c r="AM10" s="174"/>
      <c r="AN10" s="174"/>
      <c r="AO10" s="174"/>
      <c r="AP10" s="174"/>
      <c r="AQ10" s="174"/>
      <c r="AR10" s="174"/>
      <c r="AS10" s="174"/>
    </row>
    <row r="11" spans="1:45" s="8" customFormat="1" ht="82.8">
      <c r="A11" s="16" t="s">
        <v>141</v>
      </c>
      <c r="B11" s="16" t="s">
        <v>142</v>
      </c>
      <c r="C11" s="16" t="s">
        <v>143</v>
      </c>
      <c r="D11" s="16" t="s">
        <v>144</v>
      </c>
      <c r="E11" s="16"/>
      <c r="F11" s="16"/>
      <c r="G11" s="16"/>
      <c r="H11" s="16"/>
      <c r="I11" s="16"/>
      <c r="J11" s="16"/>
      <c r="K11" s="16"/>
      <c r="L11" s="16"/>
      <c r="M11" s="16"/>
      <c r="N11" s="16"/>
      <c r="O11" s="16"/>
      <c r="P11" s="16"/>
      <c r="Q11" s="16"/>
      <c r="R11" s="16"/>
      <c r="S11" s="16"/>
      <c r="T11" s="16"/>
      <c r="U11" s="16"/>
      <c r="V11" s="204" t="s">
        <v>145</v>
      </c>
      <c r="W11" s="256" t="s">
        <v>1575</v>
      </c>
      <c r="X11" s="256" t="s">
        <v>1575</v>
      </c>
      <c r="Y11" s="256" t="s">
        <v>1575</v>
      </c>
      <c r="Z11" s="256" t="s">
        <v>1575</v>
      </c>
      <c r="AA11" s="256" t="s">
        <v>1575</v>
      </c>
      <c r="AB11" s="256" t="s">
        <v>1575</v>
      </c>
      <c r="AC11" s="256" t="s">
        <v>1575</v>
      </c>
      <c r="AD11" s="7"/>
      <c r="AE11" s="7"/>
      <c r="AF11" s="7"/>
      <c r="AG11" s="7"/>
      <c r="AH11" s="7"/>
      <c r="AI11" s="7"/>
      <c r="AJ11" s="7"/>
      <c r="AK11" s="7"/>
      <c r="AL11" s="7"/>
      <c r="AM11" s="7"/>
      <c r="AN11" s="7"/>
      <c r="AO11" s="7"/>
      <c r="AP11" s="7"/>
      <c r="AQ11" s="7"/>
      <c r="AR11" s="7"/>
      <c r="AS11" s="7"/>
    </row>
    <row r="12" spans="1:45" s="177" customFormat="1" ht="165.6">
      <c r="A12" s="132" t="s">
        <v>146</v>
      </c>
      <c r="B12" s="140" t="s">
        <v>147</v>
      </c>
      <c r="C12" s="134"/>
      <c r="D12" s="134"/>
      <c r="E12" s="45"/>
      <c r="F12" s="45"/>
      <c r="G12" s="45"/>
      <c r="H12" s="45"/>
      <c r="I12" s="45"/>
      <c r="J12" s="45"/>
      <c r="K12" s="45"/>
      <c r="L12" s="45"/>
      <c r="M12" s="45"/>
      <c r="N12" s="45"/>
      <c r="O12" s="45"/>
      <c r="P12" s="45"/>
      <c r="Q12" s="45"/>
      <c r="R12" s="45"/>
      <c r="S12" s="45"/>
      <c r="T12" s="45"/>
      <c r="U12" s="45"/>
      <c r="V12" s="122">
        <v>361</v>
      </c>
      <c r="W12" s="364">
        <f>V12*$W$9</f>
        <v>135.91650000000001</v>
      </c>
      <c r="X12" s="364">
        <f>V12*$X$9</f>
        <v>135.91650000000001</v>
      </c>
      <c r="Y12" s="364">
        <f>V12*$Y$9</f>
        <v>163.172</v>
      </c>
      <c r="Z12" s="364">
        <f>V12*$Z$9</f>
        <v>136.81899999999999</v>
      </c>
      <c r="AA12" s="364">
        <f>V12*$AA$9</f>
        <v>180.13900000000001</v>
      </c>
      <c r="AB12" s="364">
        <f>V12*$AB$9</f>
        <v>155.22999999999999</v>
      </c>
      <c r="AC12" s="364">
        <f>V12*$AC$9</f>
        <v>174.363</v>
      </c>
      <c r="AD12" s="172"/>
      <c r="AE12" s="172"/>
      <c r="AF12" s="172"/>
      <c r="AG12" s="172"/>
      <c r="AH12" s="172"/>
      <c r="AI12" s="172"/>
      <c r="AJ12" s="172"/>
      <c r="AK12" s="172"/>
      <c r="AL12" s="172"/>
      <c r="AM12" s="172"/>
      <c r="AN12" s="172"/>
      <c r="AO12" s="172"/>
      <c r="AP12" s="172"/>
      <c r="AQ12" s="172"/>
      <c r="AR12" s="172"/>
      <c r="AS12" s="172"/>
    </row>
    <row r="13" spans="1:45" s="177" customFormat="1">
      <c r="A13" s="235"/>
      <c r="B13" s="140"/>
      <c r="C13" s="134"/>
      <c r="D13" s="134"/>
      <c r="E13" s="45"/>
      <c r="F13" s="45"/>
      <c r="G13" s="45"/>
      <c r="H13" s="45"/>
      <c r="I13" s="45"/>
      <c r="J13" s="45"/>
      <c r="K13" s="45"/>
      <c r="L13" s="45"/>
      <c r="M13" s="45"/>
      <c r="N13" s="45"/>
      <c r="O13" s="45"/>
      <c r="P13" s="45"/>
      <c r="Q13" s="45"/>
      <c r="R13" s="45"/>
      <c r="S13" s="45"/>
      <c r="T13" s="45"/>
      <c r="U13" s="45"/>
      <c r="V13" s="183"/>
      <c r="W13" s="183"/>
      <c r="X13" s="183"/>
      <c r="Y13" s="183"/>
      <c r="Z13" s="183"/>
      <c r="AA13" s="183"/>
      <c r="AB13" s="183"/>
      <c r="AC13" s="183"/>
      <c r="AD13" s="172"/>
      <c r="AE13" s="172"/>
      <c r="AF13" s="172"/>
      <c r="AG13" s="172"/>
      <c r="AH13" s="172"/>
      <c r="AI13" s="172"/>
      <c r="AJ13" s="172"/>
      <c r="AK13" s="172"/>
      <c r="AL13" s="172"/>
      <c r="AM13" s="172"/>
      <c r="AN13" s="172"/>
      <c r="AO13" s="172"/>
      <c r="AP13" s="172"/>
      <c r="AQ13" s="172"/>
      <c r="AR13" s="172"/>
      <c r="AS13" s="172"/>
    </row>
    <row r="14" spans="1:45" s="177" customFormat="1" ht="165.6">
      <c r="A14" s="235" t="s">
        <v>148</v>
      </c>
      <c r="B14" s="140" t="s">
        <v>149</v>
      </c>
      <c r="C14" s="134"/>
      <c r="D14" s="134"/>
      <c r="E14" s="45"/>
      <c r="F14" s="45"/>
      <c r="G14" s="45"/>
      <c r="H14" s="45"/>
      <c r="I14" s="45"/>
      <c r="J14" s="45"/>
      <c r="K14" s="45"/>
      <c r="L14" s="45"/>
      <c r="M14" s="45"/>
      <c r="N14" s="45"/>
      <c r="O14" s="45"/>
      <c r="P14" s="45"/>
      <c r="Q14" s="45"/>
      <c r="R14" s="45"/>
      <c r="S14" s="45"/>
      <c r="T14" s="45"/>
      <c r="U14" s="45"/>
      <c r="V14" s="122">
        <v>341</v>
      </c>
      <c r="W14" s="364">
        <f t="shared" ref="W14:W76" si="0">V14*$W$9</f>
        <v>128.38650000000001</v>
      </c>
      <c r="X14" s="364">
        <f t="shared" ref="X14:X76" si="1">V14*$X$9</f>
        <v>128.38650000000001</v>
      </c>
      <c r="Y14" s="364">
        <f t="shared" ref="Y14:Y76" si="2">V14*$Y$9</f>
        <v>154.13200000000001</v>
      </c>
      <c r="Z14" s="364">
        <f t="shared" ref="Z14:Z76" si="3">V14*$Z$9</f>
        <v>129.239</v>
      </c>
      <c r="AA14" s="364">
        <f t="shared" ref="AA14:AA76" si="4">V14*$AA$9</f>
        <v>170.15899999999999</v>
      </c>
      <c r="AB14" s="364">
        <f t="shared" ref="AB14:AB76" si="5">V14*$AB$9</f>
        <v>146.63</v>
      </c>
      <c r="AC14" s="364">
        <f t="shared" ref="AC14:AC76" si="6">V14*$AC$9</f>
        <v>164.703</v>
      </c>
      <c r="AD14" s="172"/>
      <c r="AE14" s="172"/>
      <c r="AF14" s="172"/>
      <c r="AG14" s="172"/>
      <c r="AH14" s="172"/>
      <c r="AI14" s="172"/>
      <c r="AJ14" s="172"/>
      <c r="AK14" s="172"/>
      <c r="AL14" s="172"/>
      <c r="AM14" s="172"/>
      <c r="AN14" s="172"/>
      <c r="AO14" s="172"/>
      <c r="AP14" s="172"/>
      <c r="AQ14" s="172"/>
      <c r="AR14" s="172"/>
      <c r="AS14" s="172"/>
    </row>
    <row r="15" spans="1:45" s="177" customFormat="1">
      <c r="A15" s="235"/>
      <c r="B15" s="140"/>
      <c r="C15" s="134"/>
      <c r="D15" s="134"/>
      <c r="E15" s="45"/>
      <c r="F15" s="45"/>
      <c r="G15" s="45"/>
      <c r="H15" s="45"/>
      <c r="I15" s="45"/>
      <c r="J15" s="45"/>
      <c r="K15" s="45"/>
      <c r="L15" s="45"/>
      <c r="M15" s="45"/>
      <c r="N15" s="45"/>
      <c r="O15" s="45"/>
      <c r="P15" s="45"/>
      <c r="Q15" s="45"/>
      <c r="R15" s="45"/>
      <c r="S15" s="45"/>
      <c r="T15" s="45"/>
      <c r="U15" s="45"/>
      <c r="V15" s="180"/>
      <c r="W15" s="180"/>
      <c r="X15" s="180"/>
      <c r="Y15" s="180"/>
      <c r="Z15" s="180"/>
      <c r="AA15" s="180"/>
      <c r="AB15" s="180"/>
      <c r="AC15" s="180"/>
      <c r="AD15" s="172"/>
      <c r="AE15" s="172"/>
      <c r="AF15" s="172"/>
      <c r="AG15" s="172"/>
      <c r="AH15" s="172"/>
      <c r="AI15" s="172"/>
      <c r="AJ15" s="172"/>
      <c r="AK15" s="172"/>
      <c r="AL15" s="172"/>
      <c r="AM15" s="172"/>
      <c r="AN15" s="172"/>
      <c r="AO15" s="172"/>
      <c r="AP15" s="172"/>
      <c r="AQ15" s="172"/>
      <c r="AR15" s="172"/>
      <c r="AS15" s="172"/>
    </row>
    <row r="16" spans="1:45" s="177" customFormat="1" ht="165.6">
      <c r="A16" s="132" t="s">
        <v>150</v>
      </c>
      <c r="B16" s="140" t="s">
        <v>151</v>
      </c>
      <c r="C16" s="134"/>
      <c r="D16" s="134"/>
      <c r="E16" s="45"/>
      <c r="F16" s="45"/>
      <c r="G16" s="45"/>
      <c r="H16" s="45"/>
      <c r="I16" s="45"/>
      <c r="J16" s="45"/>
      <c r="K16" s="45"/>
      <c r="L16" s="45"/>
      <c r="M16" s="45"/>
      <c r="N16" s="45"/>
      <c r="O16" s="45"/>
      <c r="P16" s="45"/>
      <c r="Q16" s="45"/>
      <c r="R16" s="45"/>
      <c r="S16" s="45"/>
      <c r="T16" s="45"/>
      <c r="U16" s="45"/>
      <c r="V16" s="122">
        <v>361</v>
      </c>
      <c r="W16" s="364">
        <f t="shared" si="0"/>
        <v>135.91650000000001</v>
      </c>
      <c r="X16" s="364">
        <f t="shared" si="1"/>
        <v>135.91650000000001</v>
      </c>
      <c r="Y16" s="364">
        <f t="shared" si="2"/>
        <v>163.172</v>
      </c>
      <c r="Z16" s="364">
        <f t="shared" si="3"/>
        <v>136.81899999999999</v>
      </c>
      <c r="AA16" s="364">
        <f t="shared" si="4"/>
        <v>180.13900000000001</v>
      </c>
      <c r="AB16" s="364">
        <f t="shared" si="5"/>
        <v>155.22999999999999</v>
      </c>
      <c r="AC16" s="364">
        <f t="shared" si="6"/>
        <v>174.363</v>
      </c>
      <c r="AD16" s="172"/>
      <c r="AE16" s="172"/>
      <c r="AF16" s="172"/>
      <c r="AG16" s="172"/>
      <c r="AH16" s="172"/>
      <c r="AI16" s="172"/>
      <c r="AJ16" s="172"/>
      <c r="AK16" s="172"/>
      <c r="AL16" s="172"/>
      <c r="AM16" s="172"/>
      <c r="AN16" s="172"/>
      <c r="AO16" s="172"/>
      <c r="AP16" s="172"/>
      <c r="AQ16" s="172"/>
      <c r="AR16" s="172"/>
      <c r="AS16" s="172"/>
    </row>
    <row r="17" spans="1:45">
      <c r="A17" s="235"/>
      <c r="B17" s="140"/>
      <c r="C17" s="134"/>
      <c r="D17" s="134"/>
      <c r="E17" s="45"/>
      <c r="F17" s="45"/>
      <c r="G17" s="45"/>
      <c r="H17" s="45"/>
      <c r="I17" s="45"/>
      <c r="J17" s="45"/>
      <c r="K17" s="45"/>
      <c r="L17" s="45"/>
      <c r="M17" s="45"/>
      <c r="N17" s="45"/>
      <c r="O17" s="45"/>
      <c r="P17" s="45"/>
      <c r="Q17" s="45"/>
      <c r="R17" s="45"/>
      <c r="S17" s="45"/>
      <c r="T17" s="45"/>
      <c r="U17" s="45"/>
      <c r="V17" s="181"/>
      <c r="W17" s="181"/>
      <c r="X17" s="181"/>
      <c r="Y17" s="181"/>
      <c r="Z17" s="181"/>
      <c r="AA17" s="181"/>
      <c r="AB17" s="181"/>
      <c r="AC17" s="181"/>
    </row>
    <row r="18" spans="1:45" ht="165.6">
      <c r="A18" s="209" t="s">
        <v>152</v>
      </c>
      <c r="B18" s="140" t="s">
        <v>153</v>
      </c>
      <c r="C18" s="134"/>
      <c r="D18" s="134"/>
      <c r="E18" s="45"/>
      <c r="F18" s="45"/>
      <c r="G18" s="45"/>
      <c r="H18" s="45"/>
      <c r="I18" s="45"/>
      <c r="J18" s="45"/>
      <c r="K18" s="45"/>
      <c r="L18" s="45"/>
      <c r="M18" s="45"/>
      <c r="N18" s="45"/>
      <c r="O18" s="45"/>
      <c r="P18" s="45"/>
      <c r="Q18" s="45"/>
      <c r="R18" s="45"/>
      <c r="S18" s="45"/>
      <c r="T18" s="45"/>
      <c r="U18" s="45"/>
      <c r="V18" s="122">
        <v>341</v>
      </c>
      <c r="W18" s="364">
        <f t="shared" si="0"/>
        <v>128.38650000000001</v>
      </c>
      <c r="X18" s="364">
        <f t="shared" si="1"/>
        <v>128.38650000000001</v>
      </c>
      <c r="Y18" s="364">
        <f t="shared" si="2"/>
        <v>154.13200000000001</v>
      </c>
      <c r="Z18" s="364">
        <f t="shared" si="3"/>
        <v>129.239</v>
      </c>
      <c r="AA18" s="364">
        <f t="shared" si="4"/>
        <v>170.15899999999999</v>
      </c>
      <c r="AB18" s="364">
        <f t="shared" si="5"/>
        <v>146.63</v>
      </c>
      <c r="AC18" s="364">
        <f t="shared" si="6"/>
        <v>164.703</v>
      </c>
    </row>
    <row r="19" spans="1:45">
      <c r="A19" s="235"/>
      <c r="B19" s="140"/>
      <c r="C19" s="134"/>
      <c r="D19" s="134"/>
      <c r="E19" s="45"/>
      <c r="F19" s="45"/>
      <c r="G19" s="45"/>
      <c r="H19" s="45"/>
      <c r="I19" s="45"/>
      <c r="J19" s="45"/>
      <c r="K19" s="45"/>
      <c r="L19" s="45"/>
      <c r="M19" s="45"/>
      <c r="N19" s="45"/>
      <c r="O19" s="45"/>
      <c r="P19" s="45"/>
      <c r="Q19" s="45"/>
      <c r="R19" s="45"/>
      <c r="S19" s="45"/>
      <c r="T19" s="45"/>
      <c r="U19" s="45"/>
      <c r="V19" s="181"/>
      <c r="W19" s="181"/>
      <c r="X19" s="181"/>
      <c r="Y19" s="181"/>
      <c r="Z19" s="181"/>
      <c r="AA19" s="181"/>
      <c r="AB19" s="181"/>
      <c r="AC19" s="181"/>
    </row>
    <row r="20" spans="1:45" ht="151.80000000000001">
      <c r="A20" s="109" t="s">
        <v>154</v>
      </c>
      <c r="B20" s="140" t="s">
        <v>155</v>
      </c>
      <c r="C20" s="134"/>
      <c r="D20" s="134"/>
      <c r="E20" s="45"/>
      <c r="F20" s="45"/>
      <c r="G20" s="45"/>
      <c r="H20" s="45"/>
      <c r="I20" s="45"/>
      <c r="J20" s="45"/>
      <c r="K20" s="45"/>
      <c r="L20" s="45"/>
      <c r="M20" s="45"/>
      <c r="N20" s="45"/>
      <c r="O20" s="45"/>
      <c r="P20" s="45"/>
      <c r="Q20" s="45"/>
      <c r="R20" s="45"/>
      <c r="S20" s="45"/>
      <c r="T20" s="45"/>
      <c r="U20" s="45"/>
      <c r="V20" s="122">
        <v>449</v>
      </c>
      <c r="W20" s="364">
        <f t="shared" si="0"/>
        <v>169.04849999999999</v>
      </c>
      <c r="X20" s="364">
        <f t="shared" si="1"/>
        <v>169.04849999999999</v>
      </c>
      <c r="Y20" s="364">
        <f t="shared" si="2"/>
        <v>202.94800000000001</v>
      </c>
      <c r="Z20" s="364">
        <f t="shared" si="3"/>
        <v>170.17099999999999</v>
      </c>
      <c r="AA20" s="364">
        <f t="shared" si="4"/>
        <v>224.05099999999999</v>
      </c>
      <c r="AB20" s="364">
        <f t="shared" si="5"/>
        <v>193.07</v>
      </c>
      <c r="AC20" s="364">
        <f t="shared" si="6"/>
        <v>216.86699999999999</v>
      </c>
    </row>
    <row r="21" spans="1:45">
      <c r="A21" s="235"/>
      <c r="B21" s="140"/>
      <c r="C21" s="134"/>
      <c r="D21" s="134"/>
      <c r="E21" s="45"/>
      <c r="F21" s="45"/>
      <c r="G21" s="45"/>
      <c r="H21" s="45"/>
      <c r="I21" s="45"/>
      <c r="J21" s="45"/>
      <c r="K21" s="45"/>
      <c r="L21" s="45"/>
      <c r="M21" s="45"/>
      <c r="N21" s="45"/>
      <c r="O21" s="45"/>
      <c r="P21" s="45"/>
      <c r="Q21" s="45"/>
      <c r="R21" s="45"/>
      <c r="S21" s="45"/>
      <c r="T21" s="45"/>
      <c r="U21" s="45"/>
      <c r="V21" s="181"/>
      <c r="W21" s="181"/>
      <c r="X21" s="181"/>
      <c r="Y21" s="181"/>
      <c r="Z21" s="181"/>
      <c r="AA21" s="181"/>
      <c r="AB21" s="181"/>
      <c r="AC21" s="181"/>
    </row>
    <row r="22" spans="1:45" s="10" customFormat="1" ht="27.6">
      <c r="A22" s="304" t="s">
        <v>156</v>
      </c>
      <c r="B22" s="303" t="s">
        <v>142</v>
      </c>
      <c r="C22" s="303" t="s">
        <v>143</v>
      </c>
      <c r="D22" s="303" t="s">
        <v>144</v>
      </c>
      <c r="E22" s="303" t="s">
        <v>157</v>
      </c>
      <c r="F22" s="303"/>
      <c r="G22" s="303" t="s">
        <v>158</v>
      </c>
      <c r="H22" s="303"/>
      <c r="I22" s="303"/>
      <c r="J22" s="303" t="s">
        <v>159</v>
      </c>
      <c r="K22" s="303"/>
      <c r="L22" s="303"/>
      <c r="M22" s="303" t="s">
        <v>160</v>
      </c>
      <c r="N22" s="303"/>
      <c r="O22" s="303"/>
      <c r="P22" s="303" t="s">
        <v>161</v>
      </c>
      <c r="Q22" s="303"/>
      <c r="R22" s="303"/>
      <c r="S22" s="303"/>
      <c r="T22" s="303"/>
      <c r="U22" s="303"/>
      <c r="V22" s="305"/>
      <c r="W22" s="365"/>
      <c r="X22" s="365"/>
      <c r="Y22" s="365"/>
      <c r="Z22" s="365"/>
      <c r="AA22" s="365"/>
      <c r="AB22" s="365"/>
      <c r="AC22" s="365"/>
      <c r="AD22" s="9"/>
      <c r="AE22" s="9"/>
      <c r="AF22" s="9"/>
      <c r="AG22" s="9"/>
      <c r="AH22" s="9"/>
      <c r="AI22" s="9"/>
      <c r="AJ22" s="9"/>
      <c r="AK22" s="9"/>
      <c r="AL22" s="9"/>
      <c r="AM22" s="9"/>
      <c r="AN22" s="9"/>
      <c r="AO22" s="9"/>
      <c r="AP22" s="9"/>
      <c r="AQ22" s="9"/>
      <c r="AR22" s="9"/>
      <c r="AS22" s="9"/>
    </row>
    <row r="23" spans="1:45">
      <c r="A23" s="98" t="s">
        <v>162</v>
      </c>
      <c r="B23" s="108"/>
      <c r="C23" s="108"/>
      <c r="D23" s="108"/>
      <c r="E23" s="223"/>
      <c r="F23" s="223"/>
      <c r="G23" s="223"/>
      <c r="H23" s="223"/>
      <c r="I23" s="223"/>
      <c r="J23" s="223"/>
      <c r="K23" s="223"/>
      <c r="L23" s="223"/>
      <c r="M23" s="223"/>
      <c r="N23" s="223"/>
      <c r="O23" s="223"/>
      <c r="P23" s="223"/>
      <c r="Q23" s="223"/>
      <c r="R23" s="223"/>
      <c r="S23" s="226"/>
      <c r="T23" s="226"/>
      <c r="U23" s="226"/>
      <c r="V23" s="182"/>
      <c r="W23" s="182"/>
      <c r="X23" s="182"/>
      <c r="Y23" s="182"/>
      <c r="Z23" s="182"/>
      <c r="AA23" s="182"/>
      <c r="AB23" s="182"/>
      <c r="AC23" s="182"/>
    </row>
    <row r="24" spans="1:45">
      <c r="A24" s="132" t="s">
        <v>163</v>
      </c>
      <c r="B24" s="132" t="s">
        <v>164</v>
      </c>
      <c r="C24" s="107"/>
      <c r="D24" s="107"/>
      <c r="E24" s="230"/>
      <c r="F24" s="230"/>
      <c r="G24" s="230" t="s">
        <v>165</v>
      </c>
      <c r="H24" s="230"/>
      <c r="I24" s="230"/>
      <c r="J24" s="230"/>
      <c r="K24" s="230"/>
      <c r="L24" s="230"/>
      <c r="M24" s="230" t="s">
        <v>166</v>
      </c>
      <c r="N24" s="230"/>
      <c r="O24" s="230"/>
      <c r="P24" s="230" t="s">
        <v>167</v>
      </c>
      <c r="Q24" s="230"/>
      <c r="R24" s="230"/>
      <c r="S24" s="230"/>
      <c r="T24" s="230"/>
      <c r="U24" s="230"/>
      <c r="V24" s="122">
        <v>64</v>
      </c>
      <c r="W24" s="364">
        <f t="shared" si="0"/>
        <v>24.096</v>
      </c>
      <c r="X24" s="364">
        <f t="shared" si="1"/>
        <v>24.096</v>
      </c>
      <c r="Y24" s="364">
        <f t="shared" si="2"/>
        <v>28.928000000000001</v>
      </c>
      <c r="Z24" s="364">
        <f t="shared" si="3"/>
        <v>24.256</v>
      </c>
      <c r="AA24" s="364">
        <f t="shared" si="4"/>
        <v>31.936</v>
      </c>
      <c r="AB24" s="364">
        <f t="shared" si="5"/>
        <v>27.52</v>
      </c>
      <c r="AC24" s="364">
        <f t="shared" si="6"/>
        <v>30.911999999999999</v>
      </c>
    </row>
    <row r="25" spans="1:45" ht="14.7" customHeight="1">
      <c r="A25" s="132" t="s">
        <v>168</v>
      </c>
      <c r="B25" s="132" t="s">
        <v>169</v>
      </c>
      <c r="C25" s="107"/>
      <c r="D25" s="107"/>
      <c r="E25" s="230"/>
      <c r="F25" s="230"/>
      <c r="G25" s="230" t="s">
        <v>170</v>
      </c>
      <c r="H25" s="230"/>
      <c r="I25" s="230"/>
      <c r="J25" s="230"/>
      <c r="K25" s="230"/>
      <c r="L25" s="230"/>
      <c r="M25" s="230" t="s">
        <v>171</v>
      </c>
      <c r="N25" s="298"/>
      <c r="O25" s="298"/>
      <c r="P25" s="65"/>
      <c r="Q25" s="65"/>
      <c r="R25" s="65"/>
      <c r="S25" s="72"/>
      <c r="T25" s="72"/>
      <c r="U25" s="72"/>
      <c r="V25" s="122">
        <v>64</v>
      </c>
      <c r="W25" s="364">
        <f t="shared" si="0"/>
        <v>24.096</v>
      </c>
      <c r="X25" s="364">
        <f t="shared" si="1"/>
        <v>24.096</v>
      </c>
      <c r="Y25" s="364">
        <f t="shared" si="2"/>
        <v>28.928000000000001</v>
      </c>
      <c r="Z25" s="364">
        <f t="shared" si="3"/>
        <v>24.256</v>
      </c>
      <c r="AA25" s="364">
        <f t="shared" si="4"/>
        <v>31.936</v>
      </c>
      <c r="AB25" s="364">
        <f t="shared" si="5"/>
        <v>27.52</v>
      </c>
      <c r="AC25" s="364">
        <f t="shared" si="6"/>
        <v>30.911999999999999</v>
      </c>
    </row>
    <row r="26" spans="1:45">
      <c r="A26" s="99" t="s">
        <v>172</v>
      </c>
      <c r="B26" s="132" t="s">
        <v>173</v>
      </c>
      <c r="C26" s="107"/>
      <c r="D26" s="107"/>
      <c r="E26" s="230"/>
      <c r="F26" s="230"/>
      <c r="G26" s="230"/>
      <c r="H26" s="230"/>
      <c r="I26" s="230"/>
      <c r="J26" s="230"/>
      <c r="K26" s="230"/>
      <c r="L26" s="230"/>
      <c r="M26" s="230"/>
      <c r="N26" s="230"/>
      <c r="O26" s="230"/>
      <c r="P26" s="230" t="s">
        <v>174</v>
      </c>
      <c r="Q26" s="230"/>
      <c r="R26" s="230"/>
      <c r="S26" s="230"/>
      <c r="T26" s="230"/>
      <c r="U26" s="230"/>
      <c r="V26" s="122">
        <v>64</v>
      </c>
      <c r="W26" s="364">
        <f t="shared" si="0"/>
        <v>24.096</v>
      </c>
      <c r="X26" s="364">
        <f t="shared" si="1"/>
        <v>24.096</v>
      </c>
      <c r="Y26" s="364">
        <f t="shared" si="2"/>
        <v>28.928000000000001</v>
      </c>
      <c r="Z26" s="364">
        <f t="shared" si="3"/>
        <v>24.256</v>
      </c>
      <c r="AA26" s="364">
        <f t="shared" si="4"/>
        <v>31.936</v>
      </c>
      <c r="AB26" s="364">
        <f t="shared" si="5"/>
        <v>27.52</v>
      </c>
      <c r="AC26" s="364">
        <f t="shared" si="6"/>
        <v>30.911999999999999</v>
      </c>
    </row>
    <row r="27" spans="1:45">
      <c r="A27" s="132" t="s">
        <v>175</v>
      </c>
      <c r="B27" s="132" t="s">
        <v>176</v>
      </c>
      <c r="C27" s="107"/>
      <c r="D27" s="107"/>
      <c r="E27" s="230" t="s">
        <v>177</v>
      </c>
      <c r="F27" s="230"/>
      <c r="G27" s="230"/>
      <c r="H27" s="230"/>
      <c r="I27" s="230"/>
      <c r="J27" s="230" t="s">
        <v>178</v>
      </c>
      <c r="K27" s="230"/>
      <c r="L27" s="230"/>
      <c r="M27" s="230"/>
      <c r="N27" s="230"/>
      <c r="O27" s="230"/>
      <c r="P27" s="230"/>
      <c r="Q27" s="230"/>
      <c r="R27" s="230"/>
      <c r="S27" s="72"/>
      <c r="T27" s="72"/>
      <c r="U27" s="72"/>
      <c r="V27" s="122">
        <v>82</v>
      </c>
      <c r="W27" s="364">
        <f t="shared" si="0"/>
        <v>30.873000000000001</v>
      </c>
      <c r="X27" s="364">
        <f t="shared" si="1"/>
        <v>30.873000000000001</v>
      </c>
      <c r="Y27" s="364">
        <f t="shared" si="2"/>
        <v>37.064</v>
      </c>
      <c r="Z27" s="364">
        <f t="shared" si="3"/>
        <v>31.077999999999999</v>
      </c>
      <c r="AA27" s="364">
        <f t="shared" si="4"/>
        <v>40.917999999999999</v>
      </c>
      <c r="AB27" s="364">
        <f t="shared" si="5"/>
        <v>35.26</v>
      </c>
      <c r="AC27" s="364">
        <f t="shared" si="6"/>
        <v>39.606000000000002</v>
      </c>
    </row>
    <row r="28" spans="1:45">
      <c r="A28" s="132" t="s">
        <v>179</v>
      </c>
      <c r="B28" s="132" t="s">
        <v>180</v>
      </c>
      <c r="C28" s="107"/>
      <c r="D28" s="107"/>
      <c r="E28" s="230" t="s">
        <v>181</v>
      </c>
      <c r="F28" s="230"/>
      <c r="G28" s="230"/>
      <c r="H28" s="230"/>
      <c r="I28" s="230"/>
      <c r="J28" s="230"/>
      <c r="K28" s="230"/>
      <c r="L28" s="230"/>
      <c r="M28" s="230"/>
      <c r="N28" s="230"/>
      <c r="O28" s="230"/>
      <c r="P28" s="230"/>
      <c r="Q28" s="230"/>
      <c r="R28" s="230"/>
      <c r="S28" s="72"/>
      <c r="T28" s="72"/>
      <c r="U28" s="72"/>
      <c r="V28" s="122">
        <v>209</v>
      </c>
      <c r="W28" s="364">
        <f t="shared" si="0"/>
        <v>78.688500000000005</v>
      </c>
      <c r="X28" s="364">
        <f t="shared" si="1"/>
        <v>78.688500000000005</v>
      </c>
      <c r="Y28" s="364">
        <f t="shared" si="2"/>
        <v>94.468000000000004</v>
      </c>
      <c r="Z28" s="364">
        <f t="shared" si="3"/>
        <v>79.210999999999999</v>
      </c>
      <c r="AA28" s="364">
        <f t="shared" si="4"/>
        <v>104.291</v>
      </c>
      <c r="AB28" s="364">
        <f t="shared" si="5"/>
        <v>89.87</v>
      </c>
      <c r="AC28" s="364">
        <f t="shared" si="6"/>
        <v>100.947</v>
      </c>
    </row>
    <row r="29" spans="1:45">
      <c r="A29" s="235"/>
      <c r="B29" s="140"/>
      <c r="C29" s="134"/>
      <c r="D29" s="134"/>
      <c r="E29" s="45"/>
      <c r="F29" s="45"/>
      <c r="G29" s="45"/>
      <c r="H29" s="45"/>
      <c r="I29" s="45"/>
      <c r="J29" s="45"/>
      <c r="K29" s="45"/>
      <c r="L29" s="45"/>
      <c r="M29" s="45"/>
      <c r="N29" s="45"/>
      <c r="O29" s="45"/>
      <c r="P29" s="45"/>
      <c r="Q29" s="45"/>
      <c r="R29" s="45"/>
      <c r="S29" s="45"/>
      <c r="T29" s="45"/>
      <c r="U29" s="45"/>
      <c r="V29" s="122"/>
      <c r="W29" s="364"/>
      <c r="X29" s="364"/>
      <c r="Y29" s="364"/>
      <c r="Z29" s="364"/>
      <c r="AA29" s="364"/>
      <c r="AB29" s="364"/>
      <c r="AC29" s="364"/>
    </row>
    <row r="30" spans="1:45">
      <c r="A30" s="98" t="s">
        <v>182</v>
      </c>
      <c r="B30" s="108"/>
      <c r="C30" s="108"/>
      <c r="D30" s="108"/>
      <c r="E30" s="223"/>
      <c r="F30" s="223"/>
      <c r="G30" s="223"/>
      <c r="H30" s="223"/>
      <c r="I30" s="223"/>
      <c r="J30" s="223"/>
      <c r="K30" s="223"/>
      <c r="L30" s="223"/>
      <c r="M30" s="223"/>
      <c r="N30" s="223"/>
      <c r="O30" s="223"/>
      <c r="P30" s="223"/>
      <c r="Q30" s="223"/>
      <c r="R30" s="223"/>
      <c r="S30" s="226"/>
      <c r="T30" s="226"/>
      <c r="U30" s="226"/>
      <c r="V30" s="182"/>
      <c r="W30" s="182"/>
      <c r="X30" s="182"/>
      <c r="Y30" s="182"/>
      <c r="Z30" s="182"/>
      <c r="AA30" s="182"/>
      <c r="AB30" s="182"/>
      <c r="AC30" s="182"/>
    </row>
    <row r="31" spans="1:45">
      <c r="A31" s="132" t="s">
        <v>183</v>
      </c>
      <c r="B31" s="132" t="s">
        <v>183</v>
      </c>
      <c r="C31" s="107"/>
      <c r="D31" s="107"/>
      <c r="E31" s="230" t="s">
        <v>184</v>
      </c>
      <c r="F31" s="230"/>
      <c r="G31" s="230" t="s">
        <v>185</v>
      </c>
      <c r="H31" s="230"/>
      <c r="I31" s="230"/>
      <c r="J31" s="230" t="s">
        <v>186</v>
      </c>
      <c r="K31" s="230"/>
      <c r="L31" s="230"/>
      <c r="M31" s="230" t="s">
        <v>187</v>
      </c>
      <c r="N31" s="230"/>
      <c r="O31" s="230"/>
      <c r="P31" s="230" t="s">
        <v>188</v>
      </c>
      <c r="Q31" s="230"/>
      <c r="R31" s="230"/>
      <c r="S31" s="230"/>
      <c r="T31" s="230"/>
      <c r="U31" s="230"/>
      <c r="V31" s="122">
        <v>41</v>
      </c>
      <c r="W31" s="364">
        <f t="shared" si="0"/>
        <v>15.436500000000001</v>
      </c>
      <c r="X31" s="364">
        <f t="shared" si="1"/>
        <v>15.436500000000001</v>
      </c>
      <c r="Y31" s="364">
        <f t="shared" si="2"/>
        <v>18.532</v>
      </c>
      <c r="Z31" s="364">
        <f t="shared" si="3"/>
        <v>15.539</v>
      </c>
      <c r="AA31" s="364">
        <f t="shared" si="4"/>
        <v>20.459</v>
      </c>
      <c r="AB31" s="364">
        <f t="shared" si="5"/>
        <v>17.63</v>
      </c>
      <c r="AC31" s="364">
        <f t="shared" si="6"/>
        <v>19.803000000000001</v>
      </c>
    </row>
    <row r="32" spans="1:45">
      <c r="A32" s="132" t="s">
        <v>189</v>
      </c>
      <c r="B32" s="132" t="s">
        <v>189</v>
      </c>
      <c r="C32" s="107"/>
      <c r="D32" s="107"/>
      <c r="E32" s="230" t="s">
        <v>190</v>
      </c>
      <c r="F32" s="230"/>
      <c r="G32" s="230"/>
      <c r="H32" s="230"/>
      <c r="I32" s="230"/>
      <c r="J32" s="230" t="s">
        <v>191</v>
      </c>
      <c r="K32" s="230"/>
      <c r="L32" s="230"/>
      <c r="M32" s="230"/>
      <c r="N32" s="230"/>
      <c r="O32" s="230"/>
      <c r="P32" s="230" t="s">
        <v>192</v>
      </c>
      <c r="Q32" s="230"/>
      <c r="R32" s="230"/>
      <c r="S32" s="230"/>
      <c r="T32" s="230"/>
      <c r="U32" s="230"/>
      <c r="V32" s="122">
        <v>128</v>
      </c>
      <c r="W32" s="364">
        <f t="shared" si="0"/>
        <v>48.192</v>
      </c>
      <c r="X32" s="364">
        <f t="shared" si="1"/>
        <v>48.192</v>
      </c>
      <c r="Y32" s="364">
        <f t="shared" si="2"/>
        <v>57.856000000000002</v>
      </c>
      <c r="Z32" s="364">
        <f t="shared" si="3"/>
        <v>48.512</v>
      </c>
      <c r="AA32" s="364">
        <f t="shared" si="4"/>
        <v>63.872</v>
      </c>
      <c r="AB32" s="364">
        <f t="shared" si="5"/>
        <v>55.04</v>
      </c>
      <c r="AC32" s="364">
        <f t="shared" si="6"/>
        <v>61.823999999999998</v>
      </c>
    </row>
    <row r="33" spans="1:29">
      <c r="A33" s="235"/>
      <c r="B33" s="140"/>
      <c r="C33" s="134"/>
      <c r="D33" s="134"/>
      <c r="E33" s="45"/>
      <c r="F33" s="45"/>
      <c r="G33" s="45"/>
      <c r="H33" s="45"/>
      <c r="I33" s="45"/>
      <c r="J33" s="45"/>
      <c r="K33" s="45"/>
      <c r="L33" s="45"/>
      <c r="M33" s="45"/>
      <c r="N33" s="45"/>
      <c r="O33" s="45"/>
      <c r="P33" s="45"/>
      <c r="Q33" s="45"/>
      <c r="R33" s="45"/>
      <c r="S33" s="45"/>
      <c r="T33" s="45"/>
      <c r="U33" s="45"/>
      <c r="V33" s="122"/>
      <c r="W33" s="364"/>
      <c r="X33" s="364"/>
      <c r="Y33" s="364"/>
      <c r="Z33" s="364"/>
      <c r="AA33" s="364"/>
      <c r="AB33" s="364"/>
      <c r="AC33" s="364"/>
    </row>
    <row r="34" spans="1:29">
      <c r="A34" s="113" t="s">
        <v>193</v>
      </c>
      <c r="B34" s="232"/>
      <c r="C34" s="232"/>
      <c r="D34" s="232"/>
      <c r="E34" s="208"/>
      <c r="F34" s="208"/>
      <c r="G34" s="208"/>
      <c r="H34" s="208"/>
      <c r="I34" s="208"/>
      <c r="J34" s="208"/>
      <c r="K34" s="208"/>
      <c r="L34" s="208"/>
      <c r="M34" s="208"/>
      <c r="N34" s="208"/>
      <c r="O34" s="208"/>
      <c r="P34" s="208"/>
      <c r="Q34" s="208"/>
      <c r="R34" s="208"/>
      <c r="S34" s="208"/>
      <c r="T34" s="208"/>
      <c r="U34" s="208"/>
      <c r="V34" s="182"/>
      <c r="W34" s="182"/>
      <c r="X34" s="182"/>
      <c r="Y34" s="182"/>
      <c r="Z34" s="182"/>
      <c r="AA34" s="182"/>
      <c r="AB34" s="182"/>
      <c r="AC34" s="182"/>
    </row>
    <row r="35" spans="1:29">
      <c r="A35" s="132" t="s">
        <v>194</v>
      </c>
      <c r="B35" s="132" t="s">
        <v>195</v>
      </c>
      <c r="C35" s="107"/>
      <c r="D35" s="107"/>
      <c r="E35" s="230"/>
      <c r="F35" s="230"/>
      <c r="G35" s="230"/>
      <c r="H35" s="230"/>
      <c r="I35" s="230"/>
      <c r="J35" s="230"/>
      <c r="K35" s="230"/>
      <c r="L35" s="230"/>
      <c r="M35" s="230"/>
      <c r="N35" s="230"/>
      <c r="O35" s="230"/>
      <c r="P35" s="230" t="s">
        <v>196</v>
      </c>
      <c r="Q35" s="230"/>
      <c r="R35" s="230"/>
      <c r="S35" s="230"/>
      <c r="T35" s="230"/>
      <c r="U35" s="230"/>
      <c r="V35" s="122">
        <v>41</v>
      </c>
      <c r="W35" s="364">
        <f t="shared" si="0"/>
        <v>15.436500000000001</v>
      </c>
      <c r="X35" s="364">
        <f t="shared" si="1"/>
        <v>15.436500000000001</v>
      </c>
      <c r="Y35" s="364">
        <f t="shared" si="2"/>
        <v>18.532</v>
      </c>
      <c r="Z35" s="364">
        <f t="shared" si="3"/>
        <v>15.539</v>
      </c>
      <c r="AA35" s="364">
        <f t="shared" si="4"/>
        <v>20.459</v>
      </c>
      <c r="AB35" s="364">
        <f t="shared" si="5"/>
        <v>17.63</v>
      </c>
      <c r="AC35" s="364">
        <f t="shared" si="6"/>
        <v>19.803000000000001</v>
      </c>
    </row>
    <row r="36" spans="1:29">
      <c r="A36" s="235"/>
      <c r="B36" s="140"/>
      <c r="C36" s="134"/>
      <c r="D36" s="134"/>
      <c r="E36" s="45"/>
      <c r="F36" s="45"/>
      <c r="G36" s="45"/>
      <c r="H36" s="45"/>
      <c r="I36" s="45"/>
      <c r="J36" s="45"/>
      <c r="K36" s="45"/>
      <c r="L36" s="45"/>
      <c r="M36" s="45"/>
      <c r="N36" s="45"/>
      <c r="O36" s="45"/>
      <c r="P36" s="45"/>
      <c r="Q36" s="45"/>
      <c r="R36" s="45"/>
      <c r="S36" s="45"/>
      <c r="T36" s="45"/>
      <c r="U36" s="45"/>
      <c r="V36" s="122"/>
      <c r="W36" s="364"/>
      <c r="X36" s="364"/>
      <c r="Y36" s="364"/>
      <c r="Z36" s="364"/>
      <c r="AA36" s="364"/>
      <c r="AB36" s="364"/>
      <c r="AC36" s="364"/>
    </row>
    <row r="37" spans="1:29">
      <c r="A37" s="113" t="s">
        <v>197</v>
      </c>
      <c r="B37" s="232"/>
      <c r="C37" s="232"/>
      <c r="D37" s="232"/>
      <c r="E37" s="208"/>
      <c r="F37" s="208"/>
      <c r="G37" s="208"/>
      <c r="H37" s="208"/>
      <c r="I37" s="208"/>
      <c r="J37" s="208"/>
      <c r="K37" s="208"/>
      <c r="L37" s="208"/>
      <c r="M37" s="208"/>
      <c r="N37" s="208"/>
      <c r="O37" s="208"/>
      <c r="P37" s="208"/>
      <c r="Q37" s="208"/>
      <c r="R37" s="208"/>
      <c r="S37" s="208"/>
      <c r="T37" s="208"/>
      <c r="U37" s="208"/>
      <c r="V37" s="182"/>
      <c r="W37" s="182"/>
      <c r="X37" s="182"/>
      <c r="Y37" s="182"/>
      <c r="Z37" s="182"/>
      <c r="AA37" s="182"/>
      <c r="AB37" s="182"/>
      <c r="AC37" s="182"/>
    </row>
    <row r="38" spans="1:29">
      <c r="A38" s="132" t="s">
        <v>198</v>
      </c>
      <c r="B38" s="132" t="s">
        <v>199</v>
      </c>
      <c r="C38" s="107"/>
      <c r="D38" s="107"/>
      <c r="E38" s="230" t="s">
        <v>200</v>
      </c>
      <c r="F38" s="230"/>
      <c r="G38" s="230" t="s">
        <v>201</v>
      </c>
      <c r="H38" s="230"/>
      <c r="I38" s="230"/>
      <c r="J38" s="230"/>
      <c r="K38" s="230"/>
      <c r="L38" s="230"/>
      <c r="M38" s="230"/>
      <c r="N38" s="230"/>
      <c r="O38" s="230"/>
      <c r="P38" s="230"/>
      <c r="Q38" s="230"/>
      <c r="R38" s="230"/>
      <c r="S38" s="72"/>
      <c r="T38" s="72"/>
      <c r="U38" s="72"/>
      <c r="V38" s="122">
        <v>16</v>
      </c>
      <c r="W38" s="364">
        <f t="shared" si="0"/>
        <v>6.024</v>
      </c>
      <c r="X38" s="364">
        <f t="shared" si="1"/>
        <v>6.024</v>
      </c>
      <c r="Y38" s="364">
        <f t="shared" si="2"/>
        <v>7.2320000000000002</v>
      </c>
      <c r="Z38" s="364">
        <f t="shared" si="3"/>
        <v>6.0640000000000001</v>
      </c>
      <c r="AA38" s="364">
        <f t="shared" si="4"/>
        <v>7.984</v>
      </c>
      <c r="AB38" s="364">
        <f t="shared" si="5"/>
        <v>6.88</v>
      </c>
      <c r="AC38" s="364">
        <f t="shared" si="6"/>
        <v>7.7279999999999998</v>
      </c>
    </row>
    <row r="39" spans="1:29">
      <c r="A39" s="69" t="s">
        <v>202</v>
      </c>
      <c r="B39" s="132" t="s">
        <v>203</v>
      </c>
      <c r="C39" s="107"/>
      <c r="D39" s="107"/>
      <c r="E39" s="230" t="s">
        <v>204</v>
      </c>
      <c r="F39" s="230"/>
      <c r="G39" s="230" t="s">
        <v>205</v>
      </c>
      <c r="H39" s="230"/>
      <c r="I39" s="230"/>
      <c r="J39" s="230"/>
      <c r="K39" s="230"/>
      <c r="L39" s="230"/>
      <c r="M39" s="230"/>
      <c r="N39" s="230"/>
      <c r="O39" s="230"/>
      <c r="P39" s="230"/>
      <c r="Q39" s="230"/>
      <c r="R39" s="230"/>
      <c r="S39" s="72"/>
      <c r="T39" s="72"/>
      <c r="U39" s="72"/>
      <c r="V39" s="122">
        <v>16</v>
      </c>
      <c r="W39" s="364">
        <f t="shared" si="0"/>
        <v>6.024</v>
      </c>
      <c r="X39" s="364">
        <f t="shared" si="1"/>
        <v>6.024</v>
      </c>
      <c r="Y39" s="364">
        <f t="shared" si="2"/>
        <v>7.2320000000000002</v>
      </c>
      <c r="Z39" s="364">
        <f t="shared" si="3"/>
        <v>6.0640000000000001</v>
      </c>
      <c r="AA39" s="364">
        <f t="shared" si="4"/>
        <v>7.984</v>
      </c>
      <c r="AB39" s="364">
        <f t="shared" si="5"/>
        <v>6.88</v>
      </c>
      <c r="AC39" s="364">
        <f t="shared" si="6"/>
        <v>7.7279999999999998</v>
      </c>
    </row>
    <row r="40" spans="1:29">
      <c r="A40" s="132" t="s">
        <v>206</v>
      </c>
      <c r="B40" s="132" t="s">
        <v>207</v>
      </c>
      <c r="C40" s="107"/>
      <c r="D40" s="107"/>
      <c r="E40" s="230" t="s">
        <v>208</v>
      </c>
      <c r="F40" s="230"/>
      <c r="G40" s="230"/>
      <c r="H40" s="230"/>
      <c r="I40" s="230"/>
      <c r="J40" s="230"/>
      <c r="K40" s="230"/>
      <c r="L40" s="230"/>
      <c r="M40" s="230"/>
      <c r="N40" s="230"/>
      <c r="O40" s="230"/>
      <c r="P40" s="230"/>
      <c r="Q40" s="230"/>
      <c r="R40" s="230"/>
      <c r="S40" s="72"/>
      <c r="T40" s="72"/>
      <c r="U40" s="72"/>
      <c r="V40" s="122">
        <v>41</v>
      </c>
      <c r="W40" s="364">
        <f t="shared" si="0"/>
        <v>15.436500000000001</v>
      </c>
      <c r="X40" s="364">
        <f t="shared" si="1"/>
        <v>15.436500000000001</v>
      </c>
      <c r="Y40" s="364">
        <f t="shared" si="2"/>
        <v>18.532</v>
      </c>
      <c r="Z40" s="364">
        <f t="shared" si="3"/>
        <v>15.539</v>
      </c>
      <c r="AA40" s="364">
        <f t="shared" si="4"/>
        <v>20.459</v>
      </c>
      <c r="AB40" s="364">
        <f t="shared" si="5"/>
        <v>17.63</v>
      </c>
      <c r="AC40" s="364">
        <f t="shared" si="6"/>
        <v>19.803000000000001</v>
      </c>
    </row>
    <row r="41" spans="1:29">
      <c r="A41" s="132" t="s">
        <v>209</v>
      </c>
      <c r="B41" s="132" t="s">
        <v>210</v>
      </c>
      <c r="C41" s="107"/>
      <c r="D41" s="107"/>
      <c r="E41" s="230" t="s">
        <v>211</v>
      </c>
      <c r="F41" s="230"/>
      <c r="G41" s="230"/>
      <c r="H41" s="230"/>
      <c r="I41" s="230"/>
      <c r="J41" s="230"/>
      <c r="K41" s="230"/>
      <c r="L41" s="230"/>
      <c r="M41" s="230"/>
      <c r="N41" s="230"/>
      <c r="O41" s="230"/>
      <c r="P41" s="230"/>
      <c r="Q41" s="230"/>
      <c r="R41" s="230"/>
      <c r="S41" s="72"/>
      <c r="T41" s="72"/>
      <c r="U41" s="72"/>
      <c r="V41" s="122">
        <v>82</v>
      </c>
      <c r="W41" s="364">
        <f t="shared" si="0"/>
        <v>30.873000000000001</v>
      </c>
      <c r="X41" s="364">
        <f t="shared" si="1"/>
        <v>30.873000000000001</v>
      </c>
      <c r="Y41" s="364">
        <f t="shared" si="2"/>
        <v>37.064</v>
      </c>
      <c r="Z41" s="364">
        <f t="shared" si="3"/>
        <v>31.077999999999999</v>
      </c>
      <c r="AA41" s="364">
        <f t="shared" si="4"/>
        <v>40.917999999999999</v>
      </c>
      <c r="AB41" s="364">
        <f t="shared" si="5"/>
        <v>35.26</v>
      </c>
      <c r="AC41" s="364">
        <f t="shared" si="6"/>
        <v>39.606000000000002</v>
      </c>
    </row>
    <row r="42" spans="1:29">
      <c r="A42" s="132" t="s">
        <v>212</v>
      </c>
      <c r="B42" s="132" t="s">
        <v>213</v>
      </c>
      <c r="C42" s="107"/>
      <c r="D42" s="107"/>
      <c r="E42" s="230" t="s">
        <v>214</v>
      </c>
      <c r="F42" s="230"/>
      <c r="G42" s="230" t="s">
        <v>215</v>
      </c>
      <c r="H42" s="230"/>
      <c r="I42" s="230"/>
      <c r="J42" s="230"/>
      <c r="K42" s="230"/>
      <c r="L42" s="230"/>
      <c r="M42" s="230"/>
      <c r="N42" s="230"/>
      <c r="O42" s="230"/>
      <c r="P42" s="230"/>
      <c r="Q42" s="230"/>
      <c r="R42" s="230"/>
      <c r="S42" s="72"/>
      <c r="T42" s="72"/>
      <c r="U42" s="72"/>
      <c r="V42" s="122">
        <v>82</v>
      </c>
      <c r="W42" s="364">
        <f t="shared" si="0"/>
        <v>30.873000000000001</v>
      </c>
      <c r="X42" s="364">
        <f t="shared" si="1"/>
        <v>30.873000000000001</v>
      </c>
      <c r="Y42" s="364">
        <f t="shared" si="2"/>
        <v>37.064</v>
      </c>
      <c r="Z42" s="364">
        <f t="shared" si="3"/>
        <v>31.077999999999999</v>
      </c>
      <c r="AA42" s="364">
        <f t="shared" si="4"/>
        <v>40.917999999999999</v>
      </c>
      <c r="AB42" s="364">
        <f t="shared" si="5"/>
        <v>35.26</v>
      </c>
      <c r="AC42" s="364">
        <f t="shared" si="6"/>
        <v>39.606000000000002</v>
      </c>
    </row>
    <row r="43" spans="1:29">
      <c r="A43" s="235"/>
      <c r="B43" s="140"/>
      <c r="C43" s="134"/>
      <c r="D43" s="134"/>
      <c r="E43" s="45"/>
      <c r="F43" s="45"/>
      <c r="G43" s="45"/>
      <c r="H43" s="45"/>
      <c r="I43" s="45"/>
      <c r="J43" s="45"/>
      <c r="K43" s="45"/>
      <c r="L43" s="45"/>
      <c r="M43" s="45"/>
      <c r="N43" s="45"/>
      <c r="O43" s="45"/>
      <c r="P43" s="45"/>
      <c r="Q43" s="45"/>
      <c r="R43" s="45"/>
      <c r="S43" s="45"/>
      <c r="T43" s="45"/>
      <c r="U43" s="45"/>
      <c r="V43" s="122"/>
      <c r="W43" s="364"/>
      <c r="X43" s="364"/>
      <c r="Y43" s="364"/>
      <c r="Z43" s="364"/>
      <c r="AA43" s="364"/>
      <c r="AB43" s="364"/>
      <c r="AC43" s="364"/>
    </row>
    <row r="44" spans="1:29">
      <c r="A44" s="113" t="s">
        <v>216</v>
      </c>
      <c r="B44" s="232"/>
      <c r="C44" s="232"/>
      <c r="D44" s="232"/>
      <c r="E44" s="212"/>
      <c r="F44" s="212"/>
      <c r="G44" s="212"/>
      <c r="H44" s="212"/>
      <c r="I44" s="212"/>
      <c r="J44" s="212"/>
      <c r="K44" s="212"/>
      <c r="L44" s="212"/>
      <c r="M44" s="212"/>
      <c r="N44" s="212"/>
      <c r="O44" s="212"/>
      <c r="P44" s="212"/>
      <c r="Q44" s="212"/>
      <c r="R44" s="212"/>
      <c r="S44" s="208"/>
      <c r="T44" s="208"/>
      <c r="U44" s="208"/>
      <c r="V44" s="182"/>
      <c r="W44" s="182"/>
      <c r="X44" s="182"/>
      <c r="Y44" s="182"/>
      <c r="Z44" s="182"/>
      <c r="AA44" s="182"/>
      <c r="AB44" s="182"/>
      <c r="AC44" s="182"/>
    </row>
    <row r="45" spans="1:29">
      <c r="A45" s="132" t="s">
        <v>217</v>
      </c>
      <c r="B45" s="132" t="s">
        <v>218</v>
      </c>
      <c r="C45" s="107"/>
      <c r="D45" s="107"/>
      <c r="E45" s="230"/>
      <c r="F45" s="230"/>
      <c r="G45" s="230"/>
      <c r="H45" s="230"/>
      <c r="I45" s="230"/>
      <c r="J45" s="230" t="s">
        <v>219</v>
      </c>
      <c r="K45" s="230"/>
      <c r="L45" s="230"/>
      <c r="M45" s="230" t="s">
        <v>220</v>
      </c>
      <c r="N45" s="230"/>
      <c r="O45" s="230"/>
      <c r="P45" s="230"/>
      <c r="Q45" s="230"/>
      <c r="R45" s="230"/>
      <c r="S45" s="72"/>
      <c r="T45" s="72"/>
      <c r="U45" s="72"/>
      <c r="V45" s="122">
        <v>13</v>
      </c>
      <c r="W45" s="364">
        <f t="shared" si="0"/>
        <v>4.8944999999999999</v>
      </c>
      <c r="X45" s="364">
        <f t="shared" si="1"/>
        <v>4.8944999999999999</v>
      </c>
      <c r="Y45" s="364">
        <f t="shared" si="2"/>
        <v>5.8760000000000003</v>
      </c>
      <c r="Z45" s="364">
        <f t="shared" si="3"/>
        <v>4.9269999999999996</v>
      </c>
      <c r="AA45" s="364">
        <f t="shared" si="4"/>
        <v>6.4870000000000001</v>
      </c>
      <c r="AB45" s="364">
        <f t="shared" si="5"/>
        <v>5.59</v>
      </c>
      <c r="AC45" s="364">
        <f t="shared" si="6"/>
        <v>6.2789999999999999</v>
      </c>
    </row>
    <row r="46" spans="1:29">
      <c r="A46" s="132" t="s">
        <v>221</v>
      </c>
      <c r="B46" s="132" t="s">
        <v>222</v>
      </c>
      <c r="C46" s="107"/>
      <c r="D46" s="107"/>
      <c r="E46" s="230"/>
      <c r="F46" s="230"/>
      <c r="G46" s="230"/>
      <c r="H46" s="230"/>
      <c r="I46" s="230"/>
      <c r="J46" s="230" t="s">
        <v>223</v>
      </c>
      <c r="K46" s="230"/>
      <c r="L46" s="230"/>
      <c r="M46" s="230" t="s">
        <v>224</v>
      </c>
      <c r="N46" s="230"/>
      <c r="O46" s="230"/>
      <c r="P46" s="230"/>
      <c r="Q46" s="230"/>
      <c r="R46" s="230"/>
      <c r="S46" s="72"/>
      <c r="T46" s="72"/>
      <c r="U46" s="72"/>
      <c r="V46" s="122">
        <v>13</v>
      </c>
      <c r="W46" s="364">
        <f t="shared" si="0"/>
        <v>4.8944999999999999</v>
      </c>
      <c r="X46" s="364">
        <f t="shared" si="1"/>
        <v>4.8944999999999999</v>
      </c>
      <c r="Y46" s="364">
        <f t="shared" si="2"/>
        <v>5.8760000000000003</v>
      </c>
      <c r="Z46" s="364">
        <f t="shared" si="3"/>
        <v>4.9269999999999996</v>
      </c>
      <c r="AA46" s="364">
        <f t="shared" si="4"/>
        <v>6.4870000000000001</v>
      </c>
      <c r="AB46" s="364">
        <f t="shared" si="5"/>
        <v>5.59</v>
      </c>
      <c r="AC46" s="364">
        <f t="shared" si="6"/>
        <v>6.2789999999999999</v>
      </c>
    </row>
    <row r="47" spans="1:29">
      <c r="A47" s="132" t="s">
        <v>225</v>
      </c>
      <c r="B47" s="132" t="s">
        <v>226</v>
      </c>
      <c r="C47" s="107"/>
      <c r="D47" s="107"/>
      <c r="E47" s="230"/>
      <c r="F47" s="230"/>
      <c r="G47" s="230"/>
      <c r="H47" s="230"/>
      <c r="I47" s="230"/>
      <c r="J47" s="230" t="s">
        <v>227</v>
      </c>
      <c r="K47" s="230"/>
      <c r="L47" s="230"/>
      <c r="M47" s="230"/>
      <c r="N47" s="230"/>
      <c r="O47" s="230"/>
      <c r="P47" s="230"/>
      <c r="Q47" s="230"/>
      <c r="R47" s="230"/>
      <c r="S47" s="72"/>
      <c r="T47" s="72"/>
      <c r="U47" s="72"/>
      <c r="V47" s="122">
        <v>46</v>
      </c>
      <c r="W47" s="364">
        <f t="shared" si="0"/>
        <v>17.318999999999999</v>
      </c>
      <c r="X47" s="364">
        <f t="shared" si="1"/>
        <v>17.318999999999999</v>
      </c>
      <c r="Y47" s="364">
        <f t="shared" si="2"/>
        <v>20.792000000000002</v>
      </c>
      <c r="Z47" s="364">
        <f t="shared" si="3"/>
        <v>17.434000000000001</v>
      </c>
      <c r="AA47" s="364">
        <f t="shared" si="4"/>
        <v>22.954000000000001</v>
      </c>
      <c r="AB47" s="364">
        <f t="shared" si="5"/>
        <v>19.78</v>
      </c>
      <c r="AC47" s="364">
        <f t="shared" si="6"/>
        <v>22.218</v>
      </c>
    </row>
    <row r="48" spans="1:29">
      <c r="A48" s="235"/>
      <c r="B48" s="140"/>
      <c r="C48" s="134"/>
      <c r="D48" s="134"/>
      <c r="E48" s="45"/>
      <c r="F48" s="45"/>
      <c r="G48" s="45"/>
      <c r="H48" s="45"/>
      <c r="I48" s="45"/>
      <c r="J48" s="45"/>
      <c r="K48" s="45"/>
      <c r="L48" s="45"/>
      <c r="M48" s="45"/>
      <c r="N48" s="45"/>
      <c r="O48" s="45"/>
      <c r="P48" s="45"/>
      <c r="Q48" s="45"/>
      <c r="R48" s="45"/>
      <c r="S48" s="45"/>
      <c r="T48" s="45"/>
      <c r="U48" s="45"/>
      <c r="V48" s="122"/>
      <c r="W48" s="364"/>
      <c r="X48" s="364"/>
      <c r="Y48" s="364"/>
      <c r="Z48" s="364"/>
      <c r="AA48" s="364"/>
      <c r="AB48" s="364"/>
      <c r="AC48" s="364"/>
    </row>
    <row r="49" spans="1:45">
      <c r="A49" s="113" t="s">
        <v>228</v>
      </c>
      <c r="B49" s="232"/>
      <c r="C49" s="232"/>
      <c r="D49" s="232"/>
      <c r="E49" s="208"/>
      <c r="F49" s="208"/>
      <c r="G49" s="208"/>
      <c r="H49" s="208"/>
      <c r="I49" s="208"/>
      <c r="J49" s="208"/>
      <c r="K49" s="208"/>
      <c r="L49" s="208"/>
      <c r="M49" s="208"/>
      <c r="N49" s="208"/>
      <c r="O49" s="208"/>
      <c r="P49" s="208"/>
      <c r="Q49" s="208"/>
      <c r="R49" s="208"/>
      <c r="S49" s="208"/>
      <c r="T49" s="208"/>
      <c r="U49" s="208"/>
      <c r="V49" s="182"/>
      <c r="W49" s="182"/>
      <c r="X49" s="182"/>
      <c r="Y49" s="182"/>
      <c r="Z49" s="182"/>
      <c r="AA49" s="182"/>
      <c r="AB49" s="182"/>
      <c r="AC49" s="182"/>
    </row>
    <row r="50" spans="1:45">
      <c r="A50" s="132" t="s">
        <v>229</v>
      </c>
      <c r="B50" s="132" t="s">
        <v>230</v>
      </c>
      <c r="C50" s="107"/>
      <c r="D50" s="107"/>
      <c r="E50" s="230" t="s">
        <v>231</v>
      </c>
      <c r="F50" s="230"/>
      <c r="G50" s="230" t="s">
        <v>232</v>
      </c>
      <c r="H50" s="230"/>
      <c r="I50" s="230"/>
      <c r="J50" s="230" t="s">
        <v>233</v>
      </c>
      <c r="K50" s="230"/>
      <c r="L50" s="230"/>
      <c r="M50" s="230" t="s">
        <v>234</v>
      </c>
      <c r="N50" s="230"/>
      <c r="O50" s="230"/>
      <c r="P50" s="230" t="s">
        <v>235</v>
      </c>
      <c r="Q50" s="230"/>
      <c r="R50" s="230"/>
      <c r="S50" s="230"/>
      <c r="T50" s="230"/>
      <c r="U50" s="230"/>
      <c r="V50" s="122">
        <v>30</v>
      </c>
      <c r="W50" s="364">
        <f t="shared" si="0"/>
        <v>11.295</v>
      </c>
      <c r="X50" s="364">
        <f t="shared" si="1"/>
        <v>11.295</v>
      </c>
      <c r="Y50" s="364">
        <f t="shared" si="2"/>
        <v>13.56</v>
      </c>
      <c r="Z50" s="364">
        <f t="shared" si="3"/>
        <v>11.370000000000001</v>
      </c>
      <c r="AA50" s="364">
        <f t="shared" si="4"/>
        <v>14.97</v>
      </c>
      <c r="AB50" s="364">
        <f t="shared" si="5"/>
        <v>12.9</v>
      </c>
      <c r="AC50" s="364">
        <f t="shared" si="6"/>
        <v>14.49</v>
      </c>
    </row>
    <row r="51" spans="1:45">
      <c r="A51" s="132" t="s">
        <v>236</v>
      </c>
      <c r="B51" s="132" t="s">
        <v>237</v>
      </c>
      <c r="C51" s="107"/>
      <c r="D51" s="107"/>
      <c r="E51" s="230" t="s">
        <v>238</v>
      </c>
      <c r="F51" s="230"/>
      <c r="G51" s="230" t="s">
        <v>239</v>
      </c>
      <c r="H51" s="230"/>
      <c r="I51" s="230"/>
      <c r="J51" s="230" t="s">
        <v>240</v>
      </c>
      <c r="K51" s="230"/>
      <c r="L51" s="230"/>
      <c r="M51" s="230" t="s">
        <v>241</v>
      </c>
      <c r="N51" s="230"/>
      <c r="O51" s="230"/>
      <c r="P51" s="230" t="s">
        <v>242</v>
      </c>
      <c r="Q51" s="230"/>
      <c r="R51" s="230"/>
      <c r="S51" s="230"/>
      <c r="T51" s="230"/>
      <c r="U51" s="230"/>
      <c r="V51" s="122">
        <v>104</v>
      </c>
      <c r="W51" s="364">
        <f t="shared" si="0"/>
        <v>39.155999999999999</v>
      </c>
      <c r="X51" s="364">
        <f t="shared" si="1"/>
        <v>39.155999999999999</v>
      </c>
      <c r="Y51" s="364">
        <f t="shared" si="2"/>
        <v>47.008000000000003</v>
      </c>
      <c r="Z51" s="364">
        <f t="shared" si="3"/>
        <v>39.415999999999997</v>
      </c>
      <c r="AA51" s="364">
        <f t="shared" si="4"/>
        <v>51.896000000000001</v>
      </c>
      <c r="AB51" s="364">
        <f t="shared" si="5"/>
        <v>44.72</v>
      </c>
      <c r="AC51" s="364">
        <f t="shared" si="6"/>
        <v>50.231999999999999</v>
      </c>
    </row>
    <row r="52" spans="1:45" s="177" customFormat="1">
      <c r="A52" s="69" t="s">
        <v>243</v>
      </c>
      <c r="B52" s="132" t="s">
        <v>244</v>
      </c>
      <c r="C52" s="107"/>
      <c r="D52" s="107"/>
      <c r="E52" s="230"/>
      <c r="F52" s="230"/>
      <c r="G52" s="230"/>
      <c r="H52" s="230"/>
      <c r="I52" s="230"/>
      <c r="J52" s="230" t="s">
        <v>245</v>
      </c>
      <c r="K52" s="230"/>
      <c r="L52" s="230"/>
      <c r="M52" s="230"/>
      <c r="N52" s="230"/>
      <c r="O52" s="230"/>
      <c r="P52" s="230"/>
      <c r="Q52" s="230"/>
      <c r="R52" s="230"/>
      <c r="S52" s="72"/>
      <c r="T52" s="72"/>
      <c r="U52" s="72"/>
      <c r="V52" s="122">
        <v>40</v>
      </c>
      <c r="W52" s="364">
        <f t="shared" si="0"/>
        <v>15.06</v>
      </c>
      <c r="X52" s="364">
        <f t="shared" si="1"/>
        <v>15.06</v>
      </c>
      <c r="Y52" s="364">
        <f t="shared" si="2"/>
        <v>18.080000000000002</v>
      </c>
      <c r="Z52" s="364">
        <f t="shared" si="3"/>
        <v>15.16</v>
      </c>
      <c r="AA52" s="364">
        <f t="shared" si="4"/>
        <v>19.96</v>
      </c>
      <c r="AB52" s="364">
        <f t="shared" si="5"/>
        <v>17.2</v>
      </c>
      <c r="AC52" s="364">
        <f t="shared" si="6"/>
        <v>19.32</v>
      </c>
      <c r="AD52" s="172"/>
      <c r="AE52" s="172"/>
      <c r="AF52" s="172"/>
      <c r="AG52" s="172"/>
      <c r="AH52" s="172"/>
      <c r="AI52" s="172"/>
      <c r="AJ52" s="172"/>
      <c r="AK52" s="172"/>
      <c r="AL52" s="172"/>
      <c r="AM52" s="172"/>
      <c r="AN52" s="172"/>
      <c r="AO52" s="172"/>
      <c r="AP52" s="172"/>
      <c r="AQ52" s="172"/>
      <c r="AR52" s="172"/>
      <c r="AS52" s="172"/>
    </row>
    <row r="53" spans="1:45" s="177" customFormat="1">
      <c r="A53" s="235"/>
      <c r="B53" s="140"/>
      <c r="C53" s="134"/>
      <c r="D53" s="134"/>
      <c r="E53" s="45"/>
      <c r="F53" s="45"/>
      <c r="G53" s="45"/>
      <c r="H53" s="45"/>
      <c r="I53" s="45"/>
      <c r="J53" s="45"/>
      <c r="K53" s="45"/>
      <c r="L53" s="45"/>
      <c r="M53" s="45"/>
      <c r="N53" s="45"/>
      <c r="O53" s="45"/>
      <c r="P53" s="45"/>
      <c r="Q53" s="45"/>
      <c r="R53" s="45"/>
      <c r="S53" s="45"/>
      <c r="T53" s="45"/>
      <c r="U53" s="45"/>
      <c r="V53" s="122"/>
      <c r="W53" s="364"/>
      <c r="X53" s="364"/>
      <c r="Y53" s="364"/>
      <c r="Z53" s="364"/>
      <c r="AA53" s="364"/>
      <c r="AB53" s="364"/>
      <c r="AC53" s="364"/>
      <c r="AD53" s="172"/>
      <c r="AE53" s="172"/>
      <c r="AF53" s="172"/>
      <c r="AG53" s="172"/>
      <c r="AH53" s="172"/>
      <c r="AI53" s="172"/>
      <c r="AJ53" s="172"/>
      <c r="AK53" s="172"/>
      <c r="AL53" s="172"/>
      <c r="AM53" s="172"/>
      <c r="AN53" s="172"/>
      <c r="AO53" s="172"/>
      <c r="AP53" s="172"/>
      <c r="AQ53" s="172"/>
      <c r="AR53" s="172"/>
      <c r="AS53" s="172"/>
    </row>
    <row r="54" spans="1:45" s="177" customFormat="1">
      <c r="A54" s="113" t="s">
        <v>246</v>
      </c>
      <c r="B54" s="232"/>
      <c r="C54" s="232"/>
      <c r="D54" s="232"/>
      <c r="E54" s="208"/>
      <c r="F54" s="208"/>
      <c r="G54" s="208"/>
      <c r="H54" s="208"/>
      <c r="I54" s="208"/>
      <c r="J54" s="208"/>
      <c r="K54" s="208"/>
      <c r="L54" s="208"/>
      <c r="M54" s="208"/>
      <c r="N54" s="208"/>
      <c r="O54" s="208"/>
      <c r="P54" s="208"/>
      <c r="Q54" s="208"/>
      <c r="R54" s="208"/>
      <c r="S54" s="208"/>
      <c r="T54" s="208"/>
      <c r="U54" s="208"/>
      <c r="V54" s="182"/>
      <c r="W54" s="182"/>
      <c r="X54" s="182"/>
      <c r="Y54" s="182"/>
      <c r="Z54" s="182"/>
      <c r="AA54" s="182"/>
      <c r="AB54" s="182"/>
      <c r="AC54" s="182"/>
      <c r="AD54" s="172"/>
      <c r="AE54" s="172"/>
      <c r="AF54" s="172"/>
      <c r="AG54" s="172"/>
      <c r="AH54" s="172"/>
      <c r="AI54" s="172"/>
      <c r="AJ54" s="172"/>
      <c r="AK54" s="172"/>
      <c r="AL54" s="172"/>
      <c r="AM54" s="172"/>
      <c r="AN54" s="172"/>
      <c r="AO54" s="172"/>
      <c r="AP54" s="172"/>
      <c r="AQ54" s="172"/>
      <c r="AR54" s="172"/>
      <c r="AS54" s="172"/>
    </row>
    <row r="55" spans="1:45" s="177" customFormat="1">
      <c r="A55" s="69" t="s">
        <v>247</v>
      </c>
      <c r="B55" s="132" t="s">
        <v>248</v>
      </c>
      <c r="C55" s="107"/>
      <c r="D55" s="107"/>
      <c r="E55" s="48" t="s">
        <v>249</v>
      </c>
      <c r="F55" s="230"/>
      <c r="G55" s="230" t="s">
        <v>250</v>
      </c>
      <c r="H55" s="230"/>
      <c r="I55" s="230"/>
      <c r="J55" s="230" t="s">
        <v>251</v>
      </c>
      <c r="K55" s="230"/>
      <c r="L55" s="230"/>
      <c r="M55" s="230" t="s">
        <v>252</v>
      </c>
      <c r="N55" s="230"/>
      <c r="O55" s="230"/>
      <c r="P55" s="230"/>
      <c r="Q55" s="230"/>
      <c r="R55" s="230"/>
      <c r="S55" s="72"/>
      <c r="T55" s="72"/>
      <c r="U55" s="72"/>
      <c r="V55" s="122">
        <v>5</v>
      </c>
      <c r="W55" s="364">
        <f t="shared" si="0"/>
        <v>1.8825000000000001</v>
      </c>
      <c r="X55" s="364">
        <f t="shared" si="1"/>
        <v>1.8825000000000001</v>
      </c>
      <c r="Y55" s="364">
        <f t="shared" si="2"/>
        <v>2.2600000000000002</v>
      </c>
      <c r="Z55" s="364">
        <f t="shared" si="3"/>
        <v>1.895</v>
      </c>
      <c r="AA55" s="364">
        <f t="shared" si="4"/>
        <v>2.4950000000000001</v>
      </c>
      <c r="AB55" s="364">
        <f t="shared" si="5"/>
        <v>2.15</v>
      </c>
      <c r="AC55" s="364">
        <f t="shared" si="6"/>
        <v>2.415</v>
      </c>
      <c r="AD55" s="172"/>
      <c r="AE55" s="172"/>
      <c r="AF55" s="172"/>
      <c r="AG55" s="172"/>
      <c r="AH55" s="172"/>
      <c r="AI55" s="172"/>
      <c r="AJ55" s="172"/>
      <c r="AK55" s="172"/>
      <c r="AL55" s="172"/>
      <c r="AM55" s="172"/>
      <c r="AN55" s="172"/>
      <c r="AO55" s="172"/>
      <c r="AP55" s="172"/>
      <c r="AQ55" s="172"/>
      <c r="AR55" s="172"/>
      <c r="AS55" s="172"/>
    </row>
    <row r="56" spans="1:45" s="177" customFormat="1">
      <c r="A56" s="235"/>
      <c r="B56" s="140"/>
      <c r="C56" s="134"/>
      <c r="D56" s="134"/>
      <c r="E56" s="45"/>
      <c r="F56" s="45"/>
      <c r="G56" s="45"/>
      <c r="H56" s="45"/>
      <c r="I56" s="45"/>
      <c r="J56" s="45"/>
      <c r="K56" s="45"/>
      <c r="L56" s="45"/>
      <c r="M56" s="45"/>
      <c r="N56" s="45"/>
      <c r="O56" s="45"/>
      <c r="P56" s="45"/>
      <c r="Q56" s="45"/>
      <c r="R56" s="45"/>
      <c r="S56" s="45"/>
      <c r="T56" s="45"/>
      <c r="U56" s="45"/>
      <c r="V56" s="122"/>
      <c r="W56" s="364"/>
      <c r="X56" s="364"/>
      <c r="Y56" s="364"/>
      <c r="Z56" s="364"/>
      <c r="AA56" s="364"/>
      <c r="AB56" s="364"/>
      <c r="AC56" s="364"/>
      <c r="AD56" s="172"/>
      <c r="AE56" s="172"/>
      <c r="AF56" s="172"/>
      <c r="AG56" s="172"/>
      <c r="AH56" s="172"/>
      <c r="AI56" s="172"/>
      <c r="AJ56" s="172"/>
      <c r="AK56" s="172"/>
      <c r="AL56" s="172"/>
      <c r="AM56" s="172"/>
      <c r="AN56" s="172"/>
      <c r="AO56" s="172"/>
      <c r="AP56" s="172"/>
      <c r="AQ56" s="172"/>
      <c r="AR56" s="172"/>
      <c r="AS56" s="172"/>
    </row>
    <row r="57" spans="1:45" s="177" customFormat="1">
      <c r="A57" s="113" t="s">
        <v>253</v>
      </c>
      <c r="B57" s="232" t="s">
        <v>254</v>
      </c>
      <c r="C57" s="232"/>
      <c r="D57" s="232"/>
      <c r="E57" s="212" t="s">
        <v>254</v>
      </c>
      <c r="F57" s="212"/>
      <c r="G57" s="212"/>
      <c r="H57" s="212"/>
      <c r="I57" s="212"/>
      <c r="J57" s="212"/>
      <c r="K57" s="212"/>
      <c r="L57" s="212"/>
      <c r="M57" s="212"/>
      <c r="N57" s="212"/>
      <c r="O57" s="212"/>
      <c r="P57" s="212"/>
      <c r="Q57" s="212"/>
      <c r="R57" s="212"/>
      <c r="S57" s="208"/>
      <c r="T57" s="208"/>
      <c r="U57" s="208"/>
      <c r="V57" s="182"/>
      <c r="W57" s="182"/>
      <c r="X57" s="182"/>
      <c r="Y57" s="182"/>
      <c r="Z57" s="182"/>
      <c r="AA57" s="182"/>
      <c r="AB57" s="182"/>
      <c r="AC57" s="182"/>
      <c r="AD57" s="172"/>
      <c r="AE57" s="172"/>
      <c r="AF57" s="172"/>
      <c r="AG57" s="172"/>
      <c r="AH57" s="172"/>
      <c r="AI57" s="172"/>
      <c r="AJ57" s="172"/>
      <c r="AK57" s="172"/>
      <c r="AL57" s="172"/>
      <c r="AM57" s="172"/>
      <c r="AN57" s="172"/>
      <c r="AO57" s="172"/>
      <c r="AP57" s="172"/>
      <c r="AQ57" s="172"/>
      <c r="AR57" s="172"/>
      <c r="AS57" s="172"/>
    </row>
    <row r="58" spans="1:45" s="177" customFormat="1">
      <c r="A58" s="132" t="s">
        <v>255</v>
      </c>
      <c r="B58" s="132" t="s">
        <v>256</v>
      </c>
      <c r="C58" s="107"/>
      <c r="D58" s="107"/>
      <c r="E58" s="230" t="s">
        <v>257</v>
      </c>
      <c r="F58" s="230"/>
      <c r="G58" s="230" t="s">
        <v>258</v>
      </c>
      <c r="H58" s="230"/>
      <c r="I58" s="230"/>
      <c r="J58" s="230" t="s">
        <v>259</v>
      </c>
      <c r="K58" s="230"/>
      <c r="L58" s="230"/>
      <c r="M58" s="230" t="s">
        <v>260</v>
      </c>
      <c r="N58" s="230"/>
      <c r="O58" s="230"/>
      <c r="P58" s="230"/>
      <c r="Q58" s="230"/>
      <c r="R58" s="230"/>
      <c r="S58" s="72"/>
      <c r="T58" s="72"/>
      <c r="U58" s="72"/>
      <c r="V58" s="122">
        <v>15</v>
      </c>
      <c r="W58" s="364">
        <f t="shared" si="0"/>
        <v>5.6475</v>
      </c>
      <c r="X58" s="364">
        <f t="shared" si="1"/>
        <v>5.6475</v>
      </c>
      <c r="Y58" s="364">
        <f t="shared" si="2"/>
        <v>6.78</v>
      </c>
      <c r="Z58" s="364">
        <f t="shared" si="3"/>
        <v>5.6850000000000005</v>
      </c>
      <c r="AA58" s="364">
        <f t="shared" si="4"/>
        <v>7.4850000000000003</v>
      </c>
      <c r="AB58" s="364">
        <f t="shared" si="5"/>
        <v>6.45</v>
      </c>
      <c r="AC58" s="364">
        <f t="shared" si="6"/>
        <v>7.2450000000000001</v>
      </c>
      <c r="AD58" s="172"/>
      <c r="AE58" s="172"/>
      <c r="AF58" s="172"/>
      <c r="AG58" s="172"/>
      <c r="AH58" s="172"/>
      <c r="AI58" s="172"/>
      <c r="AJ58" s="172"/>
      <c r="AK58" s="172"/>
      <c r="AL58" s="172"/>
      <c r="AM58" s="172"/>
      <c r="AN58" s="172"/>
      <c r="AO58" s="172"/>
      <c r="AP58" s="172"/>
      <c r="AQ58" s="172"/>
      <c r="AR58" s="172"/>
      <c r="AS58" s="172"/>
    </row>
    <row r="59" spans="1:45" s="177" customFormat="1">
      <c r="A59" s="132" t="s">
        <v>255</v>
      </c>
      <c r="B59" s="132" t="s">
        <v>261</v>
      </c>
      <c r="C59" s="107"/>
      <c r="D59" s="107"/>
      <c r="E59" s="230"/>
      <c r="F59" s="230"/>
      <c r="G59" s="230"/>
      <c r="H59" s="230"/>
      <c r="I59" s="230"/>
      <c r="J59" s="230"/>
      <c r="K59" s="230"/>
      <c r="L59" s="230"/>
      <c r="M59" s="230"/>
      <c r="N59" s="230"/>
      <c r="O59" s="230"/>
      <c r="P59" s="230" t="s">
        <v>262</v>
      </c>
      <c r="Q59" s="230"/>
      <c r="R59" s="230"/>
      <c r="S59" s="230"/>
      <c r="T59" s="230"/>
      <c r="U59" s="230"/>
      <c r="V59" s="122">
        <v>0</v>
      </c>
      <c r="W59" s="364">
        <f t="shared" si="0"/>
        <v>0</v>
      </c>
      <c r="X59" s="364">
        <f t="shared" si="1"/>
        <v>0</v>
      </c>
      <c r="Y59" s="364">
        <f t="shared" si="2"/>
        <v>0</v>
      </c>
      <c r="Z59" s="364">
        <f t="shared" si="3"/>
        <v>0</v>
      </c>
      <c r="AA59" s="364">
        <f t="shared" si="4"/>
        <v>0</v>
      </c>
      <c r="AB59" s="364">
        <f t="shared" si="5"/>
        <v>0</v>
      </c>
      <c r="AC59" s="364">
        <f t="shared" si="6"/>
        <v>0</v>
      </c>
      <c r="AD59" s="172"/>
      <c r="AE59" s="172"/>
      <c r="AF59" s="172"/>
      <c r="AG59" s="172"/>
      <c r="AH59" s="172"/>
      <c r="AI59" s="172"/>
      <c r="AJ59" s="172"/>
      <c r="AK59" s="172"/>
      <c r="AL59" s="172"/>
      <c r="AM59" s="172"/>
      <c r="AN59" s="172"/>
      <c r="AO59" s="172"/>
      <c r="AP59" s="172"/>
      <c r="AQ59" s="172"/>
      <c r="AR59" s="172"/>
      <c r="AS59" s="172"/>
    </row>
    <row r="60" spans="1:45" s="177" customFormat="1">
      <c r="A60" s="235"/>
      <c r="B60" s="140"/>
      <c r="C60" s="134"/>
      <c r="D60" s="134"/>
      <c r="E60" s="45"/>
      <c r="F60" s="45"/>
      <c r="G60" s="45"/>
      <c r="H60" s="45"/>
      <c r="I60" s="45"/>
      <c r="J60" s="45"/>
      <c r="K60" s="45"/>
      <c r="L60" s="45"/>
      <c r="M60" s="45"/>
      <c r="N60" s="45"/>
      <c r="O60" s="45"/>
      <c r="P60" s="45"/>
      <c r="Q60" s="45"/>
      <c r="R60" s="45"/>
      <c r="S60" s="45"/>
      <c r="T60" s="45"/>
      <c r="U60" s="45"/>
      <c r="V60" s="122"/>
      <c r="W60" s="364"/>
      <c r="X60" s="364"/>
      <c r="Y60" s="364"/>
      <c r="Z60" s="364"/>
      <c r="AA60" s="364"/>
      <c r="AB60" s="364"/>
      <c r="AC60" s="364"/>
      <c r="AD60" s="172"/>
      <c r="AE60" s="172"/>
      <c r="AF60" s="172"/>
      <c r="AG60" s="172"/>
      <c r="AH60" s="172"/>
      <c r="AI60" s="172"/>
      <c r="AJ60" s="172"/>
      <c r="AK60" s="172"/>
      <c r="AL60" s="172"/>
      <c r="AM60" s="172"/>
      <c r="AN60" s="172"/>
      <c r="AO60" s="172"/>
      <c r="AP60" s="172"/>
      <c r="AQ60" s="172"/>
      <c r="AR60" s="172"/>
      <c r="AS60" s="172"/>
    </row>
    <row r="61" spans="1:45" s="177" customFormat="1">
      <c r="A61" s="113" t="s">
        <v>263</v>
      </c>
      <c r="B61" s="232"/>
      <c r="C61" s="232"/>
      <c r="D61" s="232"/>
      <c r="E61" s="208"/>
      <c r="F61" s="208"/>
      <c r="G61" s="208"/>
      <c r="H61" s="208"/>
      <c r="I61" s="208"/>
      <c r="J61" s="208"/>
      <c r="K61" s="208"/>
      <c r="L61" s="208"/>
      <c r="M61" s="208"/>
      <c r="N61" s="208"/>
      <c r="O61" s="208"/>
      <c r="P61" s="208"/>
      <c r="Q61" s="208"/>
      <c r="R61" s="208"/>
      <c r="S61" s="208"/>
      <c r="T61" s="208"/>
      <c r="U61" s="208"/>
      <c r="V61" s="182"/>
      <c r="W61" s="182"/>
      <c r="X61" s="182"/>
      <c r="Y61" s="182"/>
      <c r="Z61" s="182"/>
      <c r="AA61" s="182"/>
      <c r="AB61" s="182"/>
      <c r="AC61" s="182"/>
      <c r="AD61" s="172"/>
      <c r="AE61" s="172"/>
      <c r="AF61" s="172"/>
      <c r="AG61" s="172"/>
      <c r="AH61" s="172"/>
      <c r="AI61" s="172"/>
      <c r="AJ61" s="172"/>
      <c r="AK61" s="172"/>
      <c r="AL61" s="172"/>
      <c r="AM61" s="172"/>
      <c r="AN61" s="172"/>
      <c r="AO61" s="172"/>
      <c r="AP61" s="172"/>
      <c r="AQ61" s="172"/>
      <c r="AR61" s="172"/>
      <c r="AS61" s="172"/>
    </row>
    <row r="62" spans="1:45" s="177" customFormat="1">
      <c r="A62" s="132" t="s">
        <v>113</v>
      </c>
      <c r="B62" s="132" t="s">
        <v>264</v>
      </c>
      <c r="C62" s="107"/>
      <c r="D62" s="107"/>
      <c r="E62" s="230" t="s">
        <v>265</v>
      </c>
      <c r="F62" s="230"/>
      <c r="G62" s="230" t="s">
        <v>266</v>
      </c>
      <c r="H62" s="230"/>
      <c r="I62" s="230"/>
      <c r="J62" s="230" t="s">
        <v>267</v>
      </c>
      <c r="K62" s="230"/>
      <c r="L62" s="230"/>
      <c r="M62" s="230" t="s">
        <v>268</v>
      </c>
      <c r="N62" s="230"/>
      <c r="O62" s="230"/>
      <c r="P62" s="230" t="s">
        <v>269</v>
      </c>
      <c r="Q62" s="230"/>
      <c r="R62" s="230"/>
      <c r="S62" s="230"/>
      <c r="T62" s="230"/>
      <c r="U62" s="230"/>
      <c r="V62" s="122">
        <v>6</v>
      </c>
      <c r="W62" s="364">
        <f t="shared" si="0"/>
        <v>2.2589999999999999</v>
      </c>
      <c r="X62" s="364">
        <f t="shared" si="1"/>
        <v>2.2589999999999999</v>
      </c>
      <c r="Y62" s="364">
        <f t="shared" si="2"/>
        <v>2.7120000000000002</v>
      </c>
      <c r="Z62" s="364">
        <f t="shared" si="3"/>
        <v>2.274</v>
      </c>
      <c r="AA62" s="364">
        <f t="shared" si="4"/>
        <v>2.9939999999999998</v>
      </c>
      <c r="AB62" s="364">
        <f t="shared" si="5"/>
        <v>2.58</v>
      </c>
      <c r="AC62" s="364">
        <f t="shared" si="6"/>
        <v>2.8979999999999997</v>
      </c>
      <c r="AD62" s="172"/>
      <c r="AE62" s="172"/>
      <c r="AF62" s="172"/>
      <c r="AG62" s="172"/>
      <c r="AH62" s="172"/>
      <c r="AI62" s="172"/>
      <c r="AJ62" s="172"/>
      <c r="AK62" s="172"/>
      <c r="AL62" s="172"/>
      <c r="AM62" s="172"/>
      <c r="AN62" s="172"/>
      <c r="AO62" s="172"/>
      <c r="AP62" s="172"/>
      <c r="AQ62" s="172"/>
      <c r="AR62" s="172"/>
      <c r="AS62" s="172"/>
    </row>
    <row r="63" spans="1:45" s="177" customFormat="1">
      <c r="A63" s="235"/>
      <c r="B63" s="140"/>
      <c r="C63" s="134"/>
      <c r="D63" s="134"/>
      <c r="E63" s="45"/>
      <c r="F63" s="45"/>
      <c r="G63" s="45"/>
      <c r="H63" s="45"/>
      <c r="I63" s="45"/>
      <c r="J63" s="45"/>
      <c r="K63" s="45"/>
      <c r="L63" s="45"/>
      <c r="M63" s="45"/>
      <c r="N63" s="45"/>
      <c r="O63" s="45"/>
      <c r="P63" s="45"/>
      <c r="Q63" s="45"/>
      <c r="R63" s="45"/>
      <c r="S63" s="45"/>
      <c r="T63" s="45"/>
      <c r="U63" s="45"/>
      <c r="V63" s="122"/>
      <c r="W63" s="364"/>
      <c r="X63" s="364"/>
      <c r="Y63" s="364"/>
      <c r="Z63" s="364"/>
      <c r="AA63" s="364"/>
      <c r="AB63" s="364"/>
      <c r="AC63" s="364"/>
      <c r="AD63" s="172"/>
      <c r="AE63" s="172"/>
      <c r="AF63" s="172"/>
      <c r="AG63" s="172"/>
      <c r="AH63" s="172"/>
      <c r="AI63" s="172"/>
      <c r="AJ63" s="172"/>
      <c r="AK63" s="172"/>
      <c r="AL63" s="172"/>
      <c r="AM63" s="172"/>
      <c r="AN63" s="172"/>
      <c r="AO63" s="172"/>
      <c r="AP63" s="172"/>
      <c r="AQ63" s="172"/>
      <c r="AR63" s="172"/>
      <c r="AS63" s="172"/>
    </row>
    <row r="64" spans="1:45" s="177" customFormat="1">
      <c r="A64" s="113" t="s">
        <v>270</v>
      </c>
      <c r="B64" s="232"/>
      <c r="C64" s="232"/>
      <c r="D64" s="232"/>
      <c r="E64" s="208"/>
      <c r="F64" s="208"/>
      <c r="G64" s="208"/>
      <c r="H64" s="208"/>
      <c r="I64" s="208"/>
      <c r="J64" s="208"/>
      <c r="K64" s="208"/>
      <c r="L64" s="208"/>
      <c r="M64" s="208"/>
      <c r="N64" s="208"/>
      <c r="O64" s="208"/>
      <c r="P64" s="208"/>
      <c r="Q64" s="208"/>
      <c r="R64" s="208"/>
      <c r="S64" s="208"/>
      <c r="T64" s="208"/>
      <c r="U64" s="208"/>
      <c r="V64" s="182"/>
      <c r="W64" s="182"/>
      <c r="X64" s="182"/>
      <c r="Y64" s="182"/>
      <c r="Z64" s="182"/>
      <c r="AA64" s="182"/>
      <c r="AB64" s="182"/>
      <c r="AC64" s="182"/>
      <c r="AD64" s="172"/>
      <c r="AE64" s="172"/>
      <c r="AF64" s="172"/>
      <c r="AG64" s="172"/>
      <c r="AH64" s="172"/>
      <c r="AI64" s="172"/>
      <c r="AJ64" s="172"/>
      <c r="AK64" s="172"/>
      <c r="AL64" s="172"/>
      <c r="AM64" s="172"/>
      <c r="AN64" s="172"/>
      <c r="AO64" s="172"/>
      <c r="AP64" s="172"/>
      <c r="AQ64" s="172"/>
      <c r="AR64" s="172"/>
      <c r="AS64" s="172"/>
    </row>
    <row r="65" spans="1:45" s="177" customFormat="1" ht="27.6">
      <c r="A65" s="132" t="s">
        <v>271</v>
      </c>
      <c r="B65" s="132" t="s">
        <v>272</v>
      </c>
      <c r="C65" s="107"/>
      <c r="D65" s="107"/>
      <c r="E65" s="230" t="s">
        <v>273</v>
      </c>
      <c r="F65" s="230"/>
      <c r="G65" s="230"/>
      <c r="H65" s="230"/>
      <c r="I65" s="230"/>
      <c r="J65" s="230"/>
      <c r="K65" s="230"/>
      <c r="L65" s="230"/>
      <c r="M65" s="230"/>
      <c r="N65" s="230"/>
      <c r="O65" s="230"/>
      <c r="P65" s="230"/>
      <c r="Q65" s="230"/>
      <c r="R65" s="230"/>
      <c r="S65" s="72"/>
      <c r="T65" s="72"/>
      <c r="U65" s="72"/>
      <c r="V65" s="122">
        <v>10</v>
      </c>
      <c r="W65" s="364">
        <f t="shared" si="0"/>
        <v>3.7650000000000001</v>
      </c>
      <c r="X65" s="364">
        <f t="shared" si="1"/>
        <v>3.7650000000000001</v>
      </c>
      <c r="Y65" s="364">
        <f t="shared" si="2"/>
        <v>4.5200000000000005</v>
      </c>
      <c r="Z65" s="364">
        <f t="shared" si="3"/>
        <v>3.79</v>
      </c>
      <c r="AA65" s="364">
        <f t="shared" si="4"/>
        <v>4.99</v>
      </c>
      <c r="AB65" s="364">
        <f t="shared" si="5"/>
        <v>4.3</v>
      </c>
      <c r="AC65" s="364">
        <f t="shared" si="6"/>
        <v>4.83</v>
      </c>
      <c r="AD65" s="172"/>
      <c r="AE65" s="172"/>
      <c r="AF65" s="172"/>
      <c r="AG65" s="172"/>
      <c r="AH65" s="172"/>
      <c r="AI65" s="172"/>
      <c r="AJ65" s="172"/>
      <c r="AK65" s="172"/>
      <c r="AL65" s="172"/>
      <c r="AM65" s="172"/>
      <c r="AN65" s="172"/>
      <c r="AO65" s="172"/>
      <c r="AP65" s="172"/>
      <c r="AQ65" s="172"/>
      <c r="AR65" s="172"/>
      <c r="AS65" s="172"/>
    </row>
    <row r="66" spans="1:45" s="177" customFormat="1">
      <c r="A66" s="235"/>
      <c r="B66" s="140"/>
      <c r="C66" s="134"/>
      <c r="D66" s="134"/>
      <c r="E66" s="45"/>
      <c r="F66" s="45"/>
      <c r="G66" s="45"/>
      <c r="H66" s="45"/>
      <c r="I66" s="45"/>
      <c r="J66" s="45"/>
      <c r="K66" s="45"/>
      <c r="L66" s="45"/>
      <c r="M66" s="45"/>
      <c r="N66" s="45"/>
      <c r="O66" s="45"/>
      <c r="P66" s="45"/>
      <c r="Q66" s="45"/>
      <c r="R66" s="45"/>
      <c r="S66" s="45"/>
      <c r="T66" s="45"/>
      <c r="U66" s="45"/>
      <c r="V66" s="122"/>
      <c r="W66" s="364">
        <f t="shared" si="0"/>
        <v>0</v>
      </c>
      <c r="X66" s="364">
        <f t="shared" si="1"/>
        <v>0</v>
      </c>
      <c r="Y66" s="364">
        <f t="shared" si="2"/>
        <v>0</v>
      </c>
      <c r="Z66" s="364">
        <f t="shared" si="3"/>
        <v>0</v>
      </c>
      <c r="AA66" s="364">
        <f t="shared" si="4"/>
        <v>0</v>
      </c>
      <c r="AB66" s="364">
        <f t="shared" si="5"/>
        <v>0</v>
      </c>
      <c r="AC66" s="364">
        <f t="shared" si="6"/>
        <v>0</v>
      </c>
      <c r="AD66" s="172"/>
      <c r="AE66" s="172"/>
      <c r="AF66" s="172"/>
      <c r="AG66" s="172"/>
      <c r="AH66" s="172"/>
      <c r="AI66" s="172"/>
      <c r="AJ66" s="172"/>
      <c r="AK66" s="172"/>
      <c r="AL66" s="172"/>
      <c r="AM66" s="172"/>
      <c r="AN66" s="172"/>
      <c r="AO66" s="172"/>
      <c r="AP66" s="172"/>
      <c r="AQ66" s="172"/>
      <c r="AR66" s="172"/>
      <c r="AS66" s="172"/>
    </row>
    <row r="67" spans="1:45" s="177" customFormat="1">
      <c r="A67" s="113" t="s">
        <v>274</v>
      </c>
      <c r="B67" s="232"/>
      <c r="C67" s="232"/>
      <c r="D67" s="232"/>
      <c r="E67" s="208"/>
      <c r="F67" s="208"/>
      <c r="G67" s="208"/>
      <c r="H67" s="208"/>
      <c r="I67" s="208"/>
      <c r="J67" s="208"/>
      <c r="K67" s="208"/>
      <c r="L67" s="208"/>
      <c r="M67" s="208"/>
      <c r="N67" s="208"/>
      <c r="O67" s="208"/>
      <c r="P67" s="208"/>
      <c r="Q67" s="208"/>
      <c r="R67" s="208"/>
      <c r="S67" s="208"/>
      <c r="T67" s="208"/>
      <c r="U67" s="208"/>
      <c r="V67" s="182"/>
      <c r="W67" s="182"/>
      <c r="X67" s="182"/>
      <c r="Y67" s="182"/>
      <c r="Z67" s="182"/>
      <c r="AA67" s="182"/>
      <c r="AB67" s="182"/>
      <c r="AC67" s="182"/>
      <c r="AD67" s="172"/>
      <c r="AE67" s="172"/>
      <c r="AF67" s="172"/>
      <c r="AG67" s="172"/>
      <c r="AH67" s="172"/>
      <c r="AI67" s="172"/>
      <c r="AJ67" s="172"/>
      <c r="AK67" s="172"/>
      <c r="AL67" s="172"/>
      <c r="AM67" s="172"/>
      <c r="AN67" s="172"/>
      <c r="AO67" s="172"/>
      <c r="AP67" s="172"/>
      <c r="AQ67" s="172"/>
      <c r="AR67" s="172"/>
      <c r="AS67" s="172"/>
    </row>
    <row r="68" spans="1:45" s="177" customFormat="1">
      <c r="A68" s="132" t="s">
        <v>275</v>
      </c>
      <c r="B68" s="132" t="s">
        <v>276</v>
      </c>
      <c r="C68" s="107"/>
      <c r="D68" s="107"/>
      <c r="E68" s="230" t="s">
        <v>277</v>
      </c>
      <c r="F68" s="230"/>
      <c r="G68" s="230" t="s">
        <v>278</v>
      </c>
      <c r="H68" s="230"/>
      <c r="I68" s="230"/>
      <c r="J68" s="230" t="s">
        <v>279</v>
      </c>
      <c r="K68" s="230"/>
      <c r="L68" s="230"/>
      <c r="M68" s="230" t="s">
        <v>280</v>
      </c>
      <c r="N68" s="230"/>
      <c r="O68" s="230"/>
      <c r="P68" s="230" t="s">
        <v>281</v>
      </c>
      <c r="Q68" s="230"/>
      <c r="R68" s="230"/>
      <c r="S68" s="230"/>
      <c r="T68" s="230"/>
      <c r="U68" s="230"/>
      <c r="V68" s="122">
        <v>0</v>
      </c>
      <c r="W68" s="364">
        <f t="shared" si="0"/>
        <v>0</v>
      </c>
      <c r="X68" s="364">
        <f t="shared" si="1"/>
        <v>0</v>
      </c>
      <c r="Y68" s="364">
        <f t="shared" si="2"/>
        <v>0</v>
      </c>
      <c r="Z68" s="364">
        <f t="shared" si="3"/>
        <v>0</v>
      </c>
      <c r="AA68" s="364">
        <f t="shared" si="4"/>
        <v>0</v>
      </c>
      <c r="AB68" s="364">
        <f t="shared" si="5"/>
        <v>0</v>
      </c>
      <c r="AC68" s="364">
        <f t="shared" si="6"/>
        <v>0</v>
      </c>
      <c r="AD68" s="172"/>
      <c r="AE68" s="172"/>
      <c r="AF68" s="172"/>
      <c r="AG68" s="172"/>
      <c r="AH68" s="172"/>
      <c r="AI68" s="172"/>
      <c r="AJ68" s="172"/>
      <c r="AK68" s="172"/>
      <c r="AL68" s="172"/>
      <c r="AM68" s="172"/>
      <c r="AN68" s="172"/>
      <c r="AO68" s="172"/>
      <c r="AP68" s="172"/>
      <c r="AQ68" s="172"/>
      <c r="AR68" s="172"/>
      <c r="AS68" s="172"/>
    </row>
    <row r="69" spans="1:45" s="177" customFormat="1">
      <c r="A69" s="235"/>
      <c r="B69" s="140"/>
      <c r="C69" s="134"/>
      <c r="D69" s="134"/>
      <c r="E69" s="45"/>
      <c r="F69" s="45"/>
      <c r="G69" s="45"/>
      <c r="H69" s="45"/>
      <c r="I69" s="45"/>
      <c r="J69" s="45"/>
      <c r="K69" s="45"/>
      <c r="L69" s="45"/>
      <c r="M69" s="45"/>
      <c r="N69" s="45"/>
      <c r="O69" s="45"/>
      <c r="P69" s="45"/>
      <c r="Q69" s="45"/>
      <c r="R69" s="45"/>
      <c r="S69" s="45"/>
      <c r="T69" s="45"/>
      <c r="U69" s="45"/>
      <c r="V69" s="122"/>
      <c r="W69" s="364">
        <f t="shared" si="0"/>
        <v>0</v>
      </c>
      <c r="X69" s="364">
        <f t="shared" si="1"/>
        <v>0</v>
      </c>
      <c r="Y69" s="364">
        <f t="shared" si="2"/>
        <v>0</v>
      </c>
      <c r="Z69" s="364">
        <f t="shared" si="3"/>
        <v>0</v>
      </c>
      <c r="AA69" s="364">
        <f t="shared" si="4"/>
        <v>0</v>
      </c>
      <c r="AB69" s="364">
        <f t="shared" si="5"/>
        <v>0</v>
      </c>
      <c r="AC69" s="364">
        <f t="shared" si="6"/>
        <v>0</v>
      </c>
      <c r="AD69" s="172"/>
      <c r="AE69" s="172"/>
      <c r="AF69" s="172"/>
      <c r="AG69" s="172"/>
      <c r="AH69" s="172"/>
      <c r="AI69" s="172"/>
      <c r="AJ69" s="172"/>
      <c r="AK69" s="172"/>
      <c r="AL69" s="172"/>
      <c r="AM69" s="172"/>
      <c r="AN69" s="172"/>
      <c r="AO69" s="172"/>
      <c r="AP69" s="172"/>
      <c r="AQ69" s="172"/>
      <c r="AR69" s="172"/>
      <c r="AS69" s="172"/>
    </row>
    <row r="70" spans="1:45" s="177" customFormat="1">
      <c r="A70" s="113" t="s">
        <v>282</v>
      </c>
      <c r="B70" s="232"/>
      <c r="C70" s="232"/>
      <c r="D70" s="232"/>
      <c r="E70" s="208"/>
      <c r="F70" s="208"/>
      <c r="G70" s="208"/>
      <c r="H70" s="208"/>
      <c r="I70" s="208"/>
      <c r="J70" s="208"/>
      <c r="K70" s="208"/>
      <c r="L70" s="208"/>
      <c r="M70" s="208"/>
      <c r="N70" s="208"/>
      <c r="O70" s="208"/>
      <c r="P70" s="208"/>
      <c r="Q70" s="208"/>
      <c r="R70" s="208"/>
      <c r="S70" s="208"/>
      <c r="T70" s="208"/>
      <c r="U70" s="208"/>
      <c r="V70" s="182"/>
      <c r="W70" s="182"/>
      <c r="X70" s="182"/>
      <c r="Y70" s="182"/>
      <c r="Z70" s="182"/>
      <c r="AA70" s="182"/>
      <c r="AB70" s="182"/>
      <c r="AC70" s="182"/>
      <c r="AD70" s="172"/>
      <c r="AE70" s="172"/>
      <c r="AF70" s="172"/>
      <c r="AG70" s="172"/>
      <c r="AH70" s="172"/>
      <c r="AI70" s="172"/>
      <c r="AJ70" s="172"/>
      <c r="AK70" s="172"/>
      <c r="AL70" s="172"/>
      <c r="AM70" s="172"/>
      <c r="AN70" s="172"/>
      <c r="AO70" s="172"/>
      <c r="AP70" s="172"/>
      <c r="AQ70" s="172"/>
      <c r="AR70" s="172"/>
      <c r="AS70" s="172"/>
    </row>
    <row r="71" spans="1:45" s="177" customFormat="1">
      <c r="A71" s="132" t="s">
        <v>283</v>
      </c>
      <c r="B71" s="132" t="s">
        <v>284</v>
      </c>
      <c r="C71" s="107"/>
      <c r="D71" s="107"/>
      <c r="E71" s="230"/>
      <c r="F71" s="230"/>
      <c r="G71" s="230"/>
      <c r="H71" s="230"/>
      <c r="I71" s="230"/>
      <c r="J71" s="230"/>
      <c r="K71" s="230"/>
      <c r="L71" s="230"/>
      <c r="M71" s="230"/>
      <c r="N71" s="230"/>
      <c r="O71" s="230"/>
      <c r="P71" s="48" t="s">
        <v>995</v>
      </c>
      <c r="Q71" s="230"/>
      <c r="R71" s="230"/>
      <c r="S71" s="72"/>
      <c r="T71" s="72"/>
      <c r="U71" s="72"/>
      <c r="V71" s="122">
        <v>33</v>
      </c>
      <c r="W71" s="364">
        <f t="shared" si="0"/>
        <v>12.4245</v>
      </c>
      <c r="X71" s="364">
        <f t="shared" si="1"/>
        <v>12.4245</v>
      </c>
      <c r="Y71" s="364">
        <f t="shared" si="2"/>
        <v>14.916</v>
      </c>
      <c r="Z71" s="364">
        <f t="shared" si="3"/>
        <v>12.507</v>
      </c>
      <c r="AA71" s="364">
        <f t="shared" si="4"/>
        <v>16.466999999999999</v>
      </c>
      <c r="AB71" s="364">
        <f t="shared" si="5"/>
        <v>14.19</v>
      </c>
      <c r="AC71" s="364">
        <f t="shared" si="6"/>
        <v>15.939</v>
      </c>
      <c r="AD71" s="172"/>
      <c r="AE71" s="172"/>
      <c r="AF71" s="172"/>
      <c r="AG71" s="172"/>
      <c r="AH71" s="172"/>
      <c r="AI71" s="172"/>
      <c r="AJ71" s="172"/>
      <c r="AK71" s="172"/>
      <c r="AL71" s="172"/>
      <c r="AM71" s="172"/>
      <c r="AN71" s="172"/>
      <c r="AO71" s="172"/>
      <c r="AP71" s="172"/>
      <c r="AQ71" s="172"/>
      <c r="AR71" s="172"/>
      <c r="AS71" s="172"/>
    </row>
    <row r="72" spans="1:45">
      <c r="A72" s="235"/>
      <c r="B72" s="140"/>
      <c r="C72" s="134"/>
      <c r="D72" s="134"/>
      <c r="E72" s="45"/>
      <c r="F72" s="45"/>
      <c r="G72" s="45"/>
      <c r="H72" s="45"/>
      <c r="I72" s="45"/>
      <c r="J72" s="45"/>
      <c r="K72" s="45"/>
      <c r="L72" s="45"/>
      <c r="M72" s="45"/>
      <c r="N72" s="45"/>
      <c r="O72" s="45"/>
      <c r="P72" s="45"/>
      <c r="Q72" s="45"/>
      <c r="R72" s="45"/>
      <c r="S72" s="45"/>
      <c r="T72" s="45"/>
      <c r="U72" s="45"/>
      <c r="V72" s="122"/>
      <c r="W72" s="364">
        <f t="shared" si="0"/>
        <v>0</v>
      </c>
      <c r="X72" s="364">
        <f t="shared" si="1"/>
        <v>0</v>
      </c>
      <c r="Y72" s="364">
        <f t="shared" si="2"/>
        <v>0</v>
      </c>
      <c r="Z72" s="364">
        <f t="shared" si="3"/>
        <v>0</v>
      </c>
      <c r="AA72" s="364">
        <f t="shared" si="4"/>
        <v>0</v>
      </c>
      <c r="AB72" s="364">
        <f t="shared" si="5"/>
        <v>0</v>
      </c>
      <c r="AC72" s="364">
        <f t="shared" si="6"/>
        <v>0</v>
      </c>
    </row>
    <row r="73" spans="1:45">
      <c r="A73" s="98" t="s">
        <v>285</v>
      </c>
      <c r="B73" s="108"/>
      <c r="C73" s="108"/>
      <c r="D73" s="108"/>
      <c r="E73" s="226"/>
      <c r="F73" s="226"/>
      <c r="G73" s="226"/>
      <c r="H73" s="226"/>
      <c r="I73" s="226"/>
      <c r="J73" s="226"/>
      <c r="K73" s="226"/>
      <c r="L73" s="226"/>
      <c r="M73" s="226"/>
      <c r="N73" s="226"/>
      <c r="O73" s="226"/>
      <c r="P73" s="226"/>
      <c r="Q73" s="226"/>
      <c r="R73" s="226"/>
      <c r="S73" s="226"/>
      <c r="T73" s="226"/>
      <c r="U73" s="226"/>
      <c r="V73" s="182"/>
      <c r="W73" s="182"/>
      <c r="X73" s="182"/>
      <c r="Y73" s="182"/>
      <c r="Z73" s="182"/>
      <c r="AA73" s="182"/>
      <c r="AB73" s="182"/>
      <c r="AC73" s="182"/>
    </row>
    <row r="74" spans="1:45">
      <c r="A74" s="132" t="s">
        <v>286</v>
      </c>
      <c r="B74" s="132" t="s">
        <v>287</v>
      </c>
      <c r="C74" s="107"/>
      <c r="D74" s="107"/>
      <c r="E74" s="230" t="s">
        <v>288</v>
      </c>
      <c r="F74" s="230"/>
      <c r="G74" s="230" t="s">
        <v>288</v>
      </c>
      <c r="H74" s="230"/>
      <c r="I74" s="230"/>
      <c r="J74" s="230" t="s">
        <v>288</v>
      </c>
      <c r="K74" s="230"/>
      <c r="L74" s="230"/>
      <c r="M74" s="230" t="s">
        <v>288</v>
      </c>
      <c r="N74" s="230"/>
      <c r="O74" s="230"/>
      <c r="P74" s="230" t="s">
        <v>288</v>
      </c>
      <c r="Q74" s="230"/>
      <c r="R74" s="230"/>
      <c r="S74" s="72"/>
      <c r="T74" s="72"/>
      <c r="U74" s="72"/>
      <c r="V74" s="122">
        <v>10</v>
      </c>
      <c r="W74" s="364">
        <f t="shared" si="0"/>
        <v>3.7650000000000001</v>
      </c>
      <c r="X74" s="364">
        <f t="shared" si="1"/>
        <v>3.7650000000000001</v>
      </c>
      <c r="Y74" s="364">
        <f t="shared" si="2"/>
        <v>4.5200000000000005</v>
      </c>
      <c r="Z74" s="364">
        <f t="shared" si="3"/>
        <v>3.79</v>
      </c>
      <c r="AA74" s="364">
        <f t="shared" si="4"/>
        <v>4.99</v>
      </c>
      <c r="AB74" s="364">
        <f t="shared" si="5"/>
        <v>4.3</v>
      </c>
      <c r="AC74" s="364">
        <f t="shared" si="6"/>
        <v>4.83</v>
      </c>
    </row>
    <row r="75" spans="1:45" ht="27.6">
      <c r="A75" s="132" t="s">
        <v>289</v>
      </c>
      <c r="B75" s="99" t="s">
        <v>290</v>
      </c>
      <c r="C75" s="222"/>
      <c r="D75" s="222"/>
      <c r="E75" s="230" t="s">
        <v>291</v>
      </c>
      <c r="F75" s="230"/>
      <c r="G75" s="230" t="s">
        <v>291</v>
      </c>
      <c r="H75" s="230"/>
      <c r="I75" s="230"/>
      <c r="J75" s="230" t="s">
        <v>291</v>
      </c>
      <c r="K75" s="230"/>
      <c r="L75" s="230"/>
      <c r="M75" s="230" t="s">
        <v>291</v>
      </c>
      <c r="N75" s="230"/>
      <c r="O75" s="230"/>
      <c r="P75" s="230" t="s">
        <v>291</v>
      </c>
      <c r="Q75" s="230"/>
      <c r="R75" s="230"/>
      <c r="S75" s="72"/>
      <c r="T75" s="72"/>
      <c r="U75" s="72"/>
      <c r="V75" s="122">
        <v>30</v>
      </c>
      <c r="W75" s="364">
        <f t="shared" si="0"/>
        <v>11.295</v>
      </c>
      <c r="X75" s="364">
        <f t="shared" si="1"/>
        <v>11.295</v>
      </c>
      <c r="Y75" s="364">
        <f t="shared" si="2"/>
        <v>13.56</v>
      </c>
      <c r="Z75" s="364">
        <f t="shared" si="3"/>
        <v>11.370000000000001</v>
      </c>
      <c r="AA75" s="364">
        <f t="shared" si="4"/>
        <v>14.97</v>
      </c>
      <c r="AB75" s="364">
        <f t="shared" si="5"/>
        <v>12.9</v>
      </c>
      <c r="AC75" s="364">
        <f t="shared" si="6"/>
        <v>14.49</v>
      </c>
    </row>
    <row r="76" spans="1:45">
      <c r="A76" s="132" t="s">
        <v>292</v>
      </c>
      <c r="B76" s="132" t="s">
        <v>293</v>
      </c>
      <c r="C76" s="107"/>
      <c r="D76" s="107"/>
      <c r="E76" s="230" t="s">
        <v>294</v>
      </c>
      <c r="F76" s="230"/>
      <c r="G76" s="230" t="s">
        <v>294</v>
      </c>
      <c r="H76" s="230"/>
      <c r="I76" s="230"/>
      <c r="J76" s="230" t="s">
        <v>294</v>
      </c>
      <c r="K76" s="230"/>
      <c r="L76" s="230"/>
      <c r="M76" s="230" t="s">
        <v>294</v>
      </c>
      <c r="N76" s="230"/>
      <c r="O76" s="230"/>
      <c r="P76" s="230" t="s">
        <v>294</v>
      </c>
      <c r="Q76" s="230"/>
      <c r="R76" s="230"/>
      <c r="S76" s="72"/>
      <c r="T76" s="72"/>
      <c r="U76" s="72"/>
      <c r="V76" s="122">
        <v>158</v>
      </c>
      <c r="W76" s="364">
        <f t="shared" si="0"/>
        <v>59.487000000000002</v>
      </c>
      <c r="X76" s="364">
        <f t="shared" si="1"/>
        <v>59.487000000000002</v>
      </c>
      <c r="Y76" s="364">
        <f t="shared" si="2"/>
        <v>71.415999999999997</v>
      </c>
      <c r="Z76" s="364">
        <f t="shared" si="3"/>
        <v>59.881999999999998</v>
      </c>
      <c r="AA76" s="364">
        <f t="shared" si="4"/>
        <v>78.841999999999999</v>
      </c>
      <c r="AB76" s="364">
        <f t="shared" si="5"/>
        <v>67.94</v>
      </c>
      <c r="AC76" s="364">
        <f t="shared" si="6"/>
        <v>76.313999999999993</v>
      </c>
    </row>
    <row r="77" spans="1:45">
      <c r="A77" s="132" t="s">
        <v>295</v>
      </c>
      <c r="B77" s="132" t="s">
        <v>296</v>
      </c>
      <c r="C77" s="107"/>
      <c r="D77" s="107"/>
      <c r="E77" s="230" t="s">
        <v>297</v>
      </c>
      <c r="F77" s="230"/>
      <c r="G77" s="230" t="s">
        <v>297</v>
      </c>
      <c r="H77" s="230"/>
      <c r="I77" s="230"/>
      <c r="J77" s="230" t="s">
        <v>297</v>
      </c>
      <c r="K77" s="230"/>
      <c r="L77" s="230"/>
      <c r="M77" s="230" t="s">
        <v>297</v>
      </c>
      <c r="N77" s="230"/>
      <c r="O77" s="230"/>
      <c r="P77" s="230" t="s">
        <v>298</v>
      </c>
      <c r="Q77" s="230"/>
      <c r="R77" s="230"/>
      <c r="S77" s="72"/>
      <c r="T77" s="72"/>
      <c r="U77" s="72"/>
      <c r="V77" s="122">
        <v>22</v>
      </c>
      <c r="W77" s="364">
        <f t="shared" ref="W77:W140" si="7">V77*$W$9</f>
        <v>8.2829999999999995</v>
      </c>
      <c r="X77" s="364">
        <f t="shared" ref="X77:X140" si="8">V77*$X$9</f>
        <v>8.2829999999999995</v>
      </c>
      <c r="Y77" s="364">
        <f t="shared" ref="Y77:Y140" si="9">V77*$Y$9</f>
        <v>9.9440000000000008</v>
      </c>
      <c r="Z77" s="364">
        <f t="shared" ref="Z77:Z140" si="10">V77*$Z$9</f>
        <v>8.338000000000001</v>
      </c>
      <c r="AA77" s="364">
        <f t="shared" ref="AA77:AA140" si="11">V77*$AA$9</f>
        <v>10.978</v>
      </c>
      <c r="AB77" s="364">
        <f t="shared" ref="AB77:AB140" si="12">V77*$AB$9</f>
        <v>9.4599999999999991</v>
      </c>
      <c r="AC77" s="364">
        <f t="shared" ref="AC77:AC140" si="13">V77*$AC$9</f>
        <v>10.625999999999999</v>
      </c>
    </row>
    <row r="78" spans="1:45" ht="27.6">
      <c r="A78" s="132" t="s">
        <v>299</v>
      </c>
      <c r="B78" s="142" t="s">
        <v>300</v>
      </c>
      <c r="C78" s="107"/>
      <c r="D78" s="107"/>
      <c r="E78" s="48" t="s">
        <v>301</v>
      </c>
      <c r="F78" s="48"/>
      <c r="G78" s="48" t="s">
        <v>301</v>
      </c>
      <c r="H78" s="48"/>
      <c r="I78" s="48"/>
      <c r="J78" s="48" t="s">
        <v>301</v>
      </c>
      <c r="K78" s="48"/>
      <c r="L78" s="48"/>
      <c r="M78" s="48" t="s">
        <v>301</v>
      </c>
      <c r="N78" s="48"/>
      <c r="O78" s="48"/>
      <c r="P78" s="48" t="s">
        <v>302</v>
      </c>
      <c r="Q78" s="48"/>
      <c r="R78" s="48"/>
      <c r="S78" s="30"/>
      <c r="T78" s="30"/>
      <c r="U78" s="30"/>
      <c r="V78" s="228">
        <v>52</v>
      </c>
      <c r="W78" s="366">
        <f t="shared" si="7"/>
        <v>19.577999999999999</v>
      </c>
      <c r="X78" s="366">
        <f t="shared" si="8"/>
        <v>19.577999999999999</v>
      </c>
      <c r="Y78" s="366">
        <f t="shared" si="9"/>
        <v>23.504000000000001</v>
      </c>
      <c r="Z78" s="366">
        <f t="shared" si="10"/>
        <v>19.707999999999998</v>
      </c>
      <c r="AA78" s="366">
        <f t="shared" si="11"/>
        <v>25.948</v>
      </c>
      <c r="AB78" s="366">
        <f t="shared" si="12"/>
        <v>22.36</v>
      </c>
      <c r="AC78" s="366">
        <f t="shared" si="13"/>
        <v>25.116</v>
      </c>
    </row>
    <row r="79" spans="1:45">
      <c r="A79" s="235"/>
      <c r="B79" s="140"/>
      <c r="C79" s="134"/>
      <c r="D79" s="134"/>
      <c r="E79" s="45"/>
      <c r="F79" s="45"/>
      <c r="G79" s="45"/>
      <c r="H79" s="45"/>
      <c r="I79" s="45"/>
      <c r="J79" s="45"/>
      <c r="K79" s="45"/>
      <c r="L79" s="45"/>
      <c r="M79" s="45"/>
      <c r="N79" s="45"/>
      <c r="O79" s="45"/>
      <c r="P79" s="45"/>
      <c r="Q79" s="45"/>
      <c r="R79" s="45"/>
      <c r="S79" s="45"/>
      <c r="T79" s="45"/>
      <c r="U79" s="45"/>
      <c r="V79" s="181"/>
      <c r="W79" s="181">
        <f t="shared" si="7"/>
        <v>0</v>
      </c>
      <c r="X79" s="181">
        <f t="shared" si="8"/>
        <v>0</v>
      </c>
      <c r="Y79" s="181">
        <f t="shared" si="9"/>
        <v>0</v>
      </c>
      <c r="Z79" s="181">
        <f t="shared" si="10"/>
        <v>0</v>
      </c>
      <c r="AA79" s="181">
        <f t="shared" si="11"/>
        <v>0</v>
      </c>
      <c r="AB79" s="181">
        <f t="shared" si="12"/>
        <v>0</v>
      </c>
      <c r="AC79" s="181">
        <f t="shared" si="13"/>
        <v>0</v>
      </c>
    </row>
    <row r="80" spans="1:45" s="237" customFormat="1">
      <c r="A80" s="85" t="s">
        <v>303</v>
      </c>
      <c r="B80" s="85"/>
      <c r="C80" s="85"/>
      <c r="D80" s="85"/>
      <c r="E80" s="85"/>
      <c r="F80" s="85"/>
      <c r="G80" s="85"/>
      <c r="H80" s="85"/>
      <c r="I80" s="85"/>
      <c r="J80" s="85"/>
      <c r="K80" s="85"/>
      <c r="L80" s="85"/>
      <c r="M80" s="85"/>
      <c r="N80" s="85"/>
      <c r="O80" s="85"/>
      <c r="P80" s="85"/>
      <c r="Q80" s="85"/>
      <c r="R80" s="85"/>
      <c r="S80" s="85"/>
      <c r="T80" s="85"/>
      <c r="U80" s="85"/>
      <c r="V80" s="184"/>
      <c r="W80" s="184"/>
      <c r="X80" s="184"/>
      <c r="Y80" s="184"/>
      <c r="Z80" s="184"/>
      <c r="AA80" s="184"/>
      <c r="AB80" s="184"/>
      <c r="AC80" s="184"/>
      <c r="AD80" s="169"/>
      <c r="AE80" s="169"/>
      <c r="AF80" s="169"/>
      <c r="AG80" s="169"/>
      <c r="AH80" s="169"/>
      <c r="AI80" s="169"/>
      <c r="AJ80" s="169"/>
      <c r="AK80" s="169"/>
      <c r="AL80" s="169"/>
      <c r="AM80" s="169"/>
      <c r="AN80" s="169"/>
      <c r="AO80" s="169"/>
      <c r="AP80" s="169"/>
      <c r="AQ80" s="169"/>
      <c r="AR80" s="169"/>
      <c r="AS80" s="169"/>
    </row>
    <row r="81" spans="1:45" s="10" customFormat="1" ht="82.8">
      <c r="A81" s="100" t="s">
        <v>141</v>
      </c>
      <c r="B81" s="100" t="s">
        <v>142</v>
      </c>
      <c r="C81" s="100" t="s">
        <v>143</v>
      </c>
      <c r="D81" s="100" t="s">
        <v>144</v>
      </c>
      <c r="E81" s="100"/>
      <c r="F81" s="100"/>
      <c r="G81" s="100"/>
      <c r="H81" s="100"/>
      <c r="I81" s="100"/>
      <c r="J81" s="100"/>
      <c r="K81" s="100"/>
      <c r="L81" s="100"/>
      <c r="M81" s="100"/>
      <c r="N81" s="100"/>
      <c r="O81" s="100"/>
      <c r="P81" s="100"/>
      <c r="Q81" s="100"/>
      <c r="R81" s="100"/>
      <c r="S81" s="100"/>
      <c r="T81" s="100"/>
      <c r="U81" s="100"/>
      <c r="V81" s="73" t="s">
        <v>145</v>
      </c>
      <c r="W81" s="367"/>
      <c r="X81" s="367"/>
      <c r="Y81" s="367"/>
      <c r="Z81" s="367"/>
      <c r="AA81" s="367"/>
      <c r="AB81" s="367"/>
      <c r="AC81" s="367"/>
      <c r="AD81" s="9"/>
      <c r="AE81" s="9"/>
      <c r="AF81" s="9"/>
      <c r="AG81" s="9"/>
      <c r="AH81" s="9"/>
      <c r="AI81" s="9"/>
      <c r="AJ81" s="9"/>
      <c r="AK81" s="9"/>
      <c r="AL81" s="9"/>
      <c r="AM81" s="9"/>
      <c r="AN81" s="9"/>
      <c r="AO81" s="9"/>
      <c r="AP81" s="9"/>
      <c r="AQ81" s="9"/>
      <c r="AR81" s="9"/>
      <c r="AS81" s="9"/>
    </row>
    <row r="82" spans="1:45">
      <c r="A82" s="235"/>
      <c r="B82" s="140"/>
      <c r="C82" s="134"/>
      <c r="D82" s="134"/>
      <c r="E82" s="45"/>
      <c r="F82" s="45"/>
      <c r="G82" s="45"/>
      <c r="H82" s="45"/>
      <c r="I82" s="45"/>
      <c r="J82" s="45"/>
      <c r="K82" s="45"/>
      <c r="L82" s="45"/>
      <c r="M82" s="45"/>
      <c r="N82" s="45"/>
      <c r="O82" s="45"/>
      <c r="P82" s="45"/>
      <c r="Q82" s="45"/>
      <c r="R82" s="45"/>
      <c r="S82" s="45"/>
      <c r="T82" s="45"/>
      <c r="U82" s="45"/>
      <c r="V82" s="181"/>
      <c r="W82" s="181"/>
      <c r="X82" s="181"/>
      <c r="Y82" s="181"/>
      <c r="Z82" s="181"/>
      <c r="AA82" s="181"/>
      <c r="AB82" s="181"/>
      <c r="AC82" s="181"/>
    </row>
    <row r="83" spans="1:45" ht="151.80000000000001">
      <c r="A83" s="142" t="s">
        <v>1995</v>
      </c>
      <c r="B83" s="52" t="s">
        <v>1711</v>
      </c>
      <c r="C83" s="150"/>
      <c r="D83" s="150"/>
      <c r="E83" s="104"/>
      <c r="F83" s="104"/>
      <c r="G83" s="104"/>
      <c r="H83" s="104"/>
      <c r="I83" s="104"/>
      <c r="J83" s="104"/>
      <c r="K83" s="104"/>
      <c r="L83" s="104"/>
      <c r="M83" s="104"/>
      <c r="N83" s="104"/>
      <c r="O83" s="104"/>
      <c r="P83" s="104"/>
      <c r="Q83" s="104"/>
      <c r="R83" s="104"/>
      <c r="S83" s="104"/>
      <c r="T83" s="104"/>
      <c r="U83" s="104"/>
      <c r="V83" s="228">
        <v>466</v>
      </c>
      <c r="W83" s="366">
        <f t="shared" si="7"/>
        <v>175.44900000000001</v>
      </c>
      <c r="X83" s="366">
        <f t="shared" si="8"/>
        <v>175.44900000000001</v>
      </c>
      <c r="Y83" s="366">
        <f t="shared" si="9"/>
        <v>210.63200000000001</v>
      </c>
      <c r="Z83" s="366">
        <f t="shared" si="10"/>
        <v>176.614</v>
      </c>
      <c r="AA83" s="366">
        <f t="shared" si="11"/>
        <v>232.53399999999999</v>
      </c>
      <c r="AB83" s="366">
        <f t="shared" si="12"/>
        <v>200.38</v>
      </c>
      <c r="AC83" s="366">
        <f t="shared" si="13"/>
        <v>225.078</v>
      </c>
      <c r="AD83" s="171"/>
      <c r="AE83" s="171"/>
      <c r="AF83" s="171"/>
      <c r="AG83" s="171"/>
      <c r="AH83" s="171"/>
      <c r="AI83" s="171"/>
      <c r="AJ83" s="171"/>
      <c r="AK83" s="171"/>
      <c r="AL83" s="171"/>
      <c r="AM83" s="171"/>
      <c r="AN83" s="171"/>
      <c r="AO83" s="171"/>
      <c r="AP83" s="171"/>
      <c r="AQ83" s="171"/>
      <c r="AR83" s="171"/>
      <c r="AS83" s="171"/>
    </row>
    <row r="84" spans="1:45">
      <c r="A84" s="235"/>
      <c r="B84" s="140"/>
      <c r="C84" s="134"/>
      <c r="D84" s="134"/>
      <c r="E84" s="45"/>
      <c r="F84" s="45"/>
      <c r="G84" s="45"/>
      <c r="H84" s="45"/>
      <c r="I84" s="45"/>
      <c r="J84" s="45"/>
      <c r="K84" s="45"/>
      <c r="L84" s="45"/>
      <c r="M84" s="45"/>
      <c r="N84" s="45"/>
      <c r="O84" s="45"/>
      <c r="P84" s="45"/>
      <c r="Q84" s="45"/>
      <c r="R84" s="45"/>
      <c r="S84" s="45"/>
      <c r="T84" s="45"/>
      <c r="U84" s="45"/>
      <c r="V84" s="122"/>
      <c r="W84" s="364"/>
      <c r="X84" s="364"/>
      <c r="Y84" s="364"/>
      <c r="Z84" s="364"/>
      <c r="AA84" s="364"/>
      <c r="AB84" s="364"/>
      <c r="AC84" s="364"/>
    </row>
    <row r="85" spans="1:45" ht="151.80000000000001">
      <c r="A85" s="142" t="s">
        <v>1892</v>
      </c>
      <c r="B85" s="52" t="s">
        <v>1712</v>
      </c>
      <c r="C85" s="150"/>
      <c r="D85" s="150"/>
      <c r="E85" s="104"/>
      <c r="F85" s="104"/>
      <c r="G85" s="104"/>
      <c r="H85" s="104"/>
      <c r="I85" s="104"/>
      <c r="J85" s="104"/>
      <c r="K85" s="104"/>
      <c r="L85" s="104"/>
      <c r="M85" s="104"/>
      <c r="N85" s="104"/>
      <c r="O85" s="104"/>
      <c r="P85" s="104"/>
      <c r="Q85" s="104"/>
      <c r="R85" s="104"/>
      <c r="S85" s="104"/>
      <c r="T85" s="104"/>
      <c r="U85" s="104"/>
      <c r="V85" s="228">
        <v>463</v>
      </c>
      <c r="W85" s="366">
        <f t="shared" si="7"/>
        <v>174.31950000000001</v>
      </c>
      <c r="X85" s="366">
        <f t="shared" si="8"/>
        <v>174.31950000000001</v>
      </c>
      <c r="Y85" s="366">
        <f t="shared" si="9"/>
        <v>209.27600000000001</v>
      </c>
      <c r="Z85" s="366">
        <f t="shared" si="10"/>
        <v>175.477</v>
      </c>
      <c r="AA85" s="366">
        <f t="shared" si="11"/>
        <v>231.03700000000001</v>
      </c>
      <c r="AB85" s="366">
        <f t="shared" si="12"/>
        <v>199.09</v>
      </c>
      <c r="AC85" s="366">
        <f t="shared" si="13"/>
        <v>223.62899999999999</v>
      </c>
      <c r="AD85" s="171"/>
      <c r="AE85" s="171"/>
      <c r="AF85" s="171"/>
      <c r="AG85" s="171"/>
      <c r="AH85" s="171"/>
      <c r="AI85" s="171"/>
      <c r="AJ85" s="171"/>
      <c r="AK85" s="171"/>
      <c r="AL85" s="171"/>
      <c r="AM85" s="171"/>
      <c r="AN85" s="171"/>
      <c r="AO85" s="171"/>
      <c r="AP85" s="171"/>
      <c r="AQ85" s="171"/>
      <c r="AR85" s="171"/>
      <c r="AS85" s="171"/>
    </row>
    <row r="86" spans="1:45">
      <c r="A86" s="71"/>
      <c r="B86" s="52"/>
      <c r="C86" s="150"/>
      <c r="D86" s="150"/>
      <c r="E86" s="104"/>
      <c r="F86" s="104"/>
      <c r="G86" s="104"/>
      <c r="H86" s="104"/>
      <c r="I86" s="104"/>
      <c r="J86" s="104"/>
      <c r="K86" s="104"/>
      <c r="L86" s="104"/>
      <c r="M86" s="104"/>
      <c r="N86" s="104"/>
      <c r="O86" s="104"/>
      <c r="P86" s="104"/>
      <c r="Q86" s="104"/>
      <c r="R86" s="104"/>
      <c r="S86" s="104"/>
      <c r="T86" s="104"/>
      <c r="U86" s="104"/>
      <c r="V86" s="181"/>
      <c r="W86" s="181"/>
      <c r="X86" s="181"/>
      <c r="Y86" s="181"/>
      <c r="Z86" s="181"/>
      <c r="AA86" s="181"/>
      <c r="AB86" s="181"/>
      <c r="AC86" s="181"/>
    </row>
    <row r="87" spans="1:45" ht="151.80000000000001">
      <c r="A87" s="142" t="s">
        <v>1894</v>
      </c>
      <c r="B87" s="52" t="s">
        <v>1713</v>
      </c>
      <c r="C87" s="150"/>
      <c r="D87" s="150"/>
      <c r="E87" s="104"/>
      <c r="F87" s="104"/>
      <c r="G87" s="104"/>
      <c r="H87" s="104"/>
      <c r="I87" s="104"/>
      <c r="J87" s="104"/>
      <c r="K87" s="104"/>
      <c r="L87" s="104"/>
      <c r="M87" s="104"/>
      <c r="N87" s="104"/>
      <c r="O87" s="104"/>
      <c r="P87" s="104"/>
      <c r="Q87" s="104"/>
      <c r="R87" s="104"/>
      <c r="S87" s="104"/>
      <c r="T87" s="104"/>
      <c r="U87" s="104"/>
      <c r="V87" s="228">
        <v>445</v>
      </c>
      <c r="W87" s="366">
        <f t="shared" si="7"/>
        <v>167.54249999999999</v>
      </c>
      <c r="X87" s="366">
        <f t="shared" si="8"/>
        <v>167.54249999999999</v>
      </c>
      <c r="Y87" s="366">
        <f t="shared" si="9"/>
        <v>201.14000000000001</v>
      </c>
      <c r="Z87" s="366">
        <f t="shared" si="10"/>
        <v>168.655</v>
      </c>
      <c r="AA87" s="366">
        <f t="shared" si="11"/>
        <v>222.05500000000001</v>
      </c>
      <c r="AB87" s="366">
        <f t="shared" si="12"/>
        <v>191.35</v>
      </c>
      <c r="AC87" s="366">
        <f t="shared" si="13"/>
        <v>214.935</v>
      </c>
      <c r="AD87" s="171"/>
      <c r="AE87" s="171"/>
      <c r="AF87" s="171"/>
      <c r="AG87" s="171"/>
      <c r="AH87" s="171"/>
      <c r="AI87" s="171"/>
      <c r="AJ87" s="171"/>
      <c r="AK87" s="171"/>
      <c r="AL87" s="171"/>
      <c r="AM87" s="171"/>
      <c r="AN87" s="171"/>
      <c r="AO87" s="171"/>
      <c r="AP87" s="171"/>
      <c r="AQ87" s="171"/>
      <c r="AR87" s="171"/>
      <c r="AS87" s="171"/>
    </row>
    <row r="88" spans="1:45">
      <c r="A88" s="69"/>
      <c r="B88" s="52"/>
      <c r="C88" s="150"/>
      <c r="D88" s="150"/>
      <c r="E88" s="104"/>
      <c r="F88" s="104"/>
      <c r="G88" s="104"/>
      <c r="H88" s="104"/>
      <c r="I88" s="104"/>
      <c r="J88" s="104"/>
      <c r="K88" s="104"/>
      <c r="L88" s="104"/>
      <c r="M88" s="104"/>
      <c r="N88" s="104"/>
      <c r="O88" s="104"/>
      <c r="P88" s="104"/>
      <c r="Q88" s="104"/>
      <c r="R88" s="104"/>
      <c r="S88" s="104"/>
      <c r="T88" s="104"/>
      <c r="U88" s="104"/>
      <c r="V88" s="122"/>
      <c r="W88" s="364"/>
      <c r="X88" s="364"/>
      <c r="Y88" s="364"/>
      <c r="Z88" s="364"/>
      <c r="AA88" s="364"/>
      <c r="AB88" s="364"/>
      <c r="AC88" s="364"/>
    </row>
    <row r="89" spans="1:45" ht="157.94999999999999" customHeight="1">
      <c r="A89" s="142" t="s">
        <v>1893</v>
      </c>
      <c r="B89" s="52" t="s">
        <v>1714</v>
      </c>
      <c r="C89" s="150"/>
      <c r="D89" s="150"/>
      <c r="E89" s="104"/>
      <c r="F89" s="104"/>
      <c r="G89" s="104"/>
      <c r="H89" s="104"/>
      <c r="I89" s="104"/>
      <c r="J89" s="104"/>
      <c r="K89" s="104"/>
      <c r="L89" s="104"/>
      <c r="M89" s="104"/>
      <c r="N89" s="104"/>
      <c r="O89" s="104"/>
      <c r="P89" s="104"/>
      <c r="Q89" s="104"/>
      <c r="R89" s="104"/>
      <c r="S89" s="104"/>
      <c r="T89" s="104"/>
      <c r="U89" s="104"/>
      <c r="V89" s="228">
        <v>465</v>
      </c>
      <c r="W89" s="366">
        <f t="shared" si="7"/>
        <v>175.07249999999999</v>
      </c>
      <c r="X89" s="366">
        <f t="shared" si="8"/>
        <v>175.07249999999999</v>
      </c>
      <c r="Y89" s="366">
        <f t="shared" si="9"/>
        <v>210.18</v>
      </c>
      <c r="Z89" s="366">
        <f t="shared" si="10"/>
        <v>176.23500000000001</v>
      </c>
      <c r="AA89" s="366">
        <f t="shared" si="11"/>
        <v>232.035</v>
      </c>
      <c r="AB89" s="366">
        <f t="shared" si="12"/>
        <v>199.95</v>
      </c>
      <c r="AC89" s="366">
        <f t="shared" si="13"/>
        <v>224.595</v>
      </c>
      <c r="AD89" s="171"/>
      <c r="AE89" s="171"/>
      <c r="AF89" s="171"/>
      <c r="AG89" s="171"/>
      <c r="AH89" s="171"/>
      <c r="AI89" s="171"/>
      <c r="AJ89" s="171"/>
      <c r="AK89" s="171"/>
      <c r="AL89" s="171"/>
      <c r="AM89" s="171"/>
      <c r="AN89" s="171"/>
      <c r="AO89" s="171"/>
      <c r="AP89" s="171"/>
      <c r="AQ89" s="171"/>
      <c r="AR89" s="171"/>
      <c r="AS89" s="171"/>
    </row>
    <row r="90" spans="1:45">
      <c r="A90" s="71"/>
      <c r="B90" s="52"/>
      <c r="C90" s="150"/>
      <c r="D90" s="150"/>
      <c r="E90" s="104"/>
      <c r="F90" s="104"/>
      <c r="G90" s="104"/>
      <c r="H90" s="104"/>
      <c r="I90" s="104"/>
      <c r="J90" s="104"/>
      <c r="K90" s="104"/>
      <c r="L90" s="104"/>
      <c r="M90" s="104"/>
      <c r="N90" s="104"/>
      <c r="O90" s="104"/>
      <c r="P90" s="104"/>
      <c r="Q90" s="104"/>
      <c r="R90" s="104"/>
      <c r="S90" s="104"/>
      <c r="T90" s="104"/>
      <c r="U90" s="104"/>
      <c r="V90" s="122"/>
      <c r="W90" s="364"/>
      <c r="X90" s="364"/>
      <c r="Y90" s="364"/>
      <c r="Z90" s="364"/>
      <c r="AA90" s="364"/>
      <c r="AB90" s="364"/>
      <c r="AC90" s="364"/>
    </row>
    <row r="91" spans="1:45" ht="160.94999999999999" customHeight="1">
      <c r="A91" s="142" t="s">
        <v>1895</v>
      </c>
      <c r="B91" s="52" t="s">
        <v>1715</v>
      </c>
      <c r="C91" s="150"/>
      <c r="D91" s="150"/>
      <c r="E91" s="104"/>
      <c r="F91" s="104"/>
      <c r="G91" s="104"/>
      <c r="H91" s="104"/>
      <c r="I91" s="104"/>
      <c r="J91" s="104"/>
      <c r="K91" s="104"/>
      <c r="L91" s="104"/>
      <c r="M91" s="104"/>
      <c r="N91" s="104"/>
      <c r="O91" s="104"/>
      <c r="P91" s="104"/>
      <c r="Q91" s="104"/>
      <c r="R91" s="104"/>
      <c r="S91" s="104"/>
      <c r="T91" s="104"/>
      <c r="U91" s="104"/>
      <c r="V91" s="228">
        <v>447</v>
      </c>
      <c r="W91" s="366">
        <f t="shared" si="7"/>
        <v>168.2955</v>
      </c>
      <c r="X91" s="366">
        <f t="shared" si="8"/>
        <v>168.2955</v>
      </c>
      <c r="Y91" s="366">
        <f t="shared" si="9"/>
        <v>202.04400000000001</v>
      </c>
      <c r="Z91" s="366">
        <f t="shared" si="10"/>
        <v>169.41300000000001</v>
      </c>
      <c r="AA91" s="366">
        <f t="shared" si="11"/>
        <v>223.053</v>
      </c>
      <c r="AB91" s="366">
        <f t="shared" si="12"/>
        <v>192.21</v>
      </c>
      <c r="AC91" s="366">
        <f t="shared" si="13"/>
        <v>215.90099999999998</v>
      </c>
      <c r="AD91" s="171"/>
      <c r="AE91" s="171"/>
      <c r="AF91" s="171"/>
      <c r="AG91" s="171"/>
      <c r="AH91" s="171"/>
      <c r="AI91" s="171"/>
      <c r="AJ91" s="171"/>
      <c r="AK91" s="171"/>
      <c r="AL91" s="171"/>
      <c r="AM91" s="171"/>
      <c r="AN91" s="171"/>
      <c r="AO91" s="171"/>
      <c r="AP91" s="171"/>
      <c r="AQ91" s="171"/>
      <c r="AR91" s="171"/>
      <c r="AS91" s="171"/>
    </row>
    <row r="92" spans="1:45">
      <c r="A92" s="71"/>
      <c r="B92" s="52"/>
      <c r="C92" s="150"/>
      <c r="D92" s="150"/>
      <c r="E92" s="104"/>
      <c r="F92" s="104"/>
      <c r="G92" s="104"/>
      <c r="H92" s="104"/>
      <c r="I92" s="104"/>
      <c r="J92" s="104"/>
      <c r="K92" s="104"/>
      <c r="L92" s="104"/>
      <c r="M92" s="104"/>
      <c r="N92" s="104"/>
      <c r="O92" s="104"/>
      <c r="P92" s="104"/>
      <c r="Q92" s="104"/>
      <c r="R92" s="104"/>
      <c r="S92" s="104"/>
      <c r="T92" s="104"/>
      <c r="U92" s="104"/>
      <c r="V92" s="122"/>
      <c r="W92" s="364"/>
      <c r="X92" s="364"/>
      <c r="Y92" s="364"/>
      <c r="Z92" s="364"/>
      <c r="AA92" s="364"/>
      <c r="AB92" s="364"/>
      <c r="AC92" s="364"/>
    </row>
    <row r="93" spans="1:45" s="10" customFormat="1" ht="27.6">
      <c r="A93" s="19" t="s">
        <v>304</v>
      </c>
      <c r="B93" s="100" t="s">
        <v>305</v>
      </c>
      <c r="C93" s="100" t="s">
        <v>143</v>
      </c>
      <c r="D93" s="100" t="s">
        <v>144</v>
      </c>
      <c r="E93" s="100" t="s">
        <v>306</v>
      </c>
      <c r="F93" s="100" t="s">
        <v>1716</v>
      </c>
      <c r="G93" s="100" t="s">
        <v>307</v>
      </c>
      <c r="H93" s="100" t="s">
        <v>1719</v>
      </c>
      <c r="I93" s="100"/>
      <c r="J93" s="100" t="s">
        <v>308</v>
      </c>
      <c r="K93" s="100" t="s">
        <v>1723</v>
      </c>
      <c r="L93" s="100"/>
      <c r="M93" s="100" t="s">
        <v>309</v>
      </c>
      <c r="N93" s="100" t="s">
        <v>1726</v>
      </c>
      <c r="O93" s="100"/>
      <c r="P93" s="100" t="s">
        <v>310</v>
      </c>
      <c r="Q93" s="100" t="s">
        <v>1730</v>
      </c>
      <c r="R93" s="100"/>
      <c r="S93" s="100"/>
      <c r="T93" s="100"/>
      <c r="U93" s="100"/>
      <c r="V93" s="11"/>
      <c r="W93" s="184"/>
      <c r="X93" s="184"/>
      <c r="Y93" s="184"/>
      <c r="Z93" s="184"/>
      <c r="AA93" s="184"/>
      <c r="AB93" s="184"/>
      <c r="AC93" s="184"/>
      <c r="AD93" s="9"/>
      <c r="AE93" s="9"/>
      <c r="AF93" s="9"/>
      <c r="AG93" s="9"/>
      <c r="AH93" s="9"/>
      <c r="AI93" s="9"/>
      <c r="AJ93" s="9"/>
      <c r="AK93" s="9"/>
      <c r="AL93" s="9"/>
      <c r="AM93" s="9"/>
      <c r="AN93" s="9"/>
      <c r="AO93" s="9"/>
      <c r="AP93" s="9"/>
      <c r="AQ93" s="9"/>
      <c r="AR93" s="9"/>
      <c r="AS93" s="9"/>
    </row>
    <row r="94" spans="1:45">
      <c r="A94" s="98" t="s">
        <v>162</v>
      </c>
      <c r="B94" s="108" t="s">
        <v>311</v>
      </c>
      <c r="C94" s="108"/>
      <c r="D94" s="108"/>
      <c r="E94" s="223"/>
      <c r="F94" s="223"/>
      <c r="G94" s="223"/>
      <c r="H94" s="223"/>
      <c r="I94" s="223"/>
      <c r="J94" s="223"/>
      <c r="K94" s="223"/>
      <c r="L94" s="223"/>
      <c r="M94" s="223"/>
      <c r="N94" s="223"/>
      <c r="O94" s="223"/>
      <c r="P94" s="223"/>
      <c r="Q94" s="223"/>
      <c r="R94" s="223"/>
      <c r="S94" s="226"/>
      <c r="T94" s="226"/>
      <c r="U94" s="226"/>
      <c r="V94" s="182"/>
      <c r="W94" s="182"/>
      <c r="X94" s="182"/>
      <c r="Y94" s="182"/>
      <c r="Z94" s="182"/>
      <c r="AA94" s="182"/>
      <c r="AB94" s="182"/>
      <c r="AC94" s="182"/>
    </row>
    <row r="95" spans="1:45" s="177" customFormat="1" ht="41.4">
      <c r="A95" s="95" t="s">
        <v>1942</v>
      </c>
      <c r="B95" s="129" t="s">
        <v>1851</v>
      </c>
      <c r="C95" s="351"/>
      <c r="D95" s="191" t="s">
        <v>1639</v>
      </c>
      <c r="E95" s="104"/>
      <c r="F95" s="306" t="s">
        <v>1836</v>
      </c>
      <c r="G95" s="104"/>
      <c r="H95" s="306" t="s">
        <v>1843</v>
      </c>
      <c r="I95" s="104"/>
      <c r="J95" s="104"/>
      <c r="K95" s="104"/>
      <c r="L95" s="104"/>
      <c r="M95" s="138"/>
      <c r="N95" s="306" t="s">
        <v>1850</v>
      </c>
      <c r="O95" s="48"/>
      <c r="P95" s="104"/>
      <c r="Q95" s="104"/>
      <c r="R95" s="104"/>
      <c r="S95" s="104"/>
      <c r="T95" s="104"/>
      <c r="U95" s="104"/>
      <c r="V95" s="23">
        <v>0</v>
      </c>
      <c r="W95" s="368">
        <f t="shared" si="7"/>
        <v>0</v>
      </c>
      <c r="X95" s="368">
        <f t="shared" si="8"/>
        <v>0</v>
      </c>
      <c r="Y95" s="368">
        <f t="shared" si="9"/>
        <v>0</v>
      </c>
      <c r="Z95" s="368">
        <f t="shared" si="10"/>
        <v>0</v>
      </c>
      <c r="AA95" s="368">
        <f t="shared" si="11"/>
        <v>0</v>
      </c>
      <c r="AB95" s="368">
        <f t="shared" si="12"/>
        <v>0</v>
      </c>
      <c r="AC95" s="368">
        <f t="shared" si="13"/>
        <v>0</v>
      </c>
    </row>
    <row r="96" spans="1:45" s="177" customFormat="1" ht="41.4">
      <c r="A96" s="95" t="s">
        <v>1640</v>
      </c>
      <c r="B96" s="76" t="s">
        <v>1853</v>
      </c>
      <c r="C96" s="344" t="s">
        <v>312</v>
      </c>
      <c r="D96" s="191" t="s">
        <v>1639</v>
      </c>
      <c r="E96" s="104"/>
      <c r="F96" s="306" t="s">
        <v>1835</v>
      </c>
      <c r="G96" s="104"/>
      <c r="H96" s="306" t="s">
        <v>1844</v>
      </c>
      <c r="I96" s="104"/>
      <c r="J96" s="104"/>
      <c r="K96" s="104"/>
      <c r="L96" s="104"/>
      <c r="M96" s="138"/>
      <c r="N96" s="306" t="s">
        <v>1852</v>
      </c>
      <c r="O96" s="48"/>
      <c r="P96" s="104"/>
      <c r="Q96" s="104"/>
      <c r="R96" s="104"/>
      <c r="S96" s="104"/>
      <c r="T96" s="104"/>
      <c r="U96" s="104"/>
      <c r="V96" s="23">
        <v>156</v>
      </c>
      <c r="W96" s="368">
        <f t="shared" si="7"/>
        <v>58.734000000000002</v>
      </c>
      <c r="X96" s="368">
        <f t="shared" si="8"/>
        <v>58.734000000000002</v>
      </c>
      <c r="Y96" s="368">
        <f t="shared" si="9"/>
        <v>70.512</v>
      </c>
      <c r="Z96" s="368">
        <f t="shared" si="10"/>
        <v>59.124000000000002</v>
      </c>
      <c r="AA96" s="368">
        <f t="shared" si="11"/>
        <v>77.843999999999994</v>
      </c>
      <c r="AB96" s="368">
        <f t="shared" si="12"/>
        <v>67.08</v>
      </c>
      <c r="AC96" s="368">
        <f t="shared" si="13"/>
        <v>75.347999999999999</v>
      </c>
    </row>
    <row r="97" spans="1:45" s="177" customFormat="1" ht="41.4">
      <c r="A97" s="95" t="s">
        <v>1943</v>
      </c>
      <c r="B97" s="129" t="s">
        <v>1853</v>
      </c>
      <c r="C97" s="344" t="s">
        <v>312</v>
      </c>
      <c r="D97" s="191" t="s">
        <v>1639</v>
      </c>
      <c r="E97" s="104"/>
      <c r="F97" s="306" t="s">
        <v>1837</v>
      </c>
      <c r="G97" s="104"/>
      <c r="H97" s="306" t="s">
        <v>1845</v>
      </c>
      <c r="I97" s="104"/>
      <c r="J97" s="104"/>
      <c r="K97" s="104"/>
      <c r="L97" s="104"/>
      <c r="M97" s="138"/>
      <c r="N97" s="306" t="s">
        <v>1854</v>
      </c>
      <c r="O97" s="48"/>
      <c r="P97" s="104"/>
      <c r="Q97" s="104"/>
      <c r="R97" s="104"/>
      <c r="S97" s="104"/>
      <c r="T97" s="104"/>
      <c r="U97" s="104"/>
      <c r="V97" s="23">
        <v>156</v>
      </c>
      <c r="W97" s="368">
        <f t="shared" si="7"/>
        <v>58.734000000000002</v>
      </c>
      <c r="X97" s="368">
        <f t="shared" si="8"/>
        <v>58.734000000000002</v>
      </c>
      <c r="Y97" s="368">
        <f t="shared" si="9"/>
        <v>70.512</v>
      </c>
      <c r="Z97" s="368">
        <f t="shared" si="10"/>
        <v>59.124000000000002</v>
      </c>
      <c r="AA97" s="368">
        <f t="shared" si="11"/>
        <v>77.843999999999994</v>
      </c>
      <c r="AB97" s="368">
        <f t="shared" si="12"/>
        <v>67.08</v>
      </c>
      <c r="AC97" s="368">
        <f t="shared" si="13"/>
        <v>75.347999999999999</v>
      </c>
    </row>
    <row r="98" spans="1:45" s="177" customFormat="1" ht="41.4">
      <c r="A98" s="95" t="s">
        <v>1839</v>
      </c>
      <c r="B98" s="129" t="s">
        <v>1856</v>
      </c>
      <c r="C98" s="351"/>
      <c r="D98" s="191" t="s">
        <v>1639</v>
      </c>
      <c r="E98" s="104"/>
      <c r="F98" s="306" t="s">
        <v>1838</v>
      </c>
      <c r="G98" s="104"/>
      <c r="H98" s="306" t="s">
        <v>1846</v>
      </c>
      <c r="I98" s="104"/>
      <c r="J98" s="104"/>
      <c r="K98" s="104"/>
      <c r="L98" s="104"/>
      <c r="M98" s="138"/>
      <c r="N98" s="306" t="s">
        <v>1855</v>
      </c>
      <c r="O98" s="48"/>
      <c r="P98" s="104"/>
      <c r="Q98" s="104"/>
      <c r="R98" s="104"/>
      <c r="S98" s="104"/>
      <c r="T98" s="104"/>
      <c r="U98" s="104"/>
      <c r="V98" s="23">
        <v>150</v>
      </c>
      <c r="W98" s="368">
        <f t="shared" si="7"/>
        <v>56.475000000000001</v>
      </c>
      <c r="X98" s="368">
        <f t="shared" si="8"/>
        <v>56.475000000000001</v>
      </c>
      <c r="Y98" s="368">
        <f t="shared" si="9"/>
        <v>67.8</v>
      </c>
      <c r="Z98" s="368">
        <f t="shared" si="10"/>
        <v>56.85</v>
      </c>
      <c r="AA98" s="368">
        <f t="shared" si="11"/>
        <v>74.849999999999994</v>
      </c>
      <c r="AB98" s="368">
        <f t="shared" si="12"/>
        <v>64.5</v>
      </c>
      <c r="AC98" s="368">
        <f t="shared" si="13"/>
        <v>72.45</v>
      </c>
    </row>
    <row r="99" spans="1:45" s="177" customFormat="1" ht="41.4">
      <c r="A99" s="95" t="s">
        <v>1944</v>
      </c>
      <c r="B99" s="129" t="s">
        <v>1856</v>
      </c>
      <c r="C99" s="351"/>
      <c r="D99" s="191" t="s">
        <v>1639</v>
      </c>
      <c r="E99" s="104"/>
      <c r="F99" s="306" t="s">
        <v>1840</v>
      </c>
      <c r="G99" s="104"/>
      <c r="H99" s="306" t="s">
        <v>1847</v>
      </c>
      <c r="I99" s="104"/>
      <c r="J99" s="104"/>
      <c r="K99" s="104"/>
      <c r="L99" s="104"/>
      <c r="M99" s="138"/>
      <c r="N99" s="306" t="s">
        <v>1857</v>
      </c>
      <c r="O99" s="48"/>
      <c r="P99" s="104"/>
      <c r="Q99" s="104"/>
      <c r="R99" s="104"/>
      <c r="S99" s="104"/>
      <c r="T99" s="104"/>
      <c r="U99" s="104"/>
      <c r="V99" s="23">
        <v>150</v>
      </c>
      <c r="W99" s="368">
        <f t="shared" si="7"/>
        <v>56.475000000000001</v>
      </c>
      <c r="X99" s="368">
        <f t="shared" si="8"/>
        <v>56.475000000000001</v>
      </c>
      <c r="Y99" s="368">
        <f t="shared" si="9"/>
        <v>67.8</v>
      </c>
      <c r="Z99" s="368">
        <f t="shared" si="10"/>
        <v>56.85</v>
      </c>
      <c r="AA99" s="368">
        <f t="shared" si="11"/>
        <v>74.849999999999994</v>
      </c>
      <c r="AB99" s="368">
        <f t="shared" si="12"/>
        <v>64.5</v>
      </c>
      <c r="AC99" s="368">
        <f t="shared" si="13"/>
        <v>72.45</v>
      </c>
    </row>
    <row r="100" spans="1:45" s="177" customFormat="1" ht="41.4">
      <c r="A100" s="95" t="s">
        <v>1945</v>
      </c>
      <c r="B100" s="129" t="s">
        <v>1859</v>
      </c>
      <c r="C100" s="344" t="s">
        <v>312</v>
      </c>
      <c r="D100" s="191" t="s">
        <v>1639</v>
      </c>
      <c r="E100" s="104"/>
      <c r="F100" s="306" t="s">
        <v>1841</v>
      </c>
      <c r="G100" s="104"/>
      <c r="H100" s="306" t="s">
        <v>1848</v>
      </c>
      <c r="I100" s="104"/>
      <c r="J100" s="104"/>
      <c r="K100" s="104"/>
      <c r="L100" s="104"/>
      <c r="M100" s="138"/>
      <c r="N100" s="306" t="s">
        <v>1858</v>
      </c>
      <c r="O100" s="48"/>
      <c r="P100" s="104"/>
      <c r="Q100" s="104"/>
      <c r="R100" s="104"/>
      <c r="S100" s="104"/>
      <c r="T100" s="104"/>
      <c r="U100" s="104"/>
      <c r="V100" s="23">
        <v>150</v>
      </c>
      <c r="W100" s="368">
        <f t="shared" si="7"/>
        <v>56.475000000000001</v>
      </c>
      <c r="X100" s="368">
        <f t="shared" si="8"/>
        <v>56.475000000000001</v>
      </c>
      <c r="Y100" s="368">
        <f t="shared" si="9"/>
        <v>67.8</v>
      </c>
      <c r="Z100" s="368">
        <f t="shared" si="10"/>
        <v>56.85</v>
      </c>
      <c r="AA100" s="368">
        <f t="shared" si="11"/>
        <v>74.849999999999994</v>
      </c>
      <c r="AB100" s="368">
        <f t="shared" si="12"/>
        <v>64.5</v>
      </c>
      <c r="AC100" s="368">
        <f t="shared" si="13"/>
        <v>72.45</v>
      </c>
    </row>
    <row r="101" spans="1:45" s="177" customFormat="1" ht="41.4">
      <c r="A101" s="95" t="s">
        <v>1946</v>
      </c>
      <c r="B101" s="129" t="s">
        <v>1861</v>
      </c>
      <c r="C101" s="344" t="s">
        <v>312</v>
      </c>
      <c r="D101" s="191" t="s">
        <v>1639</v>
      </c>
      <c r="E101" s="104"/>
      <c r="F101" s="306" t="s">
        <v>1842</v>
      </c>
      <c r="G101" s="104"/>
      <c r="H101" s="306" t="s">
        <v>1849</v>
      </c>
      <c r="I101" s="104"/>
      <c r="J101" s="104"/>
      <c r="K101" s="104"/>
      <c r="L101" s="104"/>
      <c r="M101" s="138"/>
      <c r="N101" s="306" t="s">
        <v>1860</v>
      </c>
      <c r="O101" s="48"/>
      <c r="P101" s="104"/>
      <c r="Q101" s="104"/>
      <c r="R101" s="104"/>
      <c r="S101" s="104"/>
      <c r="T101" s="104"/>
      <c r="U101" s="104"/>
      <c r="V101" s="23">
        <v>150</v>
      </c>
      <c r="W101" s="368">
        <f t="shared" si="7"/>
        <v>56.475000000000001</v>
      </c>
      <c r="X101" s="368">
        <f t="shared" si="8"/>
        <v>56.475000000000001</v>
      </c>
      <c r="Y101" s="368">
        <f t="shared" si="9"/>
        <v>67.8</v>
      </c>
      <c r="Z101" s="368">
        <f t="shared" si="10"/>
        <v>56.85</v>
      </c>
      <c r="AA101" s="368">
        <f t="shared" si="11"/>
        <v>74.849999999999994</v>
      </c>
      <c r="AB101" s="368">
        <f t="shared" si="12"/>
        <v>64.5</v>
      </c>
      <c r="AC101" s="368">
        <f t="shared" si="13"/>
        <v>72.45</v>
      </c>
    </row>
    <row r="102" spans="1:45" s="177" customFormat="1">
      <c r="A102" s="95" t="s">
        <v>1947</v>
      </c>
      <c r="B102" s="129" t="s">
        <v>1862</v>
      </c>
      <c r="C102" s="344" t="s">
        <v>312</v>
      </c>
      <c r="D102" s="191" t="s">
        <v>1639</v>
      </c>
      <c r="E102" s="104"/>
      <c r="F102" s="306"/>
      <c r="G102" s="104"/>
      <c r="H102" s="306"/>
      <c r="I102" s="104"/>
      <c r="J102" s="104"/>
      <c r="K102" s="104"/>
      <c r="L102" s="104"/>
      <c r="M102" s="138"/>
      <c r="N102" s="306" t="s">
        <v>1863</v>
      </c>
      <c r="O102" s="48"/>
      <c r="P102" s="104"/>
      <c r="Q102" s="104"/>
      <c r="R102" s="104"/>
      <c r="S102" s="104"/>
      <c r="T102" s="104"/>
      <c r="U102" s="104"/>
      <c r="V102" s="23">
        <v>335</v>
      </c>
      <c r="W102" s="368">
        <f t="shared" si="7"/>
        <v>126.1275</v>
      </c>
      <c r="X102" s="368">
        <f t="shared" si="8"/>
        <v>126.1275</v>
      </c>
      <c r="Y102" s="368">
        <f t="shared" si="9"/>
        <v>151.42000000000002</v>
      </c>
      <c r="Z102" s="368">
        <f t="shared" si="10"/>
        <v>126.965</v>
      </c>
      <c r="AA102" s="368">
        <f t="shared" si="11"/>
        <v>167.16499999999999</v>
      </c>
      <c r="AB102" s="368">
        <f t="shared" si="12"/>
        <v>144.05000000000001</v>
      </c>
      <c r="AC102" s="368">
        <f t="shared" si="13"/>
        <v>161.80500000000001</v>
      </c>
    </row>
    <row r="103" spans="1:45" s="177" customFormat="1" ht="27.6">
      <c r="A103" s="306" t="s">
        <v>1948</v>
      </c>
      <c r="B103" s="76" t="s">
        <v>1871</v>
      </c>
      <c r="C103" s="40"/>
      <c r="D103" s="40"/>
      <c r="E103" s="48"/>
      <c r="F103" s="48"/>
      <c r="G103" s="48"/>
      <c r="H103" s="48"/>
      <c r="I103" s="48"/>
      <c r="J103" s="48"/>
      <c r="K103" s="306" t="s">
        <v>1864</v>
      </c>
      <c r="L103" s="48"/>
      <c r="M103" s="48"/>
      <c r="N103" s="48"/>
      <c r="O103" s="48"/>
      <c r="P103" s="48"/>
      <c r="Q103" s="306" t="s">
        <v>1872</v>
      </c>
      <c r="R103" s="48"/>
      <c r="S103" s="48"/>
      <c r="T103" s="48"/>
      <c r="U103" s="48"/>
      <c r="V103" s="23">
        <v>0</v>
      </c>
      <c r="W103" s="368">
        <f t="shared" si="7"/>
        <v>0</v>
      </c>
      <c r="X103" s="368">
        <f t="shared" si="8"/>
        <v>0</v>
      </c>
      <c r="Y103" s="368">
        <f t="shared" si="9"/>
        <v>0</v>
      </c>
      <c r="Z103" s="368">
        <f t="shared" si="10"/>
        <v>0</v>
      </c>
      <c r="AA103" s="368">
        <f t="shared" si="11"/>
        <v>0</v>
      </c>
      <c r="AB103" s="368">
        <f t="shared" si="12"/>
        <v>0</v>
      </c>
      <c r="AC103" s="368">
        <f t="shared" si="13"/>
        <v>0</v>
      </c>
    </row>
    <row r="104" spans="1:45" s="177" customFormat="1" ht="27.6">
      <c r="A104" s="306" t="s">
        <v>1986</v>
      </c>
      <c r="B104" s="76" t="s">
        <v>1873</v>
      </c>
      <c r="C104" s="338" t="s">
        <v>312</v>
      </c>
      <c r="D104" s="191" t="s">
        <v>1662</v>
      </c>
      <c r="E104" s="48"/>
      <c r="F104" s="48"/>
      <c r="G104" s="48"/>
      <c r="H104" s="48"/>
      <c r="I104" s="48"/>
      <c r="J104" s="48"/>
      <c r="K104" s="306" t="s">
        <v>1865</v>
      </c>
      <c r="L104" s="48"/>
      <c r="M104" s="48"/>
      <c r="N104" s="48"/>
      <c r="O104" s="48"/>
      <c r="P104" s="48"/>
      <c r="Q104" s="306" t="s">
        <v>1874</v>
      </c>
      <c r="R104" s="48"/>
      <c r="S104" s="48"/>
      <c r="T104" s="48"/>
      <c r="U104" s="48"/>
      <c r="V104" s="23">
        <v>36</v>
      </c>
      <c r="W104" s="368">
        <f t="shared" si="7"/>
        <v>13.554</v>
      </c>
      <c r="X104" s="368">
        <f t="shared" si="8"/>
        <v>13.554</v>
      </c>
      <c r="Y104" s="368">
        <f t="shared" si="9"/>
        <v>16.272000000000002</v>
      </c>
      <c r="Z104" s="368">
        <f t="shared" si="10"/>
        <v>13.644</v>
      </c>
      <c r="AA104" s="368">
        <f t="shared" si="11"/>
        <v>17.963999999999999</v>
      </c>
      <c r="AB104" s="368">
        <f t="shared" si="12"/>
        <v>15.48</v>
      </c>
      <c r="AC104" s="368">
        <f t="shared" si="13"/>
        <v>17.387999999999998</v>
      </c>
    </row>
    <row r="105" spans="1:45" s="177" customFormat="1" ht="27.6">
      <c r="A105" s="306" t="s">
        <v>1988</v>
      </c>
      <c r="B105" s="76" t="s">
        <v>1875</v>
      </c>
      <c r="C105" s="338" t="s">
        <v>312</v>
      </c>
      <c r="D105" s="191" t="s">
        <v>1662</v>
      </c>
      <c r="E105" s="48"/>
      <c r="F105" s="48"/>
      <c r="G105" s="48"/>
      <c r="H105" s="48"/>
      <c r="I105" s="48"/>
      <c r="J105" s="48"/>
      <c r="K105" s="306" t="s">
        <v>1866</v>
      </c>
      <c r="L105" s="48"/>
      <c r="M105" s="48"/>
      <c r="N105" s="48"/>
      <c r="O105" s="48"/>
      <c r="P105" s="48"/>
      <c r="Q105" s="306" t="s">
        <v>1876</v>
      </c>
      <c r="R105" s="48"/>
      <c r="S105" s="48"/>
      <c r="T105" s="48"/>
      <c r="U105" s="48"/>
      <c r="V105" s="23">
        <v>36</v>
      </c>
      <c r="W105" s="368">
        <f t="shared" si="7"/>
        <v>13.554</v>
      </c>
      <c r="X105" s="368">
        <f t="shared" si="8"/>
        <v>13.554</v>
      </c>
      <c r="Y105" s="368">
        <f t="shared" si="9"/>
        <v>16.272000000000002</v>
      </c>
      <c r="Z105" s="368">
        <f t="shared" si="10"/>
        <v>13.644</v>
      </c>
      <c r="AA105" s="368">
        <f t="shared" si="11"/>
        <v>17.963999999999999</v>
      </c>
      <c r="AB105" s="368">
        <f t="shared" si="12"/>
        <v>15.48</v>
      </c>
      <c r="AC105" s="368">
        <f t="shared" si="13"/>
        <v>17.387999999999998</v>
      </c>
    </row>
    <row r="106" spans="1:45" s="177" customFormat="1" ht="27.6">
      <c r="A106" s="306" t="s">
        <v>1867</v>
      </c>
      <c r="B106" s="76" t="s">
        <v>1877</v>
      </c>
      <c r="C106" s="40"/>
      <c r="D106" s="191" t="s">
        <v>1662</v>
      </c>
      <c r="E106" s="48"/>
      <c r="F106" s="48"/>
      <c r="G106" s="48"/>
      <c r="H106" s="48"/>
      <c r="I106" s="48"/>
      <c r="J106" s="48"/>
      <c r="K106" s="306" t="s">
        <v>1868</v>
      </c>
      <c r="L106" s="48"/>
      <c r="M106" s="48"/>
      <c r="N106" s="48"/>
      <c r="O106" s="48"/>
      <c r="P106" s="48"/>
      <c r="Q106" s="306" t="s">
        <v>1878</v>
      </c>
      <c r="R106" s="48"/>
      <c r="S106" s="48"/>
      <c r="T106" s="48"/>
      <c r="U106" s="48"/>
      <c r="V106" s="23">
        <v>99</v>
      </c>
      <c r="W106" s="368">
        <f t="shared" si="7"/>
        <v>37.273499999999999</v>
      </c>
      <c r="X106" s="368">
        <f t="shared" si="8"/>
        <v>37.273499999999999</v>
      </c>
      <c r="Y106" s="368">
        <f t="shared" si="9"/>
        <v>44.748000000000005</v>
      </c>
      <c r="Z106" s="368">
        <f t="shared" si="10"/>
        <v>37.521000000000001</v>
      </c>
      <c r="AA106" s="368">
        <f t="shared" si="11"/>
        <v>49.401000000000003</v>
      </c>
      <c r="AB106" s="368">
        <f t="shared" si="12"/>
        <v>42.57</v>
      </c>
      <c r="AC106" s="368">
        <f t="shared" si="13"/>
        <v>47.817</v>
      </c>
    </row>
    <row r="107" spans="1:45" s="177" customFormat="1" ht="27.6">
      <c r="A107" s="306" t="s">
        <v>1949</v>
      </c>
      <c r="B107" s="76" t="s">
        <v>1879</v>
      </c>
      <c r="C107" s="40"/>
      <c r="D107" s="191" t="s">
        <v>1662</v>
      </c>
      <c r="E107" s="48"/>
      <c r="F107" s="48"/>
      <c r="G107" s="48"/>
      <c r="H107" s="48"/>
      <c r="I107" s="48"/>
      <c r="J107" s="48"/>
      <c r="K107" s="306" t="s">
        <v>1869</v>
      </c>
      <c r="L107" s="48"/>
      <c r="M107" s="48"/>
      <c r="N107" s="48"/>
      <c r="O107" s="48"/>
      <c r="P107" s="48"/>
      <c r="Q107" s="306" t="s">
        <v>1880</v>
      </c>
      <c r="R107" s="48"/>
      <c r="S107" s="48"/>
      <c r="T107" s="48"/>
      <c r="U107" s="48"/>
      <c r="V107" s="23">
        <v>99</v>
      </c>
      <c r="W107" s="368">
        <f t="shared" si="7"/>
        <v>37.273499999999999</v>
      </c>
      <c r="X107" s="368">
        <f t="shared" si="8"/>
        <v>37.273499999999999</v>
      </c>
      <c r="Y107" s="368">
        <f t="shared" si="9"/>
        <v>44.748000000000005</v>
      </c>
      <c r="Z107" s="368">
        <f t="shared" si="10"/>
        <v>37.521000000000001</v>
      </c>
      <c r="AA107" s="368">
        <f t="shared" si="11"/>
        <v>49.401000000000003</v>
      </c>
      <c r="AB107" s="368">
        <f t="shared" si="12"/>
        <v>42.57</v>
      </c>
      <c r="AC107" s="368">
        <f t="shared" si="13"/>
        <v>47.817</v>
      </c>
    </row>
    <row r="108" spans="1:45" s="177" customFormat="1" ht="27.6">
      <c r="A108" s="306" t="s">
        <v>1987</v>
      </c>
      <c r="B108" s="76" t="s">
        <v>1879</v>
      </c>
      <c r="C108" s="338" t="s">
        <v>312</v>
      </c>
      <c r="D108" s="191" t="s">
        <v>1662</v>
      </c>
      <c r="E108" s="48"/>
      <c r="F108" s="48"/>
      <c r="G108" s="48"/>
      <c r="H108" s="48"/>
      <c r="I108" s="48"/>
      <c r="J108" s="48"/>
      <c r="K108" s="306" t="s">
        <v>1870</v>
      </c>
      <c r="L108" s="48"/>
      <c r="M108" s="48"/>
      <c r="N108" s="48"/>
      <c r="O108" s="48"/>
      <c r="P108" s="48"/>
      <c r="Q108" s="306" t="s">
        <v>1881</v>
      </c>
      <c r="R108" s="48"/>
      <c r="S108" s="48"/>
      <c r="T108" s="48"/>
      <c r="U108" s="48"/>
      <c r="V108" s="23">
        <v>99</v>
      </c>
      <c r="W108" s="368">
        <f t="shared" si="7"/>
        <v>37.273499999999999</v>
      </c>
      <c r="X108" s="368">
        <f t="shared" si="8"/>
        <v>37.273499999999999</v>
      </c>
      <c r="Y108" s="368">
        <f t="shared" si="9"/>
        <v>44.748000000000005</v>
      </c>
      <c r="Z108" s="368">
        <f t="shared" si="10"/>
        <v>37.521000000000001</v>
      </c>
      <c r="AA108" s="368">
        <f t="shared" si="11"/>
        <v>49.401000000000003</v>
      </c>
      <c r="AB108" s="368">
        <f t="shared" si="12"/>
        <v>42.57</v>
      </c>
      <c r="AC108" s="368">
        <f t="shared" si="13"/>
        <v>47.817</v>
      </c>
    </row>
    <row r="109" spans="1:45" s="176" customFormat="1">
      <c r="A109" s="69"/>
      <c r="B109" s="69"/>
      <c r="C109" s="40"/>
      <c r="D109" s="40"/>
      <c r="E109" s="48"/>
      <c r="F109" s="230"/>
      <c r="G109" s="48"/>
      <c r="H109" s="230"/>
      <c r="I109" s="230"/>
      <c r="J109" s="48"/>
      <c r="K109" s="230"/>
      <c r="L109" s="230"/>
      <c r="M109" s="48"/>
      <c r="N109" s="48"/>
      <c r="O109" s="48"/>
      <c r="P109" s="48"/>
      <c r="Q109" s="48"/>
      <c r="R109" s="48"/>
      <c r="S109" s="230"/>
      <c r="T109" s="230"/>
      <c r="U109" s="230"/>
      <c r="V109" s="23"/>
      <c r="W109" s="368"/>
      <c r="X109" s="368"/>
      <c r="Y109" s="368"/>
      <c r="Z109" s="368"/>
      <c r="AA109" s="368"/>
      <c r="AB109" s="368"/>
      <c r="AC109" s="368"/>
      <c r="AD109" s="172"/>
      <c r="AE109" s="172"/>
      <c r="AF109" s="172"/>
      <c r="AG109" s="172"/>
      <c r="AH109" s="172"/>
      <c r="AI109" s="172"/>
      <c r="AJ109" s="172"/>
      <c r="AK109" s="172"/>
      <c r="AL109" s="172"/>
      <c r="AM109" s="172"/>
      <c r="AN109" s="172"/>
      <c r="AO109" s="172"/>
      <c r="AP109" s="172"/>
      <c r="AQ109" s="172"/>
      <c r="AR109" s="172"/>
      <c r="AS109" s="172"/>
    </row>
    <row r="110" spans="1:45" s="177" customFormat="1">
      <c r="A110" s="98" t="s">
        <v>313</v>
      </c>
      <c r="B110" s="98"/>
      <c r="C110" s="98"/>
      <c r="D110" s="98"/>
      <c r="E110" s="226"/>
      <c r="F110" s="226"/>
      <c r="G110" s="226"/>
      <c r="H110" s="226"/>
      <c r="I110" s="226"/>
      <c r="J110" s="226"/>
      <c r="K110" s="226"/>
      <c r="L110" s="226"/>
      <c r="M110" s="226"/>
      <c r="N110" s="226"/>
      <c r="O110" s="226"/>
      <c r="P110" s="226"/>
      <c r="Q110" s="226"/>
      <c r="R110" s="226"/>
      <c r="S110" s="226"/>
      <c r="T110" s="226"/>
      <c r="U110" s="226"/>
      <c r="V110" s="185"/>
      <c r="W110" s="185"/>
      <c r="X110" s="185"/>
      <c r="Y110" s="185"/>
      <c r="Z110" s="185"/>
      <c r="AA110" s="185"/>
      <c r="AB110" s="185"/>
      <c r="AC110" s="185"/>
      <c r="AD110" s="172"/>
      <c r="AE110" s="172"/>
      <c r="AF110" s="172"/>
      <c r="AG110" s="172"/>
      <c r="AH110" s="172"/>
      <c r="AI110" s="172"/>
      <c r="AJ110" s="172"/>
      <c r="AK110" s="172"/>
      <c r="AL110" s="172"/>
      <c r="AM110" s="172"/>
      <c r="AN110" s="172"/>
      <c r="AO110" s="172"/>
      <c r="AP110" s="172"/>
      <c r="AQ110" s="172"/>
      <c r="AR110" s="172"/>
      <c r="AS110" s="172"/>
    </row>
    <row r="111" spans="1:45" s="177" customFormat="1">
      <c r="A111" s="69" t="s">
        <v>314</v>
      </c>
      <c r="B111" s="69" t="s">
        <v>314</v>
      </c>
      <c r="C111" s="40"/>
      <c r="D111" s="40"/>
      <c r="E111" s="48"/>
      <c r="F111" s="48" t="s">
        <v>1717</v>
      </c>
      <c r="G111" s="48"/>
      <c r="H111" s="48" t="s">
        <v>1720</v>
      </c>
      <c r="I111" s="48"/>
      <c r="J111" s="48"/>
      <c r="K111" s="48" t="s">
        <v>1725</v>
      </c>
      <c r="L111" s="48"/>
      <c r="M111" s="48"/>
      <c r="N111" s="48" t="s">
        <v>1727</v>
      </c>
      <c r="O111" s="48"/>
      <c r="P111" s="48"/>
      <c r="Q111" s="48" t="s">
        <v>1731</v>
      </c>
      <c r="R111" s="48"/>
      <c r="S111" s="230"/>
      <c r="T111" s="230"/>
      <c r="U111" s="230"/>
      <c r="V111" s="28">
        <v>82</v>
      </c>
      <c r="W111" s="369">
        <f t="shared" si="7"/>
        <v>30.873000000000001</v>
      </c>
      <c r="X111" s="369">
        <f t="shared" si="8"/>
        <v>30.873000000000001</v>
      </c>
      <c r="Y111" s="369">
        <f t="shared" si="9"/>
        <v>37.064</v>
      </c>
      <c r="Z111" s="369">
        <f t="shared" si="10"/>
        <v>31.077999999999999</v>
      </c>
      <c r="AA111" s="369">
        <f t="shared" si="11"/>
        <v>40.917999999999999</v>
      </c>
      <c r="AB111" s="369">
        <f t="shared" si="12"/>
        <v>35.26</v>
      </c>
      <c r="AC111" s="369">
        <f t="shared" si="13"/>
        <v>39.606000000000002</v>
      </c>
      <c r="AD111" s="172"/>
      <c r="AE111" s="172"/>
      <c r="AF111" s="172"/>
      <c r="AG111" s="172"/>
      <c r="AH111" s="172"/>
      <c r="AI111" s="172"/>
      <c r="AJ111" s="172"/>
      <c r="AK111" s="172"/>
      <c r="AL111" s="172"/>
      <c r="AM111" s="172"/>
      <c r="AN111" s="172"/>
      <c r="AO111" s="172"/>
      <c r="AP111" s="172"/>
      <c r="AQ111" s="172"/>
      <c r="AR111" s="172"/>
      <c r="AS111" s="172"/>
    </row>
    <row r="112" spans="1:45" s="177" customFormat="1">
      <c r="A112" s="69" t="s">
        <v>315</v>
      </c>
      <c r="B112" s="69" t="s">
        <v>315</v>
      </c>
      <c r="C112" s="40"/>
      <c r="D112" s="40"/>
      <c r="E112" s="48"/>
      <c r="F112" s="48" t="s">
        <v>1717</v>
      </c>
      <c r="G112" s="48"/>
      <c r="H112" s="48" t="s">
        <v>1721</v>
      </c>
      <c r="I112" s="48"/>
      <c r="J112" s="48"/>
      <c r="K112" s="48" t="s">
        <v>1724</v>
      </c>
      <c r="L112" s="48"/>
      <c r="M112" s="48"/>
      <c r="N112" s="48" t="s">
        <v>1728</v>
      </c>
      <c r="O112" s="48"/>
      <c r="P112" s="48"/>
      <c r="Q112" s="48" t="s">
        <v>1732</v>
      </c>
      <c r="R112" s="48"/>
      <c r="S112" s="230"/>
      <c r="T112" s="230"/>
      <c r="U112" s="230"/>
      <c r="V112" s="23">
        <v>82</v>
      </c>
      <c r="W112" s="368">
        <f t="shared" si="7"/>
        <v>30.873000000000001</v>
      </c>
      <c r="X112" s="368">
        <f t="shared" si="8"/>
        <v>30.873000000000001</v>
      </c>
      <c r="Y112" s="368">
        <f t="shared" si="9"/>
        <v>37.064</v>
      </c>
      <c r="Z112" s="368">
        <f t="shared" si="10"/>
        <v>31.077999999999999</v>
      </c>
      <c r="AA112" s="368">
        <f t="shared" si="11"/>
        <v>40.917999999999999</v>
      </c>
      <c r="AB112" s="368">
        <f t="shared" si="12"/>
        <v>35.26</v>
      </c>
      <c r="AC112" s="368">
        <f t="shared" si="13"/>
        <v>39.606000000000002</v>
      </c>
      <c r="AD112" s="172"/>
      <c r="AE112" s="172"/>
      <c r="AF112" s="172"/>
      <c r="AG112" s="172"/>
      <c r="AH112" s="172"/>
      <c r="AI112" s="172"/>
      <c r="AJ112" s="172"/>
      <c r="AK112" s="172"/>
      <c r="AL112" s="172"/>
      <c r="AM112" s="172"/>
      <c r="AN112" s="172"/>
      <c r="AO112" s="172"/>
      <c r="AP112" s="172"/>
      <c r="AQ112" s="172"/>
      <c r="AR112" s="172"/>
      <c r="AS112" s="172"/>
    </row>
    <row r="113" spans="1:45" s="177" customFormat="1">
      <c r="A113" s="69" t="s">
        <v>316</v>
      </c>
      <c r="B113" s="69" t="s">
        <v>316</v>
      </c>
      <c r="C113" s="40"/>
      <c r="D113" s="40"/>
      <c r="E113" s="48"/>
      <c r="F113" s="48" t="s">
        <v>1718</v>
      </c>
      <c r="G113" s="48"/>
      <c r="H113" s="48" t="s">
        <v>1722</v>
      </c>
      <c r="I113" s="48"/>
      <c r="J113" s="48"/>
      <c r="K113" s="48" t="s">
        <v>2016</v>
      </c>
      <c r="L113" s="48"/>
      <c r="M113" s="48"/>
      <c r="N113" s="48" t="s">
        <v>1729</v>
      </c>
      <c r="O113" s="48"/>
      <c r="P113" s="48"/>
      <c r="Q113" s="48" t="s">
        <v>1733</v>
      </c>
      <c r="R113" s="48"/>
      <c r="S113" s="230"/>
      <c r="T113" s="230"/>
      <c r="U113" s="230"/>
      <c r="V113" s="28">
        <v>183</v>
      </c>
      <c r="W113" s="369">
        <f t="shared" si="7"/>
        <v>68.899500000000003</v>
      </c>
      <c r="X113" s="369">
        <f t="shared" si="8"/>
        <v>68.899500000000003</v>
      </c>
      <c r="Y113" s="369">
        <f t="shared" si="9"/>
        <v>82.716000000000008</v>
      </c>
      <c r="Z113" s="369">
        <f t="shared" si="10"/>
        <v>69.356999999999999</v>
      </c>
      <c r="AA113" s="369">
        <f t="shared" si="11"/>
        <v>91.316999999999993</v>
      </c>
      <c r="AB113" s="369">
        <f t="shared" si="12"/>
        <v>78.69</v>
      </c>
      <c r="AC113" s="369">
        <f t="shared" si="13"/>
        <v>88.388999999999996</v>
      </c>
      <c r="AD113" s="172"/>
      <c r="AE113" s="172"/>
      <c r="AF113" s="172"/>
      <c r="AG113" s="172"/>
      <c r="AH113" s="172"/>
      <c r="AI113" s="172"/>
      <c r="AJ113" s="172"/>
      <c r="AK113" s="172"/>
      <c r="AL113" s="172"/>
      <c r="AM113" s="172"/>
      <c r="AN113" s="172"/>
      <c r="AO113" s="172"/>
      <c r="AP113" s="172"/>
      <c r="AQ113" s="172"/>
      <c r="AR113" s="172"/>
      <c r="AS113" s="172"/>
    </row>
    <row r="114" spans="1:45" s="172" customFormat="1">
      <c r="A114" s="235"/>
      <c r="B114" s="203"/>
      <c r="C114" s="134"/>
      <c r="D114" s="134"/>
      <c r="E114" s="48"/>
      <c r="F114" s="48"/>
      <c r="G114" s="48"/>
      <c r="H114" s="48"/>
      <c r="I114" s="48"/>
      <c r="J114" s="48"/>
      <c r="K114" s="48"/>
      <c r="L114" s="48"/>
      <c r="M114" s="48"/>
      <c r="N114" s="48"/>
      <c r="O114" s="48"/>
      <c r="P114" s="48"/>
      <c r="Q114" s="48"/>
      <c r="R114" s="48"/>
      <c r="S114" s="45"/>
      <c r="T114" s="45"/>
      <c r="U114" s="45"/>
      <c r="V114" s="28"/>
      <c r="W114" s="369"/>
      <c r="X114" s="369"/>
      <c r="Y114" s="369"/>
      <c r="Z114" s="369"/>
      <c r="AA114" s="369"/>
      <c r="AB114" s="369"/>
      <c r="AC114" s="369"/>
    </row>
    <row r="115" spans="1:45" s="177" customFormat="1">
      <c r="A115" s="98" t="s">
        <v>317</v>
      </c>
      <c r="B115" s="98"/>
      <c r="C115" s="98"/>
      <c r="D115" s="98"/>
      <c r="E115" s="226"/>
      <c r="F115" s="226"/>
      <c r="G115" s="226"/>
      <c r="H115" s="226"/>
      <c r="I115" s="226"/>
      <c r="J115" s="226"/>
      <c r="K115" s="226"/>
      <c r="L115" s="226"/>
      <c r="M115" s="226"/>
      <c r="N115" s="226"/>
      <c r="O115" s="226"/>
      <c r="P115" s="226"/>
      <c r="Q115" s="226"/>
      <c r="R115" s="226"/>
      <c r="S115" s="226"/>
      <c r="T115" s="226"/>
      <c r="U115" s="226"/>
      <c r="V115" s="185"/>
      <c r="W115" s="185"/>
      <c r="X115" s="185"/>
      <c r="Y115" s="185"/>
      <c r="Z115" s="185"/>
      <c r="AA115" s="185"/>
      <c r="AB115" s="185"/>
      <c r="AC115" s="185"/>
      <c r="AD115" s="172"/>
      <c r="AE115" s="172"/>
      <c r="AF115" s="172"/>
      <c r="AG115" s="172"/>
      <c r="AH115" s="172"/>
      <c r="AI115" s="172"/>
      <c r="AJ115" s="172"/>
      <c r="AK115" s="172"/>
      <c r="AL115" s="172"/>
      <c r="AM115" s="172"/>
      <c r="AN115" s="172"/>
      <c r="AO115" s="172"/>
      <c r="AP115" s="172"/>
      <c r="AQ115" s="172"/>
      <c r="AR115" s="172"/>
      <c r="AS115" s="172"/>
    </row>
    <row r="116" spans="1:45" s="165" customFormat="1">
      <c r="A116" s="69" t="s">
        <v>318</v>
      </c>
      <c r="B116" s="69" t="s">
        <v>319</v>
      </c>
      <c r="C116" s="40"/>
      <c r="D116" s="40"/>
      <c r="E116" s="48"/>
      <c r="F116" s="48" t="s">
        <v>1792</v>
      </c>
      <c r="G116" s="48"/>
      <c r="H116" s="48"/>
      <c r="I116" s="48"/>
      <c r="J116" s="48"/>
      <c r="K116" s="48"/>
      <c r="L116" s="48"/>
      <c r="M116" s="48"/>
      <c r="N116" s="48"/>
      <c r="O116" s="48"/>
      <c r="P116" s="48"/>
      <c r="Q116" s="48"/>
      <c r="R116" s="48"/>
      <c r="S116" s="30"/>
      <c r="T116" s="30"/>
      <c r="U116" s="30"/>
      <c r="V116" s="23">
        <v>0</v>
      </c>
      <c r="W116" s="368">
        <f t="shared" si="7"/>
        <v>0</v>
      </c>
      <c r="X116" s="368">
        <f t="shared" si="8"/>
        <v>0</v>
      </c>
      <c r="Y116" s="368">
        <f t="shared" si="9"/>
        <v>0</v>
      </c>
      <c r="Z116" s="368">
        <f t="shared" si="10"/>
        <v>0</v>
      </c>
      <c r="AA116" s="368">
        <f t="shared" si="11"/>
        <v>0</v>
      </c>
      <c r="AB116" s="368">
        <f t="shared" si="12"/>
        <v>0</v>
      </c>
      <c r="AC116" s="368">
        <f t="shared" si="13"/>
        <v>0</v>
      </c>
      <c r="AD116" s="253"/>
      <c r="AE116" s="253"/>
      <c r="AF116" s="253"/>
      <c r="AG116" s="253"/>
      <c r="AH116" s="253"/>
      <c r="AI116" s="253"/>
      <c r="AJ116" s="253"/>
      <c r="AK116" s="253"/>
      <c r="AL116" s="253"/>
      <c r="AM116" s="253"/>
      <c r="AN116" s="253"/>
      <c r="AO116" s="253"/>
      <c r="AP116" s="253"/>
      <c r="AQ116" s="253"/>
      <c r="AR116" s="253"/>
      <c r="AS116" s="253"/>
    </row>
    <row r="117" spans="1:45" s="177" customFormat="1">
      <c r="A117" s="69" t="s">
        <v>320</v>
      </c>
      <c r="B117" s="69" t="s">
        <v>321</v>
      </c>
      <c r="C117" s="40"/>
      <c r="D117" s="40"/>
      <c r="E117" s="48"/>
      <c r="F117" s="48"/>
      <c r="G117" s="48"/>
      <c r="H117" s="48"/>
      <c r="I117" s="48"/>
      <c r="J117" s="48"/>
      <c r="K117" s="48"/>
      <c r="L117" s="48"/>
      <c r="M117" s="48"/>
      <c r="N117" s="48"/>
      <c r="O117" s="48"/>
      <c r="P117" s="48"/>
      <c r="Q117" s="48"/>
      <c r="R117" s="48"/>
      <c r="S117" s="30"/>
      <c r="T117" s="30"/>
      <c r="U117" s="30"/>
      <c r="V117" s="23">
        <v>0</v>
      </c>
      <c r="W117" s="368">
        <f t="shared" si="7"/>
        <v>0</v>
      </c>
      <c r="X117" s="368">
        <f t="shared" si="8"/>
        <v>0</v>
      </c>
      <c r="Y117" s="368">
        <f t="shared" si="9"/>
        <v>0</v>
      </c>
      <c r="Z117" s="368">
        <f t="shared" si="10"/>
        <v>0</v>
      </c>
      <c r="AA117" s="368">
        <f t="shared" si="11"/>
        <v>0</v>
      </c>
      <c r="AB117" s="368">
        <f t="shared" si="12"/>
        <v>0</v>
      </c>
      <c r="AC117" s="368">
        <f t="shared" si="13"/>
        <v>0</v>
      </c>
      <c r="AD117" s="172"/>
      <c r="AE117" s="172"/>
      <c r="AF117" s="172"/>
      <c r="AG117" s="172"/>
      <c r="AH117" s="172"/>
      <c r="AI117" s="172"/>
      <c r="AJ117" s="172"/>
      <c r="AK117" s="172"/>
      <c r="AL117" s="172"/>
      <c r="AM117" s="172"/>
      <c r="AN117" s="172"/>
      <c r="AO117" s="172"/>
      <c r="AP117" s="172"/>
      <c r="AQ117" s="172"/>
      <c r="AR117" s="172"/>
      <c r="AS117" s="172"/>
    </row>
    <row r="118" spans="1:45" s="165" customFormat="1">
      <c r="A118" s="69" t="s">
        <v>322</v>
      </c>
      <c r="B118" s="69" t="s">
        <v>323</v>
      </c>
      <c r="C118" s="40"/>
      <c r="D118" s="40"/>
      <c r="E118" s="48"/>
      <c r="F118" s="48" t="s">
        <v>1790</v>
      </c>
      <c r="G118" s="48"/>
      <c r="H118" s="48"/>
      <c r="I118" s="48"/>
      <c r="J118" s="48"/>
      <c r="K118" s="48"/>
      <c r="L118" s="48"/>
      <c r="M118" s="48"/>
      <c r="N118" s="48"/>
      <c r="O118" s="48"/>
      <c r="P118" s="48"/>
      <c r="Q118" s="48"/>
      <c r="R118" s="48"/>
      <c r="S118" s="30"/>
      <c r="T118" s="30"/>
      <c r="U118" s="30"/>
      <c r="V118" s="23">
        <v>0</v>
      </c>
      <c r="W118" s="368">
        <f t="shared" si="7"/>
        <v>0</v>
      </c>
      <c r="X118" s="368">
        <f t="shared" si="8"/>
        <v>0</v>
      </c>
      <c r="Y118" s="368">
        <f t="shared" si="9"/>
        <v>0</v>
      </c>
      <c r="Z118" s="368">
        <f t="shared" si="10"/>
        <v>0</v>
      </c>
      <c r="AA118" s="368">
        <f t="shared" si="11"/>
        <v>0</v>
      </c>
      <c r="AB118" s="368">
        <f t="shared" si="12"/>
        <v>0</v>
      </c>
      <c r="AC118" s="368">
        <f t="shared" si="13"/>
        <v>0</v>
      </c>
      <c r="AD118" s="253"/>
      <c r="AE118" s="253"/>
      <c r="AF118" s="253"/>
      <c r="AG118" s="253"/>
      <c r="AH118" s="253"/>
      <c r="AI118" s="253"/>
      <c r="AJ118" s="253"/>
      <c r="AK118" s="253"/>
      <c r="AL118" s="253"/>
      <c r="AM118" s="253"/>
      <c r="AN118" s="253"/>
      <c r="AO118" s="253"/>
      <c r="AP118" s="253"/>
      <c r="AQ118" s="253"/>
      <c r="AR118" s="253"/>
      <c r="AS118" s="253"/>
    </row>
    <row r="119" spans="1:45" s="177" customFormat="1">
      <c r="A119" s="69" t="s">
        <v>324</v>
      </c>
      <c r="B119" s="69" t="s">
        <v>325</v>
      </c>
      <c r="C119" s="40"/>
      <c r="D119" s="40"/>
      <c r="E119" s="48"/>
      <c r="F119" s="48" t="s">
        <v>1789</v>
      </c>
      <c r="G119" s="48"/>
      <c r="H119" s="48"/>
      <c r="I119" s="48"/>
      <c r="J119" s="48"/>
      <c r="K119" s="48"/>
      <c r="L119" s="48"/>
      <c r="M119" s="48"/>
      <c r="N119" s="48"/>
      <c r="O119" s="48"/>
      <c r="P119" s="48"/>
      <c r="Q119" s="48"/>
      <c r="R119" s="48"/>
      <c r="S119" s="30"/>
      <c r="T119" s="30"/>
      <c r="U119" s="30"/>
      <c r="V119" s="23">
        <v>25</v>
      </c>
      <c r="W119" s="368">
        <f t="shared" si="7"/>
        <v>9.4124999999999996</v>
      </c>
      <c r="X119" s="368">
        <f t="shared" si="8"/>
        <v>9.4124999999999996</v>
      </c>
      <c r="Y119" s="368">
        <f t="shared" si="9"/>
        <v>11.3</v>
      </c>
      <c r="Z119" s="368">
        <f t="shared" si="10"/>
        <v>9.4749999999999996</v>
      </c>
      <c r="AA119" s="368">
        <f t="shared" si="11"/>
        <v>12.475</v>
      </c>
      <c r="AB119" s="368">
        <f t="shared" si="12"/>
        <v>10.75</v>
      </c>
      <c r="AC119" s="368">
        <f t="shared" si="13"/>
        <v>12.074999999999999</v>
      </c>
      <c r="AD119" s="172"/>
      <c r="AE119" s="172"/>
      <c r="AF119" s="172"/>
      <c r="AG119" s="172"/>
      <c r="AH119" s="172"/>
      <c r="AI119" s="172"/>
      <c r="AJ119" s="172"/>
      <c r="AK119" s="172"/>
      <c r="AL119" s="172"/>
      <c r="AM119" s="172"/>
      <c r="AN119" s="172"/>
      <c r="AO119" s="172"/>
      <c r="AP119" s="172"/>
      <c r="AQ119" s="172"/>
      <c r="AR119" s="172"/>
      <c r="AS119" s="172"/>
    </row>
    <row r="120" spans="1:45" s="165" customFormat="1" ht="27.6">
      <c r="A120" s="69" t="s">
        <v>326</v>
      </c>
      <c r="B120" s="69" t="s">
        <v>327</v>
      </c>
      <c r="C120" s="40"/>
      <c r="D120" s="40"/>
      <c r="E120" s="48"/>
      <c r="F120" s="48" t="s">
        <v>1791</v>
      </c>
      <c r="G120" s="48"/>
      <c r="H120" s="48"/>
      <c r="I120" s="48"/>
      <c r="J120" s="48"/>
      <c r="K120" s="48"/>
      <c r="L120" s="48"/>
      <c r="M120" s="48"/>
      <c r="N120" s="48"/>
      <c r="O120" s="48"/>
      <c r="P120" s="48"/>
      <c r="Q120" s="48"/>
      <c r="R120" s="48"/>
      <c r="S120" s="30"/>
      <c r="T120" s="30"/>
      <c r="U120" s="30"/>
      <c r="V120" s="23">
        <v>25</v>
      </c>
      <c r="W120" s="368">
        <f t="shared" si="7"/>
        <v>9.4124999999999996</v>
      </c>
      <c r="X120" s="368">
        <f t="shared" si="8"/>
        <v>9.4124999999999996</v>
      </c>
      <c r="Y120" s="368">
        <f t="shared" si="9"/>
        <v>11.3</v>
      </c>
      <c r="Z120" s="368">
        <f t="shared" si="10"/>
        <v>9.4749999999999996</v>
      </c>
      <c r="AA120" s="368">
        <f t="shared" si="11"/>
        <v>12.475</v>
      </c>
      <c r="AB120" s="368">
        <f t="shared" si="12"/>
        <v>10.75</v>
      </c>
      <c r="AC120" s="368">
        <f t="shared" si="13"/>
        <v>12.074999999999999</v>
      </c>
      <c r="AD120" s="253"/>
      <c r="AE120" s="253"/>
      <c r="AF120" s="253"/>
      <c r="AG120" s="253"/>
      <c r="AH120" s="253"/>
      <c r="AI120" s="253"/>
      <c r="AJ120" s="253"/>
      <c r="AK120" s="253"/>
      <c r="AL120" s="253"/>
      <c r="AM120" s="253"/>
      <c r="AN120" s="253"/>
      <c r="AO120" s="253"/>
      <c r="AP120" s="253"/>
      <c r="AQ120" s="253"/>
      <c r="AR120" s="253"/>
      <c r="AS120" s="253"/>
    </row>
    <row r="121" spans="1:45" s="177" customFormat="1">
      <c r="A121" s="69" t="s">
        <v>328</v>
      </c>
      <c r="B121" s="69" t="s">
        <v>329</v>
      </c>
      <c r="C121" s="40"/>
      <c r="D121" s="40"/>
      <c r="E121" s="48"/>
      <c r="F121" s="48" t="s">
        <v>1794</v>
      </c>
      <c r="G121" s="48"/>
      <c r="H121" s="48"/>
      <c r="I121" s="48"/>
      <c r="J121" s="48"/>
      <c r="K121" s="48"/>
      <c r="L121" s="48"/>
      <c r="M121" s="48"/>
      <c r="N121" s="48"/>
      <c r="O121" s="48"/>
      <c r="P121" s="48"/>
      <c r="Q121" s="48"/>
      <c r="R121" s="48"/>
      <c r="S121" s="30"/>
      <c r="T121" s="30"/>
      <c r="U121" s="30"/>
      <c r="V121" s="23">
        <v>46</v>
      </c>
      <c r="W121" s="368">
        <f t="shared" si="7"/>
        <v>17.318999999999999</v>
      </c>
      <c r="X121" s="368">
        <f t="shared" si="8"/>
        <v>17.318999999999999</v>
      </c>
      <c r="Y121" s="368">
        <f t="shared" si="9"/>
        <v>20.792000000000002</v>
      </c>
      <c r="Z121" s="368">
        <f t="shared" si="10"/>
        <v>17.434000000000001</v>
      </c>
      <c r="AA121" s="368">
        <f t="shared" si="11"/>
        <v>22.954000000000001</v>
      </c>
      <c r="AB121" s="368">
        <f t="shared" si="12"/>
        <v>19.78</v>
      </c>
      <c r="AC121" s="368">
        <f t="shared" si="13"/>
        <v>22.218</v>
      </c>
      <c r="AD121" s="172"/>
      <c r="AE121" s="172"/>
      <c r="AF121" s="172"/>
      <c r="AG121" s="172"/>
      <c r="AH121" s="172"/>
      <c r="AI121" s="172"/>
      <c r="AJ121" s="172"/>
      <c r="AK121" s="172"/>
      <c r="AL121" s="172"/>
      <c r="AM121" s="172"/>
      <c r="AN121" s="172"/>
      <c r="AO121" s="172"/>
      <c r="AP121" s="172"/>
      <c r="AQ121" s="172"/>
      <c r="AR121" s="172"/>
      <c r="AS121" s="172"/>
    </row>
    <row r="122" spans="1:45">
      <c r="A122" s="69" t="s">
        <v>330</v>
      </c>
      <c r="B122" s="69" t="s">
        <v>331</v>
      </c>
      <c r="C122" s="40"/>
      <c r="D122" s="40"/>
      <c r="E122" s="48"/>
      <c r="F122" s="48" t="s">
        <v>1793</v>
      </c>
      <c r="G122" s="48"/>
      <c r="H122" s="48"/>
      <c r="I122" s="48"/>
      <c r="J122" s="48"/>
      <c r="K122" s="48"/>
      <c r="L122" s="48"/>
      <c r="M122" s="48"/>
      <c r="N122" s="48"/>
      <c r="O122" s="48"/>
      <c r="P122" s="48"/>
      <c r="Q122" s="48"/>
      <c r="R122" s="48"/>
      <c r="S122" s="30"/>
      <c r="T122" s="30"/>
      <c r="U122" s="30"/>
      <c r="V122" s="23">
        <v>46</v>
      </c>
      <c r="W122" s="368">
        <f t="shared" si="7"/>
        <v>17.318999999999999</v>
      </c>
      <c r="X122" s="368">
        <f t="shared" si="8"/>
        <v>17.318999999999999</v>
      </c>
      <c r="Y122" s="368">
        <f t="shared" si="9"/>
        <v>20.792000000000002</v>
      </c>
      <c r="Z122" s="368">
        <f t="shared" si="10"/>
        <v>17.434000000000001</v>
      </c>
      <c r="AA122" s="368">
        <f t="shared" si="11"/>
        <v>22.954000000000001</v>
      </c>
      <c r="AB122" s="368">
        <f t="shared" si="12"/>
        <v>19.78</v>
      </c>
      <c r="AC122" s="368">
        <f t="shared" si="13"/>
        <v>22.218</v>
      </c>
    </row>
    <row r="123" spans="1:45" s="165" customFormat="1">
      <c r="A123" s="69" t="s">
        <v>332</v>
      </c>
      <c r="B123" s="69" t="s">
        <v>333</v>
      </c>
      <c r="C123" s="40"/>
      <c r="D123" s="40"/>
      <c r="E123" s="48"/>
      <c r="F123" s="48" t="s">
        <v>1795</v>
      </c>
      <c r="G123" s="48"/>
      <c r="H123" s="48"/>
      <c r="I123" s="48"/>
      <c r="J123" s="48"/>
      <c r="K123" s="48"/>
      <c r="L123" s="48"/>
      <c r="M123" s="48"/>
      <c r="N123" s="48"/>
      <c r="O123" s="48"/>
      <c r="P123" s="48"/>
      <c r="Q123" s="48"/>
      <c r="R123" s="48"/>
      <c r="S123" s="30"/>
      <c r="T123" s="30"/>
      <c r="U123" s="30"/>
      <c r="V123" s="23">
        <v>46</v>
      </c>
      <c r="W123" s="368">
        <f t="shared" si="7"/>
        <v>17.318999999999999</v>
      </c>
      <c r="X123" s="368">
        <f t="shared" si="8"/>
        <v>17.318999999999999</v>
      </c>
      <c r="Y123" s="368">
        <f t="shared" si="9"/>
        <v>20.792000000000002</v>
      </c>
      <c r="Z123" s="368">
        <f t="shared" si="10"/>
        <v>17.434000000000001</v>
      </c>
      <c r="AA123" s="368">
        <f t="shared" si="11"/>
        <v>22.954000000000001</v>
      </c>
      <c r="AB123" s="368">
        <f t="shared" si="12"/>
        <v>19.78</v>
      </c>
      <c r="AC123" s="368">
        <f t="shared" si="13"/>
        <v>22.218</v>
      </c>
      <c r="AD123" s="253"/>
      <c r="AE123" s="253"/>
      <c r="AF123" s="253"/>
      <c r="AG123" s="253"/>
      <c r="AH123" s="253"/>
      <c r="AI123" s="253"/>
      <c r="AJ123" s="253"/>
      <c r="AK123" s="253"/>
      <c r="AL123" s="253"/>
      <c r="AM123" s="253"/>
      <c r="AN123" s="253"/>
      <c r="AO123" s="253"/>
      <c r="AP123" s="253"/>
      <c r="AQ123" s="253"/>
      <c r="AR123" s="253"/>
      <c r="AS123" s="253"/>
    </row>
    <row r="124" spans="1:45" ht="31.5" customHeight="1">
      <c r="A124" s="69" t="s">
        <v>334</v>
      </c>
      <c r="B124" s="69" t="s">
        <v>335</v>
      </c>
      <c r="C124" s="40"/>
      <c r="D124" s="40"/>
      <c r="E124" s="48"/>
      <c r="F124" s="48"/>
      <c r="G124" s="48"/>
      <c r="H124" s="48"/>
      <c r="I124" s="48"/>
      <c r="J124" s="48"/>
      <c r="K124" s="48"/>
      <c r="L124" s="48"/>
      <c r="M124" s="48"/>
      <c r="N124" s="48"/>
      <c r="O124" s="48"/>
      <c r="P124" s="48"/>
      <c r="Q124" s="48"/>
      <c r="R124" s="48"/>
      <c r="S124" s="30"/>
      <c r="T124" s="30"/>
      <c r="U124" s="30"/>
      <c r="V124" s="23">
        <v>57</v>
      </c>
      <c r="W124" s="368">
        <f t="shared" si="7"/>
        <v>21.4605</v>
      </c>
      <c r="X124" s="368">
        <f t="shared" si="8"/>
        <v>21.4605</v>
      </c>
      <c r="Y124" s="368">
        <f t="shared" si="9"/>
        <v>25.763999999999999</v>
      </c>
      <c r="Z124" s="368">
        <f t="shared" si="10"/>
        <v>21.603000000000002</v>
      </c>
      <c r="AA124" s="368">
        <f t="shared" si="11"/>
        <v>28.443000000000001</v>
      </c>
      <c r="AB124" s="368">
        <f t="shared" si="12"/>
        <v>24.509999999999998</v>
      </c>
      <c r="AC124" s="368">
        <f t="shared" si="13"/>
        <v>27.530999999999999</v>
      </c>
    </row>
    <row r="125" spans="1:45" s="165" customFormat="1" ht="31.5" customHeight="1">
      <c r="A125" s="69" t="s">
        <v>336</v>
      </c>
      <c r="B125" s="69" t="s">
        <v>337</v>
      </c>
      <c r="C125" s="40"/>
      <c r="D125" s="40"/>
      <c r="E125" s="48"/>
      <c r="F125" s="230"/>
      <c r="G125" s="48"/>
      <c r="H125" s="48"/>
      <c r="I125" s="48"/>
      <c r="J125" s="48"/>
      <c r="K125" s="48"/>
      <c r="L125" s="48"/>
      <c r="M125" s="48"/>
      <c r="N125" s="48"/>
      <c r="O125" s="48"/>
      <c r="P125" s="48"/>
      <c r="Q125" s="48"/>
      <c r="R125" s="48"/>
      <c r="S125" s="30"/>
      <c r="T125" s="30"/>
      <c r="U125" s="30"/>
      <c r="V125" s="23">
        <v>57</v>
      </c>
      <c r="W125" s="368">
        <f t="shared" si="7"/>
        <v>21.4605</v>
      </c>
      <c r="X125" s="368">
        <f t="shared" si="8"/>
        <v>21.4605</v>
      </c>
      <c r="Y125" s="368">
        <f t="shared" si="9"/>
        <v>25.763999999999999</v>
      </c>
      <c r="Z125" s="368">
        <f t="shared" si="10"/>
        <v>21.603000000000002</v>
      </c>
      <c r="AA125" s="368">
        <f t="shared" si="11"/>
        <v>28.443000000000001</v>
      </c>
      <c r="AB125" s="368">
        <f t="shared" si="12"/>
        <v>24.509999999999998</v>
      </c>
      <c r="AC125" s="368">
        <f t="shared" si="13"/>
        <v>27.530999999999999</v>
      </c>
      <c r="AD125" s="253"/>
      <c r="AE125" s="253"/>
      <c r="AF125" s="253"/>
      <c r="AG125" s="253"/>
      <c r="AH125" s="253"/>
      <c r="AI125" s="253"/>
      <c r="AJ125" s="253"/>
      <c r="AK125" s="253"/>
      <c r="AL125" s="253"/>
      <c r="AM125" s="253"/>
      <c r="AN125" s="253"/>
      <c r="AO125" s="253"/>
      <c r="AP125" s="253"/>
      <c r="AQ125" s="253"/>
      <c r="AR125" s="253"/>
      <c r="AS125" s="253"/>
    </row>
    <row r="126" spans="1:45" s="165" customFormat="1" ht="31.5" customHeight="1">
      <c r="A126" s="69" t="s">
        <v>1882</v>
      </c>
      <c r="B126" s="306" t="s">
        <v>1884</v>
      </c>
      <c r="C126" s="40"/>
      <c r="D126" s="40"/>
      <c r="E126" s="48"/>
      <c r="F126" s="306" t="s">
        <v>1796</v>
      </c>
      <c r="G126" s="48"/>
      <c r="H126" s="48"/>
      <c r="I126" s="48"/>
      <c r="J126" s="48"/>
      <c r="K126" s="48"/>
      <c r="L126" s="48"/>
      <c r="M126" s="48"/>
      <c r="N126" s="48"/>
      <c r="O126" s="48"/>
      <c r="P126" s="48"/>
      <c r="Q126" s="48"/>
      <c r="R126" s="48"/>
      <c r="S126" s="30"/>
      <c r="T126" s="30"/>
      <c r="U126" s="30"/>
      <c r="V126" s="23">
        <v>57</v>
      </c>
      <c r="W126" s="368">
        <f t="shared" si="7"/>
        <v>21.4605</v>
      </c>
      <c r="X126" s="368">
        <f t="shared" si="8"/>
        <v>21.4605</v>
      </c>
      <c r="Y126" s="368">
        <f t="shared" si="9"/>
        <v>25.763999999999999</v>
      </c>
      <c r="Z126" s="368">
        <f t="shared" si="10"/>
        <v>21.603000000000002</v>
      </c>
      <c r="AA126" s="368">
        <f t="shared" si="11"/>
        <v>28.443000000000001</v>
      </c>
      <c r="AB126" s="368">
        <f t="shared" si="12"/>
        <v>24.509999999999998</v>
      </c>
      <c r="AC126" s="368">
        <f t="shared" si="13"/>
        <v>27.530999999999999</v>
      </c>
      <c r="AD126" s="253"/>
      <c r="AE126" s="253"/>
      <c r="AF126" s="253"/>
      <c r="AG126" s="253"/>
      <c r="AH126" s="253"/>
      <c r="AI126" s="253"/>
      <c r="AJ126" s="253"/>
      <c r="AK126" s="253"/>
      <c r="AL126" s="253"/>
      <c r="AM126" s="253"/>
      <c r="AN126" s="253"/>
      <c r="AO126" s="253"/>
      <c r="AP126" s="253"/>
      <c r="AQ126" s="253"/>
      <c r="AR126" s="253"/>
      <c r="AS126" s="253"/>
    </row>
    <row r="127" spans="1:45" s="165" customFormat="1" ht="31.5" customHeight="1">
      <c r="A127" s="69" t="s">
        <v>1883</v>
      </c>
      <c r="B127" s="306" t="s">
        <v>1885</v>
      </c>
      <c r="C127" s="40"/>
      <c r="D127" s="40"/>
      <c r="E127" s="48"/>
      <c r="F127" s="306" t="s">
        <v>1797</v>
      </c>
      <c r="G127" s="48"/>
      <c r="H127" s="48"/>
      <c r="I127" s="48"/>
      <c r="J127" s="48"/>
      <c r="K127" s="48"/>
      <c r="L127" s="48"/>
      <c r="M127" s="48"/>
      <c r="N127" s="48"/>
      <c r="O127" s="48"/>
      <c r="P127" s="48"/>
      <c r="Q127" s="48"/>
      <c r="R127" s="48"/>
      <c r="S127" s="30"/>
      <c r="T127" s="30"/>
      <c r="U127" s="30"/>
      <c r="V127" s="23">
        <v>57</v>
      </c>
      <c r="W127" s="368">
        <f t="shared" si="7"/>
        <v>21.4605</v>
      </c>
      <c r="X127" s="368">
        <f t="shared" si="8"/>
        <v>21.4605</v>
      </c>
      <c r="Y127" s="368">
        <f t="shared" si="9"/>
        <v>25.763999999999999</v>
      </c>
      <c r="Z127" s="368">
        <f t="shared" si="10"/>
        <v>21.603000000000002</v>
      </c>
      <c r="AA127" s="368">
        <f t="shared" si="11"/>
        <v>28.443000000000001</v>
      </c>
      <c r="AB127" s="368">
        <f t="shared" si="12"/>
        <v>24.509999999999998</v>
      </c>
      <c r="AC127" s="368">
        <f t="shared" si="13"/>
        <v>27.530999999999999</v>
      </c>
      <c r="AD127" s="253"/>
      <c r="AE127" s="253"/>
      <c r="AF127" s="253"/>
      <c r="AG127" s="253"/>
      <c r="AH127" s="253"/>
      <c r="AI127" s="253"/>
      <c r="AJ127" s="253"/>
      <c r="AK127" s="253"/>
      <c r="AL127" s="253"/>
      <c r="AM127" s="253"/>
      <c r="AN127" s="253"/>
      <c r="AO127" s="253"/>
      <c r="AP127" s="253"/>
      <c r="AQ127" s="253"/>
      <c r="AR127" s="253"/>
      <c r="AS127" s="253"/>
    </row>
    <row r="128" spans="1:45">
      <c r="A128" s="71"/>
      <c r="B128" s="52"/>
      <c r="C128" s="150"/>
      <c r="D128" s="150"/>
      <c r="E128" s="104"/>
      <c r="F128" s="104"/>
      <c r="G128" s="104"/>
      <c r="H128" s="104"/>
      <c r="I128" s="104"/>
      <c r="J128" s="104"/>
      <c r="K128" s="104"/>
      <c r="L128" s="104"/>
      <c r="M128" s="104"/>
      <c r="N128" s="104"/>
      <c r="O128" s="104"/>
      <c r="P128" s="104"/>
      <c r="Q128" s="104"/>
      <c r="R128" s="104"/>
      <c r="S128" s="104"/>
      <c r="T128" s="104"/>
      <c r="U128" s="104"/>
      <c r="V128" s="28"/>
      <c r="W128" s="369"/>
      <c r="X128" s="369"/>
      <c r="Y128" s="369"/>
      <c r="Z128" s="369"/>
      <c r="AA128" s="369"/>
      <c r="AB128" s="369"/>
      <c r="AC128" s="369"/>
    </row>
    <row r="129" spans="1:29">
      <c r="A129" s="98" t="s">
        <v>197</v>
      </c>
      <c r="B129" s="98"/>
      <c r="C129" s="98"/>
      <c r="D129" s="98"/>
      <c r="E129" s="226"/>
      <c r="F129" s="226"/>
      <c r="G129" s="226"/>
      <c r="H129" s="226"/>
      <c r="I129" s="226"/>
      <c r="J129" s="226"/>
      <c r="K129" s="226"/>
      <c r="L129" s="226"/>
      <c r="M129" s="226"/>
      <c r="N129" s="226"/>
      <c r="O129" s="226"/>
      <c r="P129" s="226"/>
      <c r="Q129" s="226"/>
      <c r="R129" s="226"/>
      <c r="S129" s="226"/>
      <c r="T129" s="226"/>
      <c r="U129" s="226"/>
      <c r="V129" s="185"/>
      <c r="W129" s="185"/>
      <c r="X129" s="185"/>
      <c r="Y129" s="185"/>
      <c r="Z129" s="185"/>
      <c r="AA129" s="185"/>
      <c r="AB129" s="185"/>
      <c r="AC129" s="185"/>
    </row>
    <row r="130" spans="1:29" s="171" customFormat="1">
      <c r="A130" s="69" t="s">
        <v>1950</v>
      </c>
      <c r="B130" s="69" t="s">
        <v>338</v>
      </c>
      <c r="C130" s="40"/>
      <c r="D130" s="40"/>
      <c r="E130" s="48"/>
      <c r="F130" s="48"/>
      <c r="G130" s="48"/>
      <c r="H130" s="306" t="s">
        <v>1801</v>
      </c>
      <c r="I130" s="48"/>
      <c r="J130" s="48"/>
      <c r="K130" s="306" t="s">
        <v>1811</v>
      </c>
      <c r="L130" s="48"/>
      <c r="M130" s="48"/>
      <c r="N130" s="48"/>
      <c r="O130" s="48"/>
      <c r="P130" s="48"/>
      <c r="Q130" s="48"/>
      <c r="R130" s="48"/>
      <c r="S130" s="30"/>
      <c r="T130" s="30"/>
      <c r="U130" s="30"/>
      <c r="V130" s="23">
        <v>11</v>
      </c>
      <c r="W130" s="368">
        <f t="shared" si="7"/>
        <v>4.1414999999999997</v>
      </c>
      <c r="X130" s="368">
        <f t="shared" si="8"/>
        <v>4.1414999999999997</v>
      </c>
      <c r="Y130" s="368">
        <f t="shared" si="9"/>
        <v>4.9720000000000004</v>
      </c>
      <c r="Z130" s="368">
        <f t="shared" si="10"/>
        <v>4.1690000000000005</v>
      </c>
      <c r="AA130" s="368">
        <f t="shared" si="11"/>
        <v>5.4889999999999999</v>
      </c>
      <c r="AB130" s="368">
        <f t="shared" si="12"/>
        <v>4.7299999999999995</v>
      </c>
      <c r="AC130" s="368">
        <f t="shared" si="13"/>
        <v>5.3129999999999997</v>
      </c>
    </row>
    <row r="131" spans="1:29" s="171" customFormat="1">
      <c r="A131" s="69" t="s">
        <v>339</v>
      </c>
      <c r="B131" s="69" t="s">
        <v>340</v>
      </c>
      <c r="C131" s="150"/>
      <c r="D131" s="150"/>
      <c r="E131" s="104"/>
      <c r="F131" s="104"/>
      <c r="G131" s="48"/>
      <c r="H131" s="306" t="s">
        <v>1798</v>
      </c>
      <c r="I131" s="48"/>
      <c r="J131" s="48"/>
      <c r="K131" s="306" t="s">
        <v>1808</v>
      </c>
      <c r="L131" s="48"/>
      <c r="M131" s="104"/>
      <c r="N131" s="104"/>
      <c r="O131" s="104"/>
      <c r="P131" s="104"/>
      <c r="Q131" s="104"/>
      <c r="R131" s="104"/>
      <c r="S131" s="104"/>
      <c r="T131" s="104"/>
      <c r="U131" s="104"/>
      <c r="V131" s="23">
        <v>0</v>
      </c>
      <c r="W131" s="368">
        <f t="shared" si="7"/>
        <v>0</v>
      </c>
      <c r="X131" s="368">
        <f t="shared" si="8"/>
        <v>0</v>
      </c>
      <c r="Y131" s="368">
        <f t="shared" si="9"/>
        <v>0</v>
      </c>
      <c r="Z131" s="368">
        <f t="shared" si="10"/>
        <v>0</v>
      </c>
      <c r="AA131" s="368">
        <f t="shared" si="11"/>
        <v>0</v>
      </c>
      <c r="AB131" s="368">
        <f t="shared" si="12"/>
        <v>0</v>
      </c>
      <c r="AC131" s="368">
        <f t="shared" si="13"/>
        <v>0</v>
      </c>
    </row>
    <row r="132" spans="1:29" s="171" customFormat="1">
      <c r="A132" s="69" t="s">
        <v>2015</v>
      </c>
      <c r="B132" s="69" t="s">
        <v>341</v>
      </c>
      <c r="C132" s="40"/>
      <c r="D132" s="40"/>
      <c r="E132" s="48"/>
      <c r="F132" s="48"/>
      <c r="G132" s="48"/>
      <c r="H132" s="306" t="s">
        <v>1799</v>
      </c>
      <c r="I132" s="48"/>
      <c r="J132" s="48"/>
      <c r="K132" s="306" t="s">
        <v>1809</v>
      </c>
      <c r="L132" s="48"/>
      <c r="M132" s="48"/>
      <c r="N132" s="48"/>
      <c r="O132" s="48"/>
      <c r="P132" s="48"/>
      <c r="Q132" s="48"/>
      <c r="R132" s="48"/>
      <c r="S132" s="30"/>
      <c r="T132" s="30"/>
      <c r="U132" s="30"/>
      <c r="V132" s="23">
        <v>11</v>
      </c>
      <c r="W132" s="368">
        <f t="shared" si="7"/>
        <v>4.1414999999999997</v>
      </c>
      <c r="X132" s="368">
        <f t="shared" si="8"/>
        <v>4.1414999999999997</v>
      </c>
      <c r="Y132" s="368">
        <f t="shared" si="9"/>
        <v>4.9720000000000004</v>
      </c>
      <c r="Z132" s="368">
        <f t="shared" si="10"/>
        <v>4.1690000000000005</v>
      </c>
      <c r="AA132" s="368">
        <f t="shared" si="11"/>
        <v>5.4889999999999999</v>
      </c>
      <c r="AB132" s="368">
        <f t="shared" si="12"/>
        <v>4.7299999999999995</v>
      </c>
      <c r="AC132" s="368">
        <f t="shared" si="13"/>
        <v>5.3129999999999997</v>
      </c>
    </row>
    <row r="133" spans="1:29" s="171" customFormat="1">
      <c r="A133" s="69" t="s">
        <v>342</v>
      </c>
      <c r="B133" s="69" t="s">
        <v>343</v>
      </c>
      <c r="C133" s="40"/>
      <c r="D133" s="40"/>
      <c r="E133" s="48"/>
      <c r="F133" s="48"/>
      <c r="G133" s="48"/>
      <c r="H133" s="306" t="s">
        <v>1800</v>
      </c>
      <c r="I133" s="48"/>
      <c r="J133" s="48"/>
      <c r="K133" s="306" t="s">
        <v>1812</v>
      </c>
      <c r="L133" s="48"/>
      <c r="M133" s="48"/>
      <c r="N133" s="48"/>
      <c r="O133" s="48"/>
      <c r="P133" s="48"/>
      <c r="Q133" s="48"/>
      <c r="R133" s="48"/>
      <c r="S133" s="30"/>
      <c r="T133" s="30"/>
      <c r="U133" s="30"/>
      <c r="V133" s="23">
        <v>25</v>
      </c>
      <c r="W133" s="368">
        <f t="shared" si="7"/>
        <v>9.4124999999999996</v>
      </c>
      <c r="X133" s="368">
        <f t="shared" si="8"/>
        <v>9.4124999999999996</v>
      </c>
      <c r="Y133" s="368">
        <f t="shared" si="9"/>
        <v>11.3</v>
      </c>
      <c r="Z133" s="368">
        <f t="shared" si="10"/>
        <v>9.4749999999999996</v>
      </c>
      <c r="AA133" s="368">
        <f t="shared" si="11"/>
        <v>12.475</v>
      </c>
      <c r="AB133" s="368">
        <f t="shared" si="12"/>
        <v>10.75</v>
      </c>
      <c r="AC133" s="368">
        <f t="shared" si="13"/>
        <v>12.074999999999999</v>
      </c>
    </row>
    <row r="134" spans="1:29" s="171" customFormat="1" ht="27.6">
      <c r="A134" s="69" t="s">
        <v>1951</v>
      </c>
      <c r="B134" s="69" t="s">
        <v>344</v>
      </c>
      <c r="C134" s="40"/>
      <c r="D134" s="40"/>
      <c r="E134" s="48"/>
      <c r="F134" s="48"/>
      <c r="G134" s="48"/>
      <c r="H134" s="306" t="s">
        <v>1802</v>
      </c>
      <c r="I134" s="48"/>
      <c r="J134" s="48"/>
      <c r="K134" s="306" t="s">
        <v>1810</v>
      </c>
      <c r="L134" s="48"/>
      <c r="M134" s="48"/>
      <c r="N134" s="48"/>
      <c r="O134" s="48"/>
      <c r="P134" s="48"/>
      <c r="Q134" s="48"/>
      <c r="R134" s="48"/>
      <c r="S134" s="30"/>
      <c r="T134" s="30"/>
      <c r="U134" s="30"/>
      <c r="V134" s="23">
        <v>36</v>
      </c>
      <c r="W134" s="368">
        <f t="shared" si="7"/>
        <v>13.554</v>
      </c>
      <c r="X134" s="368">
        <f t="shared" si="8"/>
        <v>13.554</v>
      </c>
      <c r="Y134" s="368">
        <f t="shared" si="9"/>
        <v>16.272000000000002</v>
      </c>
      <c r="Z134" s="368">
        <f t="shared" si="10"/>
        <v>13.644</v>
      </c>
      <c r="AA134" s="368">
        <f t="shared" si="11"/>
        <v>17.963999999999999</v>
      </c>
      <c r="AB134" s="368">
        <f t="shared" si="12"/>
        <v>15.48</v>
      </c>
      <c r="AC134" s="368">
        <f t="shared" si="13"/>
        <v>17.387999999999998</v>
      </c>
    </row>
    <row r="135" spans="1:29" s="171" customFormat="1">
      <c r="A135" s="69" t="s">
        <v>345</v>
      </c>
      <c r="B135" s="69" t="s">
        <v>346</v>
      </c>
      <c r="C135" s="40"/>
      <c r="D135" s="40"/>
      <c r="E135" s="48"/>
      <c r="F135" s="48"/>
      <c r="G135" s="48"/>
      <c r="H135" s="306" t="s">
        <v>1804</v>
      </c>
      <c r="I135" s="48"/>
      <c r="J135" s="48"/>
      <c r="K135" s="306" t="s">
        <v>1814</v>
      </c>
      <c r="L135" s="48"/>
      <c r="M135" s="48"/>
      <c r="N135" s="48"/>
      <c r="O135" s="48"/>
      <c r="P135" s="48"/>
      <c r="Q135" s="48"/>
      <c r="R135" s="48"/>
      <c r="S135" s="30"/>
      <c r="T135" s="30"/>
      <c r="U135" s="30"/>
      <c r="V135" s="23">
        <v>71</v>
      </c>
      <c r="W135" s="368">
        <f t="shared" si="7"/>
        <v>26.7315</v>
      </c>
      <c r="X135" s="368">
        <f t="shared" si="8"/>
        <v>26.7315</v>
      </c>
      <c r="Y135" s="368">
        <f t="shared" si="9"/>
        <v>32.091999999999999</v>
      </c>
      <c r="Z135" s="368">
        <f t="shared" si="10"/>
        <v>26.908999999999999</v>
      </c>
      <c r="AA135" s="368">
        <f t="shared" si="11"/>
        <v>35.429000000000002</v>
      </c>
      <c r="AB135" s="368">
        <f t="shared" si="12"/>
        <v>30.53</v>
      </c>
      <c r="AC135" s="368">
        <f t="shared" si="13"/>
        <v>34.292999999999999</v>
      </c>
    </row>
    <row r="136" spans="1:29" s="171" customFormat="1">
      <c r="A136" s="69" t="s">
        <v>347</v>
      </c>
      <c r="B136" s="69" t="s">
        <v>348</v>
      </c>
      <c r="C136" s="150"/>
      <c r="D136" s="150"/>
      <c r="E136" s="104"/>
      <c r="F136" s="104"/>
      <c r="G136" s="48"/>
      <c r="H136" s="306" t="s">
        <v>1803</v>
      </c>
      <c r="I136" s="48"/>
      <c r="J136" s="48"/>
      <c r="K136" s="306" t="s">
        <v>1813</v>
      </c>
      <c r="L136" s="48"/>
      <c r="M136" s="104"/>
      <c r="N136" s="104"/>
      <c r="O136" s="104"/>
      <c r="P136" s="104"/>
      <c r="Q136" s="104"/>
      <c r="R136" s="104"/>
      <c r="S136" s="104"/>
      <c r="T136" s="104"/>
      <c r="U136" s="104"/>
      <c r="V136" s="23">
        <v>71</v>
      </c>
      <c r="W136" s="368">
        <f t="shared" si="7"/>
        <v>26.7315</v>
      </c>
      <c r="X136" s="368">
        <f t="shared" si="8"/>
        <v>26.7315</v>
      </c>
      <c r="Y136" s="368">
        <f t="shared" si="9"/>
        <v>32.091999999999999</v>
      </c>
      <c r="Z136" s="368">
        <f t="shared" si="10"/>
        <v>26.908999999999999</v>
      </c>
      <c r="AA136" s="368">
        <f t="shared" si="11"/>
        <v>35.429000000000002</v>
      </c>
      <c r="AB136" s="368">
        <f t="shared" si="12"/>
        <v>30.53</v>
      </c>
      <c r="AC136" s="368">
        <f t="shared" si="13"/>
        <v>34.292999999999999</v>
      </c>
    </row>
    <row r="137" spans="1:29" s="171" customFormat="1">
      <c r="A137" s="69" t="s">
        <v>1952</v>
      </c>
      <c r="B137" s="69" t="s">
        <v>349</v>
      </c>
      <c r="C137" s="40"/>
      <c r="D137" s="40"/>
      <c r="E137" s="48"/>
      <c r="F137" s="48"/>
      <c r="G137" s="48"/>
      <c r="H137" s="306" t="s">
        <v>1805</v>
      </c>
      <c r="I137" s="48"/>
      <c r="J137" s="48"/>
      <c r="K137" s="306" t="s">
        <v>1815</v>
      </c>
      <c r="L137" s="48"/>
      <c r="M137" s="48"/>
      <c r="N137" s="48"/>
      <c r="O137" s="48"/>
      <c r="P137" s="48"/>
      <c r="Q137" s="48"/>
      <c r="R137" s="48"/>
      <c r="S137" s="30"/>
      <c r="T137" s="30"/>
      <c r="U137" s="30"/>
      <c r="V137" s="23">
        <v>82</v>
      </c>
      <c r="W137" s="368">
        <f t="shared" si="7"/>
        <v>30.873000000000001</v>
      </c>
      <c r="X137" s="368">
        <f t="shared" si="8"/>
        <v>30.873000000000001</v>
      </c>
      <c r="Y137" s="368">
        <f t="shared" si="9"/>
        <v>37.064</v>
      </c>
      <c r="Z137" s="368">
        <f t="shared" si="10"/>
        <v>31.077999999999999</v>
      </c>
      <c r="AA137" s="368">
        <f t="shared" si="11"/>
        <v>40.917999999999999</v>
      </c>
      <c r="AB137" s="368">
        <f t="shared" si="12"/>
        <v>35.26</v>
      </c>
      <c r="AC137" s="368">
        <f t="shared" si="13"/>
        <v>39.606000000000002</v>
      </c>
    </row>
    <row r="138" spans="1:29" s="171" customFormat="1" ht="27.6">
      <c r="A138" s="69" t="s">
        <v>350</v>
      </c>
      <c r="B138" s="69" t="s">
        <v>351</v>
      </c>
      <c r="C138" s="150"/>
      <c r="D138" s="150"/>
      <c r="E138" s="104"/>
      <c r="F138" s="104"/>
      <c r="G138" s="48"/>
      <c r="H138" s="48"/>
      <c r="I138" s="48"/>
      <c r="J138" s="48"/>
      <c r="K138" s="48"/>
      <c r="L138" s="48"/>
      <c r="M138" s="104"/>
      <c r="N138" s="104"/>
      <c r="O138" s="104"/>
      <c r="P138" s="104"/>
      <c r="Q138" s="104"/>
      <c r="R138" s="104"/>
      <c r="S138" s="104"/>
      <c r="T138" s="104"/>
      <c r="U138" s="104"/>
      <c r="V138" s="23">
        <v>117</v>
      </c>
      <c r="W138" s="368">
        <f t="shared" si="7"/>
        <v>44.0505</v>
      </c>
      <c r="X138" s="368">
        <f t="shared" si="8"/>
        <v>44.0505</v>
      </c>
      <c r="Y138" s="368">
        <f t="shared" si="9"/>
        <v>52.884</v>
      </c>
      <c r="Z138" s="368">
        <f t="shared" si="10"/>
        <v>44.343000000000004</v>
      </c>
      <c r="AA138" s="368">
        <f t="shared" si="11"/>
        <v>58.383000000000003</v>
      </c>
      <c r="AB138" s="368">
        <f t="shared" si="12"/>
        <v>50.31</v>
      </c>
      <c r="AC138" s="368">
        <f t="shared" si="13"/>
        <v>56.510999999999996</v>
      </c>
    </row>
    <row r="139" spans="1:29" s="171" customFormat="1" ht="27.6">
      <c r="A139" s="69" t="s">
        <v>1953</v>
      </c>
      <c r="B139" s="69" t="s">
        <v>352</v>
      </c>
      <c r="C139" s="40"/>
      <c r="D139" s="40"/>
      <c r="E139" s="48"/>
      <c r="F139" s="48"/>
      <c r="G139" s="48"/>
      <c r="H139" s="48"/>
      <c r="I139" s="48"/>
      <c r="J139" s="48"/>
      <c r="K139" s="48"/>
      <c r="L139" s="48"/>
      <c r="M139" s="48"/>
      <c r="N139" s="48"/>
      <c r="O139" s="48"/>
      <c r="P139" s="48"/>
      <c r="Q139" s="48"/>
      <c r="R139" s="48"/>
      <c r="S139" s="30"/>
      <c r="T139" s="30"/>
      <c r="U139" s="30"/>
      <c r="V139" s="23">
        <v>117</v>
      </c>
      <c r="W139" s="368">
        <f t="shared" si="7"/>
        <v>44.0505</v>
      </c>
      <c r="X139" s="368">
        <f t="shared" si="8"/>
        <v>44.0505</v>
      </c>
      <c r="Y139" s="368">
        <f t="shared" si="9"/>
        <v>52.884</v>
      </c>
      <c r="Z139" s="368">
        <f t="shared" si="10"/>
        <v>44.343000000000004</v>
      </c>
      <c r="AA139" s="368">
        <f t="shared" si="11"/>
        <v>58.383000000000003</v>
      </c>
      <c r="AB139" s="368">
        <f t="shared" si="12"/>
        <v>50.31</v>
      </c>
      <c r="AC139" s="368">
        <f t="shared" si="13"/>
        <v>56.510999999999996</v>
      </c>
    </row>
    <row r="140" spans="1:29" s="171" customFormat="1" ht="27.6">
      <c r="A140" s="69" t="s">
        <v>1886</v>
      </c>
      <c r="B140" s="236" t="s">
        <v>1889</v>
      </c>
      <c r="C140" s="40"/>
      <c r="D140" s="40"/>
      <c r="E140" s="48"/>
      <c r="F140" s="48"/>
      <c r="G140" s="48"/>
      <c r="H140" s="306" t="s">
        <v>1806</v>
      </c>
      <c r="I140" s="48"/>
      <c r="J140" s="48"/>
      <c r="K140" s="306" t="s">
        <v>1816</v>
      </c>
      <c r="L140" s="48"/>
      <c r="M140" s="48"/>
      <c r="N140" s="48"/>
      <c r="O140" s="48"/>
      <c r="P140" s="48"/>
      <c r="Q140" s="48"/>
      <c r="R140" s="48"/>
      <c r="S140" s="30"/>
      <c r="T140" s="30"/>
      <c r="U140" s="30"/>
      <c r="V140" s="23">
        <v>96</v>
      </c>
      <c r="W140" s="368">
        <f t="shared" si="7"/>
        <v>36.143999999999998</v>
      </c>
      <c r="X140" s="368">
        <f t="shared" si="8"/>
        <v>36.143999999999998</v>
      </c>
      <c r="Y140" s="368">
        <f t="shared" si="9"/>
        <v>43.392000000000003</v>
      </c>
      <c r="Z140" s="368">
        <f t="shared" si="10"/>
        <v>36.384</v>
      </c>
      <c r="AA140" s="368">
        <f t="shared" si="11"/>
        <v>47.903999999999996</v>
      </c>
      <c r="AB140" s="368">
        <f t="shared" si="12"/>
        <v>41.28</v>
      </c>
      <c r="AC140" s="368">
        <f t="shared" si="13"/>
        <v>46.367999999999995</v>
      </c>
    </row>
    <row r="141" spans="1:29" s="171" customFormat="1" ht="27.6">
      <c r="A141" s="69" t="s">
        <v>1954</v>
      </c>
      <c r="B141" s="306" t="s">
        <v>1890</v>
      </c>
      <c r="C141" s="40"/>
      <c r="D141" s="40"/>
      <c r="E141" s="48"/>
      <c r="F141" s="48"/>
      <c r="G141" s="48"/>
      <c r="H141" s="306" t="s">
        <v>1807</v>
      </c>
      <c r="I141" s="48"/>
      <c r="J141" s="48"/>
      <c r="K141" s="306" t="s">
        <v>1817</v>
      </c>
      <c r="L141" s="48"/>
      <c r="M141" s="48"/>
      <c r="N141" s="48"/>
      <c r="O141" s="48"/>
      <c r="P141" s="48"/>
      <c r="Q141" s="48"/>
      <c r="R141" s="48"/>
      <c r="S141" s="30"/>
      <c r="T141" s="30"/>
      <c r="U141" s="30"/>
      <c r="V141" s="23">
        <v>107</v>
      </c>
      <c r="W141" s="368">
        <f t="shared" ref="W141:W203" si="14">V141*$W$9</f>
        <v>40.285499999999999</v>
      </c>
      <c r="X141" s="368">
        <f t="shared" ref="X141:X203" si="15">V141*$X$9</f>
        <v>40.285499999999999</v>
      </c>
      <c r="Y141" s="368">
        <f t="shared" ref="Y141:Y203" si="16">V141*$Y$9</f>
        <v>48.364000000000004</v>
      </c>
      <c r="Z141" s="368">
        <f t="shared" ref="Z141:Z203" si="17">V141*$Z$9</f>
        <v>40.552999999999997</v>
      </c>
      <c r="AA141" s="368">
        <f t="shared" ref="AA141:AA203" si="18">V141*$AA$9</f>
        <v>53.393000000000001</v>
      </c>
      <c r="AB141" s="368">
        <f t="shared" ref="AB141:AB203" si="19">V141*$AB$9</f>
        <v>46.01</v>
      </c>
      <c r="AC141" s="368">
        <f t="shared" ref="AC141:AC203" si="20">V141*$AC$9</f>
        <v>51.680999999999997</v>
      </c>
    </row>
    <row r="142" spans="1:29">
      <c r="A142" s="69"/>
      <c r="B142" s="69"/>
      <c r="C142" s="40"/>
      <c r="D142" s="40"/>
      <c r="E142" s="48"/>
      <c r="F142" s="48"/>
      <c r="G142" s="48"/>
      <c r="H142" s="48"/>
      <c r="I142" s="48"/>
      <c r="J142" s="48"/>
      <c r="K142" s="48"/>
      <c r="L142" s="48"/>
      <c r="M142" s="48"/>
      <c r="N142" s="48"/>
      <c r="O142" s="48"/>
      <c r="P142" s="48"/>
      <c r="Q142" s="48"/>
      <c r="R142" s="48"/>
      <c r="S142" s="30"/>
      <c r="T142" s="30"/>
      <c r="U142" s="30"/>
      <c r="V142" s="28"/>
      <c r="W142" s="369"/>
      <c r="X142" s="369"/>
      <c r="Y142" s="369"/>
      <c r="Z142" s="369"/>
      <c r="AA142" s="369"/>
      <c r="AB142" s="369"/>
      <c r="AC142" s="369"/>
    </row>
    <row r="143" spans="1:29">
      <c r="A143" s="98" t="s">
        <v>353</v>
      </c>
      <c r="B143" s="98"/>
      <c r="C143" s="98"/>
      <c r="D143" s="98"/>
      <c r="E143" s="226"/>
      <c r="F143" s="226"/>
      <c r="G143" s="226"/>
      <c r="H143" s="226"/>
      <c r="I143" s="226"/>
      <c r="J143" s="226"/>
      <c r="K143" s="226"/>
      <c r="L143" s="226"/>
      <c r="M143" s="226"/>
      <c r="N143" s="226"/>
      <c r="O143" s="226"/>
      <c r="P143" s="226"/>
      <c r="Q143" s="226"/>
      <c r="R143" s="226"/>
      <c r="S143" s="226"/>
      <c r="T143" s="226"/>
      <c r="U143" s="226"/>
      <c r="V143" s="182"/>
      <c r="W143" s="182"/>
      <c r="X143" s="182"/>
      <c r="Y143" s="182"/>
      <c r="Z143" s="182"/>
      <c r="AA143" s="182"/>
      <c r="AB143" s="182"/>
      <c r="AC143" s="182"/>
    </row>
    <row r="144" spans="1:29" s="177" customFormat="1" ht="14.4">
      <c r="A144" s="69" t="s">
        <v>2002</v>
      </c>
      <c r="B144" s="69" t="s">
        <v>354</v>
      </c>
      <c r="C144" s="40"/>
      <c r="D144" s="40"/>
      <c r="E144" s="48"/>
      <c r="F144" s="48"/>
      <c r="G144" s="48"/>
      <c r="H144" s="48"/>
      <c r="I144" s="48"/>
      <c r="J144" s="48"/>
      <c r="K144" s="48"/>
      <c r="L144" s="48"/>
      <c r="M144" s="48"/>
      <c r="N144" s="339" t="s">
        <v>1820</v>
      </c>
      <c r="O144" s="48"/>
      <c r="P144" s="48"/>
      <c r="Q144" s="48"/>
      <c r="R144" s="48"/>
      <c r="S144" s="48"/>
      <c r="T144" s="48"/>
      <c r="U144" s="48"/>
      <c r="V144" s="23">
        <v>11</v>
      </c>
      <c r="W144" s="368">
        <f t="shared" si="14"/>
        <v>4.1414999999999997</v>
      </c>
      <c r="X144" s="368">
        <f t="shared" si="15"/>
        <v>4.1414999999999997</v>
      </c>
      <c r="Y144" s="368">
        <f t="shared" si="16"/>
        <v>4.9720000000000004</v>
      </c>
      <c r="Z144" s="368">
        <f t="shared" si="17"/>
        <v>4.1690000000000005</v>
      </c>
      <c r="AA144" s="368">
        <f t="shared" si="18"/>
        <v>5.4889999999999999</v>
      </c>
      <c r="AB144" s="368">
        <f t="shared" si="19"/>
        <v>4.7299999999999995</v>
      </c>
      <c r="AC144" s="368">
        <f t="shared" si="20"/>
        <v>5.3129999999999997</v>
      </c>
    </row>
    <row r="145" spans="1:45" s="177" customFormat="1" ht="14.4">
      <c r="A145" s="69" t="s">
        <v>355</v>
      </c>
      <c r="B145" s="69" t="s">
        <v>356</v>
      </c>
      <c r="C145" s="40"/>
      <c r="D145" s="40"/>
      <c r="E145" s="48"/>
      <c r="F145" s="48"/>
      <c r="G145" s="48"/>
      <c r="H145" s="48"/>
      <c r="I145" s="48"/>
      <c r="J145" s="48"/>
      <c r="K145" s="48"/>
      <c r="L145" s="48"/>
      <c r="M145" s="48"/>
      <c r="N145" s="339" t="s">
        <v>1818</v>
      </c>
      <c r="O145" s="48"/>
      <c r="P145" s="48"/>
      <c r="Q145" s="339" t="s">
        <v>1827</v>
      </c>
      <c r="R145" s="48"/>
      <c r="S145" s="48"/>
      <c r="T145" s="48"/>
      <c r="U145" s="48"/>
      <c r="V145" s="23">
        <v>0</v>
      </c>
      <c r="W145" s="368">
        <f t="shared" si="14"/>
        <v>0</v>
      </c>
      <c r="X145" s="368">
        <f t="shared" si="15"/>
        <v>0</v>
      </c>
      <c r="Y145" s="368">
        <f t="shared" si="16"/>
        <v>0</v>
      </c>
      <c r="Z145" s="368">
        <f t="shared" si="17"/>
        <v>0</v>
      </c>
      <c r="AA145" s="368">
        <f t="shared" si="18"/>
        <v>0</v>
      </c>
      <c r="AB145" s="368">
        <f t="shared" si="19"/>
        <v>0</v>
      </c>
      <c r="AC145" s="368">
        <f t="shared" si="20"/>
        <v>0</v>
      </c>
    </row>
    <row r="146" spans="1:45" s="177" customFormat="1" ht="14.4">
      <c r="A146" s="69" t="s">
        <v>1955</v>
      </c>
      <c r="B146" s="69" t="s">
        <v>357</v>
      </c>
      <c r="C146" s="40"/>
      <c r="D146" s="40"/>
      <c r="E146" s="48"/>
      <c r="F146" s="48"/>
      <c r="G146" s="48"/>
      <c r="H146" s="48"/>
      <c r="I146" s="48"/>
      <c r="J146" s="48"/>
      <c r="K146" s="48"/>
      <c r="L146" s="48"/>
      <c r="M146" s="48"/>
      <c r="N146" s="339" t="s">
        <v>1821</v>
      </c>
      <c r="O146" s="48"/>
      <c r="P146" s="48"/>
      <c r="Q146" s="339" t="s">
        <v>1829</v>
      </c>
      <c r="R146" s="48"/>
      <c r="S146" s="48"/>
      <c r="T146" s="48"/>
      <c r="U146" s="48"/>
      <c r="V146" s="23">
        <v>11</v>
      </c>
      <c r="W146" s="368">
        <f t="shared" si="14"/>
        <v>4.1414999999999997</v>
      </c>
      <c r="X146" s="368">
        <f t="shared" si="15"/>
        <v>4.1414999999999997</v>
      </c>
      <c r="Y146" s="368">
        <f t="shared" si="16"/>
        <v>4.9720000000000004</v>
      </c>
      <c r="Z146" s="368">
        <f t="shared" si="17"/>
        <v>4.1690000000000005</v>
      </c>
      <c r="AA146" s="368">
        <f t="shared" si="18"/>
        <v>5.4889999999999999</v>
      </c>
      <c r="AB146" s="368">
        <f t="shared" si="19"/>
        <v>4.7299999999999995</v>
      </c>
      <c r="AC146" s="368">
        <f t="shared" si="20"/>
        <v>5.3129999999999997</v>
      </c>
    </row>
    <row r="147" spans="1:45" s="177" customFormat="1" ht="14.4">
      <c r="A147" s="69" t="s">
        <v>358</v>
      </c>
      <c r="B147" s="69" t="s">
        <v>359</v>
      </c>
      <c r="C147" s="40"/>
      <c r="D147" s="40"/>
      <c r="E147" s="48"/>
      <c r="F147" s="48"/>
      <c r="G147" s="48"/>
      <c r="H147" s="48"/>
      <c r="I147" s="48"/>
      <c r="J147" s="48"/>
      <c r="K147" s="48"/>
      <c r="L147" s="48"/>
      <c r="M147" s="48"/>
      <c r="N147" s="339" t="s">
        <v>1819</v>
      </c>
      <c r="O147" s="48"/>
      <c r="P147" s="48"/>
      <c r="Q147" s="339" t="s">
        <v>1828</v>
      </c>
      <c r="R147" s="48"/>
      <c r="S147" s="48"/>
      <c r="T147" s="48"/>
      <c r="U147" s="48"/>
      <c r="V147" s="23">
        <v>25</v>
      </c>
      <c r="W147" s="368">
        <f t="shared" si="14"/>
        <v>9.4124999999999996</v>
      </c>
      <c r="X147" s="368">
        <f t="shared" si="15"/>
        <v>9.4124999999999996</v>
      </c>
      <c r="Y147" s="368">
        <f t="shared" si="16"/>
        <v>11.3</v>
      </c>
      <c r="Z147" s="368">
        <f t="shared" si="17"/>
        <v>9.4749999999999996</v>
      </c>
      <c r="AA147" s="368">
        <f t="shared" si="18"/>
        <v>12.475</v>
      </c>
      <c r="AB147" s="368">
        <f t="shared" si="19"/>
        <v>10.75</v>
      </c>
      <c r="AC147" s="368">
        <f t="shared" si="20"/>
        <v>12.074999999999999</v>
      </c>
    </row>
    <row r="148" spans="1:45" s="177" customFormat="1" ht="27.6">
      <c r="A148" s="69" t="s">
        <v>1956</v>
      </c>
      <c r="B148" s="69" t="s">
        <v>360</v>
      </c>
      <c r="C148" s="40"/>
      <c r="D148" s="40"/>
      <c r="E148" s="48"/>
      <c r="F148" s="48"/>
      <c r="G148" s="48"/>
      <c r="H148" s="48"/>
      <c r="I148" s="48"/>
      <c r="J148" s="48"/>
      <c r="K148" s="48"/>
      <c r="L148" s="48"/>
      <c r="M148" s="48"/>
      <c r="N148" s="339" t="s">
        <v>1822</v>
      </c>
      <c r="O148" s="48"/>
      <c r="P148" s="48"/>
      <c r="Q148" s="339" t="s">
        <v>1830</v>
      </c>
      <c r="R148" s="48"/>
      <c r="S148" s="48"/>
      <c r="T148" s="48"/>
      <c r="U148" s="48"/>
      <c r="V148" s="23">
        <v>30</v>
      </c>
      <c r="W148" s="368">
        <f t="shared" si="14"/>
        <v>11.295</v>
      </c>
      <c r="X148" s="368">
        <f t="shared" si="15"/>
        <v>11.295</v>
      </c>
      <c r="Y148" s="368">
        <f t="shared" si="16"/>
        <v>13.56</v>
      </c>
      <c r="Z148" s="368">
        <f t="shared" si="17"/>
        <v>11.370000000000001</v>
      </c>
      <c r="AA148" s="368">
        <f t="shared" si="18"/>
        <v>14.97</v>
      </c>
      <c r="AB148" s="368">
        <f t="shared" si="19"/>
        <v>12.9</v>
      </c>
      <c r="AC148" s="368">
        <f t="shared" si="20"/>
        <v>14.49</v>
      </c>
    </row>
    <row r="149" spans="1:45" s="177" customFormat="1" ht="14.4">
      <c r="A149" s="69" t="s">
        <v>361</v>
      </c>
      <c r="B149" s="69" t="s">
        <v>362</v>
      </c>
      <c r="C149" s="40"/>
      <c r="D149" s="40"/>
      <c r="E149" s="48"/>
      <c r="F149" s="48"/>
      <c r="G149" s="48"/>
      <c r="H149" s="48"/>
      <c r="I149" s="48"/>
      <c r="J149" s="48"/>
      <c r="K149" s="48"/>
      <c r="L149" s="48"/>
      <c r="M149" s="48"/>
      <c r="N149" s="339" t="s">
        <v>1823</v>
      </c>
      <c r="O149" s="48"/>
      <c r="P149" s="48"/>
      <c r="Q149" s="339" t="s">
        <v>1831</v>
      </c>
      <c r="R149" s="48"/>
      <c r="S149" s="48"/>
      <c r="T149" s="48"/>
      <c r="U149" s="48"/>
      <c r="V149" s="23">
        <v>71</v>
      </c>
      <c r="W149" s="368">
        <f t="shared" si="14"/>
        <v>26.7315</v>
      </c>
      <c r="X149" s="368">
        <f t="shared" si="15"/>
        <v>26.7315</v>
      </c>
      <c r="Y149" s="368">
        <f t="shared" si="16"/>
        <v>32.091999999999999</v>
      </c>
      <c r="Z149" s="368">
        <f t="shared" si="17"/>
        <v>26.908999999999999</v>
      </c>
      <c r="AA149" s="368">
        <f t="shared" si="18"/>
        <v>35.429000000000002</v>
      </c>
      <c r="AB149" s="368">
        <f t="shared" si="19"/>
        <v>30.53</v>
      </c>
      <c r="AC149" s="368">
        <f t="shared" si="20"/>
        <v>34.292999999999999</v>
      </c>
    </row>
    <row r="150" spans="1:45" s="177" customFormat="1" ht="14.4">
      <c r="A150" s="69" t="s">
        <v>1957</v>
      </c>
      <c r="B150" s="69" t="s">
        <v>363</v>
      </c>
      <c r="C150" s="40"/>
      <c r="D150" s="40"/>
      <c r="E150" s="48"/>
      <c r="F150" s="48"/>
      <c r="G150" s="48"/>
      <c r="H150" s="48"/>
      <c r="I150" s="48"/>
      <c r="J150" s="48"/>
      <c r="K150" s="48"/>
      <c r="L150" s="48"/>
      <c r="M150" s="48"/>
      <c r="N150" s="339" t="s">
        <v>1824</v>
      </c>
      <c r="O150" s="48"/>
      <c r="P150" s="48"/>
      <c r="Q150" s="339" t="s">
        <v>1832</v>
      </c>
      <c r="R150" s="48"/>
      <c r="S150" s="48"/>
      <c r="T150" s="48"/>
      <c r="U150" s="48"/>
      <c r="V150" s="23">
        <v>82</v>
      </c>
      <c r="W150" s="368">
        <f t="shared" si="14"/>
        <v>30.873000000000001</v>
      </c>
      <c r="X150" s="368">
        <f t="shared" si="15"/>
        <v>30.873000000000001</v>
      </c>
      <c r="Y150" s="368">
        <f t="shared" si="16"/>
        <v>37.064</v>
      </c>
      <c r="Z150" s="368">
        <f t="shared" si="17"/>
        <v>31.077999999999999</v>
      </c>
      <c r="AA150" s="368">
        <f t="shared" si="18"/>
        <v>40.917999999999999</v>
      </c>
      <c r="AB150" s="368">
        <f t="shared" si="19"/>
        <v>35.26</v>
      </c>
      <c r="AC150" s="368">
        <f t="shared" si="20"/>
        <v>39.606000000000002</v>
      </c>
    </row>
    <row r="151" spans="1:45" s="177" customFormat="1" ht="27.6">
      <c r="A151" s="69" t="s">
        <v>364</v>
      </c>
      <c r="B151" s="69" t="s">
        <v>365</v>
      </c>
      <c r="C151" s="40"/>
      <c r="D151" s="40"/>
      <c r="E151" s="48"/>
      <c r="F151" s="48"/>
      <c r="G151" s="48"/>
      <c r="H151" s="48"/>
      <c r="I151" s="48"/>
      <c r="J151" s="48"/>
      <c r="K151" s="48"/>
      <c r="L151" s="48"/>
      <c r="M151" s="48"/>
      <c r="N151" s="48"/>
      <c r="O151" s="48"/>
      <c r="P151" s="48"/>
      <c r="Q151" s="48"/>
      <c r="R151" s="48"/>
      <c r="S151" s="48"/>
      <c r="T151" s="48"/>
      <c r="U151" s="48"/>
      <c r="V151" s="23">
        <v>151</v>
      </c>
      <c r="W151" s="368">
        <f t="shared" si="14"/>
        <v>56.851500000000001</v>
      </c>
      <c r="X151" s="368">
        <f t="shared" si="15"/>
        <v>56.851500000000001</v>
      </c>
      <c r="Y151" s="368">
        <f t="shared" si="16"/>
        <v>68.251999999999995</v>
      </c>
      <c r="Z151" s="368">
        <f t="shared" si="17"/>
        <v>57.228999999999999</v>
      </c>
      <c r="AA151" s="368">
        <f t="shared" si="18"/>
        <v>75.349000000000004</v>
      </c>
      <c r="AB151" s="368">
        <f t="shared" si="19"/>
        <v>64.929999999999993</v>
      </c>
      <c r="AC151" s="368">
        <f t="shared" si="20"/>
        <v>72.932999999999993</v>
      </c>
    </row>
    <row r="152" spans="1:45" s="177" customFormat="1" ht="27.6">
      <c r="A152" s="69" t="s">
        <v>1958</v>
      </c>
      <c r="B152" s="69" t="s">
        <v>366</v>
      </c>
      <c r="C152" s="40"/>
      <c r="D152" s="40"/>
      <c r="E152" s="48"/>
      <c r="F152" s="48"/>
      <c r="G152" s="48"/>
      <c r="H152" s="48"/>
      <c r="I152" s="48"/>
      <c r="J152" s="48"/>
      <c r="K152" s="48"/>
      <c r="L152" s="48"/>
      <c r="M152" s="48"/>
      <c r="N152" s="48"/>
      <c r="O152" s="48"/>
      <c r="P152" s="48"/>
      <c r="Q152" s="48"/>
      <c r="R152" s="48"/>
      <c r="S152" s="48"/>
      <c r="T152" s="48"/>
      <c r="U152" s="48"/>
      <c r="V152" s="23">
        <v>151</v>
      </c>
      <c r="W152" s="368">
        <f t="shared" si="14"/>
        <v>56.851500000000001</v>
      </c>
      <c r="X152" s="368">
        <f t="shared" si="15"/>
        <v>56.851500000000001</v>
      </c>
      <c r="Y152" s="368">
        <f t="shared" si="16"/>
        <v>68.251999999999995</v>
      </c>
      <c r="Z152" s="368">
        <f t="shared" si="17"/>
        <v>57.228999999999999</v>
      </c>
      <c r="AA152" s="368">
        <f t="shared" si="18"/>
        <v>75.349000000000004</v>
      </c>
      <c r="AB152" s="368">
        <f t="shared" si="19"/>
        <v>64.929999999999993</v>
      </c>
      <c r="AC152" s="368">
        <f t="shared" si="20"/>
        <v>72.932999999999993</v>
      </c>
    </row>
    <row r="153" spans="1:45" s="177" customFormat="1" ht="27.6">
      <c r="A153" s="69" t="s">
        <v>1887</v>
      </c>
      <c r="B153" s="236" t="s">
        <v>1888</v>
      </c>
      <c r="C153" s="150"/>
      <c r="D153" s="150"/>
      <c r="E153" s="104"/>
      <c r="F153" s="104"/>
      <c r="G153" s="104"/>
      <c r="H153" s="104"/>
      <c r="I153" s="104"/>
      <c r="J153" s="104"/>
      <c r="K153" s="104"/>
      <c r="L153" s="104"/>
      <c r="M153" s="104"/>
      <c r="N153" s="339" t="s">
        <v>1825</v>
      </c>
      <c r="O153" s="48"/>
      <c r="P153" s="104"/>
      <c r="Q153" s="339" t="s">
        <v>1833</v>
      </c>
      <c r="R153" s="104"/>
      <c r="S153" s="104"/>
      <c r="T153" s="104"/>
      <c r="U153" s="104"/>
      <c r="V153" s="23">
        <v>125</v>
      </c>
      <c r="W153" s="368">
        <f t="shared" si="14"/>
        <v>47.0625</v>
      </c>
      <c r="X153" s="368">
        <f t="shared" si="15"/>
        <v>47.0625</v>
      </c>
      <c r="Y153" s="368">
        <f t="shared" si="16"/>
        <v>56.5</v>
      </c>
      <c r="Z153" s="368">
        <f t="shared" si="17"/>
        <v>47.375</v>
      </c>
      <c r="AA153" s="368">
        <f t="shared" si="18"/>
        <v>62.375</v>
      </c>
      <c r="AB153" s="368">
        <f t="shared" si="19"/>
        <v>53.75</v>
      </c>
      <c r="AC153" s="368">
        <f t="shared" si="20"/>
        <v>60.375</v>
      </c>
    </row>
    <row r="154" spans="1:45" s="177" customFormat="1" ht="27.6">
      <c r="A154" s="69" t="s">
        <v>1959</v>
      </c>
      <c r="B154" s="306" t="s">
        <v>1891</v>
      </c>
      <c r="C154" s="150"/>
      <c r="D154" s="150"/>
      <c r="E154" s="104"/>
      <c r="F154" s="104"/>
      <c r="G154" s="104"/>
      <c r="H154" s="104"/>
      <c r="I154" s="104"/>
      <c r="J154" s="104"/>
      <c r="K154" s="104"/>
      <c r="L154" s="104"/>
      <c r="M154" s="104"/>
      <c r="N154" s="339" t="s">
        <v>1826</v>
      </c>
      <c r="O154" s="48"/>
      <c r="P154" s="104"/>
      <c r="Q154" s="339" t="s">
        <v>1834</v>
      </c>
      <c r="R154" s="104"/>
      <c r="S154" s="104"/>
      <c r="T154" s="104"/>
      <c r="U154" s="104"/>
      <c r="V154" s="23">
        <v>136</v>
      </c>
      <c r="W154" s="368">
        <f t="shared" si="14"/>
        <v>51.204000000000001</v>
      </c>
      <c r="X154" s="368">
        <f t="shared" si="15"/>
        <v>51.204000000000001</v>
      </c>
      <c r="Y154" s="368">
        <f t="shared" si="16"/>
        <v>61.472000000000001</v>
      </c>
      <c r="Z154" s="368">
        <f t="shared" si="17"/>
        <v>51.543999999999997</v>
      </c>
      <c r="AA154" s="368">
        <f t="shared" si="18"/>
        <v>67.864000000000004</v>
      </c>
      <c r="AB154" s="368">
        <f t="shared" si="19"/>
        <v>58.48</v>
      </c>
      <c r="AC154" s="368">
        <f t="shared" si="20"/>
        <v>65.688000000000002</v>
      </c>
    </row>
    <row r="155" spans="1:45" s="177" customFormat="1">
      <c r="A155" s="71"/>
      <c r="B155" s="52"/>
      <c r="C155" s="150"/>
      <c r="D155" s="150"/>
      <c r="E155" s="104"/>
      <c r="F155" s="104"/>
      <c r="G155" s="104"/>
      <c r="H155" s="104"/>
      <c r="I155" s="104"/>
      <c r="J155" s="104"/>
      <c r="K155" s="104"/>
      <c r="L155" s="104"/>
      <c r="M155" s="104"/>
      <c r="N155" s="48"/>
      <c r="O155" s="48"/>
      <c r="P155" s="104"/>
      <c r="Q155" s="104"/>
      <c r="R155" s="104"/>
      <c r="S155" s="104"/>
      <c r="T155" s="104"/>
      <c r="U155" s="104"/>
      <c r="V155" s="28"/>
      <c r="W155" s="369"/>
      <c r="X155" s="369"/>
      <c r="Y155" s="369"/>
      <c r="Z155" s="369"/>
      <c r="AA155" s="369"/>
      <c r="AB155" s="369"/>
      <c r="AC155" s="369"/>
      <c r="AD155" s="172"/>
      <c r="AE155" s="172"/>
      <c r="AF155" s="172"/>
      <c r="AG155" s="172"/>
      <c r="AH155" s="172"/>
      <c r="AI155" s="172"/>
      <c r="AJ155" s="172"/>
      <c r="AK155" s="172"/>
      <c r="AL155" s="172"/>
      <c r="AM155" s="172"/>
      <c r="AN155" s="172"/>
      <c r="AO155" s="172"/>
      <c r="AP155" s="172"/>
      <c r="AQ155" s="172"/>
      <c r="AR155" s="172"/>
      <c r="AS155" s="172"/>
    </row>
    <row r="156" spans="1:45" s="177" customFormat="1">
      <c r="A156" s="98" t="s">
        <v>228</v>
      </c>
      <c r="B156" s="98"/>
      <c r="C156" s="98"/>
      <c r="D156" s="98"/>
      <c r="E156" s="226"/>
      <c r="F156" s="226"/>
      <c r="G156" s="226"/>
      <c r="H156" s="226"/>
      <c r="I156" s="226"/>
      <c r="J156" s="226"/>
      <c r="K156" s="226"/>
      <c r="L156" s="226"/>
      <c r="M156" s="226"/>
      <c r="N156" s="226"/>
      <c r="O156" s="226"/>
      <c r="P156" s="226"/>
      <c r="Q156" s="226"/>
      <c r="R156" s="226"/>
      <c r="S156" s="226"/>
      <c r="T156" s="226"/>
      <c r="U156" s="226"/>
      <c r="V156" s="185"/>
      <c r="W156" s="185"/>
      <c r="X156" s="185"/>
      <c r="Y156" s="185"/>
      <c r="Z156" s="185"/>
      <c r="AA156" s="185"/>
      <c r="AB156" s="185"/>
      <c r="AC156" s="185"/>
      <c r="AD156" s="172"/>
      <c r="AE156" s="172"/>
      <c r="AF156" s="172"/>
      <c r="AG156" s="172"/>
      <c r="AH156" s="172"/>
      <c r="AI156" s="172"/>
      <c r="AJ156" s="172"/>
      <c r="AK156" s="172"/>
      <c r="AL156" s="172"/>
      <c r="AM156" s="172"/>
      <c r="AN156" s="172"/>
      <c r="AO156" s="172"/>
      <c r="AP156" s="172"/>
      <c r="AQ156" s="172"/>
      <c r="AR156" s="172"/>
      <c r="AS156" s="172"/>
    </row>
    <row r="157" spans="1:45" s="177" customFormat="1">
      <c r="A157" s="69" t="s">
        <v>229</v>
      </c>
      <c r="B157" s="69" t="s">
        <v>367</v>
      </c>
      <c r="C157" s="40"/>
      <c r="D157" s="40"/>
      <c r="E157" s="48"/>
      <c r="F157" s="306" t="s">
        <v>1734</v>
      </c>
      <c r="G157" s="48"/>
      <c r="H157" s="306" t="s">
        <v>1736</v>
      </c>
      <c r="I157" s="48"/>
      <c r="J157" s="48"/>
      <c r="K157" s="306" t="s">
        <v>1738</v>
      </c>
      <c r="L157" s="48"/>
      <c r="M157" s="48"/>
      <c r="N157" s="306" t="s">
        <v>1740</v>
      </c>
      <c r="O157" s="48"/>
      <c r="P157" s="48"/>
      <c r="Q157" s="306" t="s">
        <v>1742</v>
      </c>
      <c r="R157" s="48"/>
      <c r="S157" s="48"/>
      <c r="T157" s="48"/>
      <c r="U157" s="48"/>
      <c r="V157" s="23">
        <v>30</v>
      </c>
      <c r="W157" s="368">
        <f t="shared" si="14"/>
        <v>11.295</v>
      </c>
      <c r="X157" s="368">
        <f t="shared" si="15"/>
        <v>11.295</v>
      </c>
      <c r="Y157" s="368">
        <f t="shared" si="16"/>
        <v>13.56</v>
      </c>
      <c r="Z157" s="368">
        <f t="shared" si="17"/>
        <v>11.370000000000001</v>
      </c>
      <c r="AA157" s="368">
        <f t="shared" si="18"/>
        <v>14.97</v>
      </c>
      <c r="AB157" s="368">
        <f t="shared" si="19"/>
        <v>12.9</v>
      </c>
      <c r="AC157" s="368">
        <f t="shared" si="20"/>
        <v>14.49</v>
      </c>
    </row>
    <row r="158" spans="1:45">
      <c r="A158" s="69" t="s">
        <v>236</v>
      </c>
      <c r="B158" s="69" t="s">
        <v>368</v>
      </c>
      <c r="C158" s="40"/>
      <c r="D158" s="40"/>
      <c r="E158" s="48"/>
      <c r="F158" s="306" t="s">
        <v>1735</v>
      </c>
      <c r="G158" s="48"/>
      <c r="H158" s="306" t="s">
        <v>1737</v>
      </c>
      <c r="I158" s="48"/>
      <c r="J158" s="48"/>
      <c r="K158" s="306" t="s">
        <v>1739</v>
      </c>
      <c r="L158" s="48"/>
      <c r="M158" s="48"/>
      <c r="N158" s="306" t="s">
        <v>1741</v>
      </c>
      <c r="O158" s="48"/>
      <c r="P158" s="48"/>
      <c r="Q158" s="306" t="s">
        <v>1743</v>
      </c>
      <c r="R158" s="48"/>
      <c r="S158" s="48"/>
      <c r="T158" s="48"/>
      <c r="U158" s="48"/>
      <c r="V158" s="23">
        <v>104</v>
      </c>
      <c r="W158" s="368">
        <f t="shared" si="14"/>
        <v>39.155999999999999</v>
      </c>
      <c r="X158" s="368">
        <f t="shared" si="15"/>
        <v>39.155999999999999</v>
      </c>
      <c r="Y158" s="368">
        <f t="shared" si="16"/>
        <v>47.008000000000003</v>
      </c>
      <c r="Z158" s="368">
        <f t="shared" si="17"/>
        <v>39.415999999999997</v>
      </c>
      <c r="AA158" s="368">
        <f t="shared" si="18"/>
        <v>51.896000000000001</v>
      </c>
      <c r="AB158" s="368">
        <f t="shared" si="19"/>
        <v>44.72</v>
      </c>
      <c r="AC158" s="368">
        <f t="shared" si="20"/>
        <v>50.231999999999999</v>
      </c>
      <c r="AD158" s="171"/>
      <c r="AE158" s="171"/>
      <c r="AF158" s="171"/>
      <c r="AG158" s="171"/>
      <c r="AH158" s="171"/>
      <c r="AI158" s="171"/>
      <c r="AJ158" s="171"/>
      <c r="AK158" s="171"/>
      <c r="AL158" s="171"/>
      <c r="AM158" s="171"/>
      <c r="AN158" s="171"/>
      <c r="AO158" s="171"/>
      <c r="AP158" s="171"/>
      <c r="AQ158" s="171"/>
      <c r="AR158" s="171"/>
      <c r="AS158" s="171"/>
    </row>
    <row r="159" spans="1:45">
      <c r="A159" s="71"/>
      <c r="B159" s="52"/>
      <c r="C159" s="150"/>
      <c r="D159" s="150"/>
      <c r="E159" s="104"/>
      <c r="F159" s="104"/>
      <c r="G159" s="104"/>
      <c r="H159" s="104"/>
      <c r="I159" s="104"/>
      <c r="J159" s="104"/>
      <c r="K159" s="104"/>
      <c r="L159" s="104"/>
      <c r="M159" s="104"/>
      <c r="N159" s="104"/>
      <c r="O159" s="104"/>
      <c r="P159" s="104"/>
      <c r="Q159" s="104"/>
      <c r="R159" s="104"/>
      <c r="S159" s="104"/>
      <c r="T159" s="104"/>
      <c r="U159" s="104"/>
      <c r="V159" s="28"/>
      <c r="W159" s="369"/>
      <c r="X159" s="369"/>
      <c r="Y159" s="369"/>
      <c r="Z159" s="369"/>
      <c r="AA159" s="369"/>
      <c r="AB159" s="369"/>
      <c r="AC159" s="369"/>
    </row>
    <row r="160" spans="1:45">
      <c r="A160" s="98" t="s">
        <v>246</v>
      </c>
      <c r="B160" s="98"/>
      <c r="C160" s="98"/>
      <c r="D160" s="98"/>
      <c r="E160" s="226"/>
      <c r="F160" s="226"/>
      <c r="G160" s="226"/>
      <c r="H160" s="226"/>
      <c r="I160" s="226"/>
      <c r="J160" s="226"/>
      <c r="K160" s="226"/>
      <c r="L160" s="226"/>
      <c r="M160" s="226"/>
      <c r="N160" s="226"/>
      <c r="O160" s="226"/>
      <c r="P160" s="226"/>
      <c r="Q160" s="226"/>
      <c r="R160" s="226"/>
      <c r="S160" s="226"/>
      <c r="T160" s="226"/>
      <c r="U160" s="226"/>
      <c r="V160" s="185"/>
      <c r="W160" s="185"/>
      <c r="X160" s="185"/>
      <c r="Y160" s="185"/>
      <c r="Z160" s="185"/>
      <c r="AA160" s="185"/>
      <c r="AB160" s="185"/>
      <c r="AC160" s="185"/>
    </row>
    <row r="161" spans="1:45" ht="14.4">
      <c r="A161" s="69" t="s">
        <v>247</v>
      </c>
      <c r="B161" s="69" t="s">
        <v>369</v>
      </c>
      <c r="C161" s="40"/>
      <c r="D161" s="40"/>
      <c r="E161" s="48"/>
      <c r="F161" s="236" t="s">
        <v>1748</v>
      </c>
      <c r="G161" s="48"/>
      <c r="H161" s="236" t="s">
        <v>1747</v>
      </c>
      <c r="I161" s="48"/>
      <c r="J161" s="48"/>
      <c r="K161" s="236" t="s">
        <v>1746</v>
      </c>
      <c r="L161" s="48"/>
      <c r="M161" s="48"/>
      <c r="N161" s="236" t="s">
        <v>1745</v>
      </c>
      <c r="O161" s="48"/>
      <c r="P161" s="48"/>
      <c r="Q161" s="339" t="s">
        <v>1744</v>
      </c>
      <c r="R161" s="48"/>
      <c r="S161" s="48"/>
      <c r="T161" s="48"/>
      <c r="U161" s="48"/>
      <c r="V161" s="23">
        <v>5</v>
      </c>
      <c r="W161" s="368">
        <f t="shared" si="14"/>
        <v>1.8825000000000001</v>
      </c>
      <c r="X161" s="368">
        <f t="shared" si="15"/>
        <v>1.8825000000000001</v>
      </c>
      <c r="Y161" s="368">
        <f t="shared" si="16"/>
        <v>2.2600000000000002</v>
      </c>
      <c r="Z161" s="368">
        <f t="shared" si="17"/>
        <v>1.895</v>
      </c>
      <c r="AA161" s="368">
        <f t="shared" si="18"/>
        <v>2.4950000000000001</v>
      </c>
      <c r="AB161" s="368">
        <f t="shared" si="19"/>
        <v>2.15</v>
      </c>
      <c r="AC161" s="368">
        <f t="shared" si="20"/>
        <v>2.415</v>
      </c>
      <c r="AD161" s="171"/>
      <c r="AE161" s="171"/>
      <c r="AF161" s="171"/>
      <c r="AG161" s="171"/>
      <c r="AH161" s="171"/>
      <c r="AI161" s="171"/>
      <c r="AJ161" s="171"/>
      <c r="AK161" s="171"/>
      <c r="AL161" s="171"/>
      <c r="AM161" s="171"/>
      <c r="AN161" s="171"/>
      <c r="AO161" s="171"/>
      <c r="AP161" s="171"/>
      <c r="AQ161" s="171"/>
      <c r="AR161" s="171"/>
      <c r="AS161" s="171"/>
    </row>
    <row r="162" spans="1:45">
      <c r="A162" s="71"/>
      <c r="B162" s="52"/>
      <c r="C162" s="150"/>
      <c r="D162" s="150"/>
      <c r="E162" s="104"/>
      <c r="F162" s="104"/>
      <c r="G162" s="104"/>
      <c r="H162" s="104"/>
      <c r="I162" s="104"/>
      <c r="J162" s="104"/>
      <c r="K162" s="104"/>
      <c r="L162" s="104"/>
      <c r="M162" s="104"/>
      <c r="N162" s="104"/>
      <c r="O162" s="104"/>
      <c r="P162" s="104"/>
      <c r="Q162" s="104"/>
      <c r="R162" s="104"/>
      <c r="S162" s="104"/>
      <c r="T162" s="104"/>
      <c r="U162" s="104"/>
      <c r="V162" s="28"/>
      <c r="W162" s="369">
        <f t="shared" si="14"/>
        <v>0</v>
      </c>
      <c r="X162" s="369">
        <f t="shared" si="15"/>
        <v>0</v>
      </c>
      <c r="Y162" s="369">
        <f t="shared" si="16"/>
        <v>0</v>
      </c>
      <c r="Z162" s="369">
        <f t="shared" si="17"/>
        <v>0</v>
      </c>
      <c r="AA162" s="369">
        <f t="shared" si="18"/>
        <v>0</v>
      </c>
      <c r="AB162" s="369">
        <f t="shared" si="19"/>
        <v>0</v>
      </c>
      <c r="AC162" s="369">
        <f t="shared" si="20"/>
        <v>0</v>
      </c>
    </row>
    <row r="163" spans="1:45">
      <c r="A163" s="98" t="s">
        <v>253</v>
      </c>
      <c r="B163" s="98"/>
      <c r="C163" s="98"/>
      <c r="D163" s="98"/>
      <c r="E163" s="226"/>
      <c r="F163" s="318"/>
      <c r="G163" s="226"/>
      <c r="H163" s="318"/>
      <c r="I163" s="226"/>
      <c r="J163" s="226"/>
      <c r="K163" s="318"/>
      <c r="L163" s="226"/>
      <c r="M163" s="226"/>
      <c r="N163" s="226"/>
      <c r="O163" s="226"/>
      <c r="P163" s="226"/>
      <c r="Q163" s="226"/>
      <c r="R163" s="226"/>
      <c r="S163" s="226"/>
      <c r="T163" s="226"/>
      <c r="U163" s="226"/>
      <c r="V163" s="185"/>
      <c r="W163" s="185"/>
      <c r="X163" s="185"/>
      <c r="Y163" s="185"/>
      <c r="Z163" s="185"/>
      <c r="AA163" s="185"/>
      <c r="AB163" s="185"/>
      <c r="AC163" s="185"/>
    </row>
    <row r="164" spans="1:45">
      <c r="A164" s="69" t="s">
        <v>370</v>
      </c>
      <c r="B164" s="69" t="s">
        <v>371</v>
      </c>
      <c r="C164" s="40"/>
      <c r="D164" s="40"/>
      <c r="E164" s="48"/>
      <c r="F164" s="306" t="s">
        <v>1749</v>
      </c>
      <c r="G164" s="48"/>
      <c r="H164" s="306" t="s">
        <v>1752</v>
      </c>
      <c r="I164" s="48"/>
      <c r="J164" s="48"/>
      <c r="K164" s="306" t="s">
        <v>1755</v>
      </c>
      <c r="L164" s="48"/>
      <c r="M164" s="48"/>
      <c r="O164" s="48"/>
      <c r="P164" s="48"/>
      <c r="Q164" s="48"/>
      <c r="R164" s="48"/>
      <c r="S164" s="30"/>
      <c r="T164" s="30"/>
      <c r="U164" s="30"/>
      <c r="V164" s="23">
        <v>0</v>
      </c>
      <c r="W164" s="368">
        <f t="shared" si="14"/>
        <v>0</v>
      </c>
      <c r="X164" s="368">
        <f t="shared" si="15"/>
        <v>0</v>
      </c>
      <c r="Y164" s="368">
        <f t="shared" si="16"/>
        <v>0</v>
      </c>
      <c r="Z164" s="368">
        <f t="shared" si="17"/>
        <v>0</v>
      </c>
      <c r="AA164" s="368">
        <f t="shared" si="18"/>
        <v>0</v>
      </c>
      <c r="AB164" s="368">
        <f t="shared" si="19"/>
        <v>0</v>
      </c>
      <c r="AC164" s="368">
        <f t="shared" si="20"/>
        <v>0</v>
      </c>
      <c r="AD164" s="171"/>
      <c r="AE164" s="171"/>
      <c r="AF164" s="171"/>
      <c r="AG164" s="171"/>
      <c r="AH164" s="171"/>
      <c r="AI164" s="171"/>
      <c r="AJ164" s="171"/>
      <c r="AK164" s="171"/>
      <c r="AL164" s="171"/>
      <c r="AM164" s="171"/>
      <c r="AN164" s="171"/>
      <c r="AO164" s="171"/>
      <c r="AP164" s="171"/>
      <c r="AQ164" s="171"/>
      <c r="AR164" s="171"/>
      <c r="AS164" s="171"/>
    </row>
    <row r="165" spans="1:45">
      <c r="A165" s="69" t="s">
        <v>372</v>
      </c>
      <c r="B165" s="69" t="s">
        <v>373</v>
      </c>
      <c r="C165" s="40"/>
      <c r="D165" s="40"/>
      <c r="E165" s="48"/>
      <c r="F165" s="306" t="s">
        <v>1750</v>
      </c>
      <c r="G165" s="48"/>
      <c r="H165" s="306" t="s">
        <v>1753</v>
      </c>
      <c r="I165" s="48"/>
      <c r="J165" s="48"/>
      <c r="K165" s="306" t="s">
        <v>1756</v>
      </c>
      <c r="L165" s="48"/>
      <c r="M165" s="48"/>
      <c r="N165" s="48"/>
      <c r="O165" s="48"/>
      <c r="P165" s="48"/>
      <c r="Q165" s="48"/>
      <c r="R165" s="48"/>
      <c r="S165" s="30"/>
      <c r="T165" s="30"/>
      <c r="U165" s="30"/>
      <c r="V165" s="23">
        <v>0</v>
      </c>
      <c r="W165" s="368">
        <f t="shared" si="14"/>
        <v>0</v>
      </c>
      <c r="X165" s="368">
        <f t="shared" si="15"/>
        <v>0</v>
      </c>
      <c r="Y165" s="368">
        <f t="shared" si="16"/>
        <v>0</v>
      </c>
      <c r="Z165" s="368">
        <f t="shared" si="17"/>
        <v>0</v>
      </c>
      <c r="AA165" s="368">
        <f t="shared" si="18"/>
        <v>0</v>
      </c>
      <c r="AB165" s="368">
        <f t="shared" si="19"/>
        <v>0</v>
      </c>
      <c r="AC165" s="368">
        <f t="shared" si="20"/>
        <v>0</v>
      </c>
      <c r="AD165" s="171"/>
      <c r="AE165" s="171"/>
      <c r="AF165" s="171"/>
      <c r="AG165" s="171"/>
      <c r="AH165" s="171"/>
      <c r="AI165" s="171"/>
      <c r="AJ165" s="171"/>
      <c r="AK165" s="171"/>
      <c r="AL165" s="171"/>
      <c r="AM165" s="171"/>
      <c r="AN165" s="171"/>
      <c r="AO165" s="171"/>
      <c r="AP165" s="171"/>
      <c r="AQ165" s="171"/>
      <c r="AR165" s="171"/>
      <c r="AS165" s="171"/>
    </row>
    <row r="166" spans="1:45">
      <c r="A166" s="69" t="s">
        <v>374</v>
      </c>
      <c r="B166" s="69" t="s">
        <v>375</v>
      </c>
      <c r="C166" s="40"/>
      <c r="D166" s="40"/>
      <c r="E166" s="48"/>
      <c r="F166" s="306" t="s">
        <v>1751</v>
      </c>
      <c r="G166" s="48"/>
      <c r="H166" s="306" t="s">
        <v>1754</v>
      </c>
      <c r="I166" s="48"/>
      <c r="J166" s="48"/>
      <c r="K166" s="306" t="s">
        <v>1757</v>
      </c>
      <c r="L166" s="48"/>
      <c r="M166" s="48"/>
      <c r="N166" s="48"/>
      <c r="O166" s="48"/>
      <c r="P166" s="48"/>
      <c r="Q166" s="48"/>
      <c r="R166" s="48"/>
      <c r="S166" s="30"/>
      <c r="T166" s="30"/>
      <c r="U166" s="30"/>
      <c r="V166" s="23">
        <v>0</v>
      </c>
      <c r="W166" s="368">
        <f t="shared" si="14"/>
        <v>0</v>
      </c>
      <c r="X166" s="368">
        <f t="shared" si="15"/>
        <v>0</v>
      </c>
      <c r="Y166" s="368">
        <f t="shared" si="16"/>
        <v>0</v>
      </c>
      <c r="Z166" s="368">
        <f t="shared" si="17"/>
        <v>0</v>
      </c>
      <c r="AA166" s="368">
        <f t="shared" si="18"/>
        <v>0</v>
      </c>
      <c r="AB166" s="368">
        <f t="shared" si="19"/>
        <v>0</v>
      </c>
      <c r="AC166" s="368">
        <f t="shared" si="20"/>
        <v>0</v>
      </c>
      <c r="AD166" s="171"/>
      <c r="AE166" s="171"/>
      <c r="AF166" s="171"/>
      <c r="AG166" s="171"/>
      <c r="AH166" s="171"/>
      <c r="AI166" s="171"/>
      <c r="AJ166" s="171"/>
      <c r="AK166" s="171"/>
      <c r="AL166" s="171"/>
      <c r="AM166" s="171"/>
      <c r="AN166" s="171"/>
      <c r="AO166" s="171"/>
      <c r="AP166" s="171"/>
      <c r="AQ166" s="171"/>
      <c r="AR166" s="171"/>
      <c r="AS166" s="171"/>
    </row>
    <row r="167" spans="1:45">
      <c r="A167" s="69" t="s">
        <v>376</v>
      </c>
      <c r="B167" s="69" t="s">
        <v>377</v>
      </c>
      <c r="C167" s="150"/>
      <c r="D167" s="150"/>
      <c r="E167" s="104"/>
      <c r="F167" s="104"/>
      <c r="G167" s="48"/>
      <c r="H167" s="48"/>
      <c r="I167" s="48"/>
      <c r="J167" s="104"/>
      <c r="K167" s="104"/>
      <c r="L167" s="104"/>
      <c r="M167" s="48"/>
      <c r="N167" s="306" t="s">
        <v>1759</v>
      </c>
      <c r="O167" s="48"/>
      <c r="P167" s="48"/>
      <c r="Q167" s="306" t="s">
        <v>1760</v>
      </c>
      <c r="R167" s="48"/>
      <c r="S167" s="48"/>
      <c r="T167" s="48"/>
      <c r="U167" s="48"/>
      <c r="V167" s="23">
        <v>0</v>
      </c>
      <c r="W167" s="368">
        <f t="shared" si="14"/>
        <v>0</v>
      </c>
      <c r="X167" s="368">
        <f t="shared" si="15"/>
        <v>0</v>
      </c>
      <c r="Y167" s="368">
        <f t="shared" si="16"/>
        <v>0</v>
      </c>
      <c r="Z167" s="368">
        <f t="shared" si="17"/>
        <v>0</v>
      </c>
      <c r="AA167" s="368">
        <f t="shared" si="18"/>
        <v>0</v>
      </c>
      <c r="AB167" s="368">
        <f t="shared" si="19"/>
        <v>0</v>
      </c>
      <c r="AC167" s="368">
        <f t="shared" si="20"/>
        <v>0</v>
      </c>
      <c r="AD167" s="171"/>
      <c r="AE167" s="171"/>
      <c r="AF167" s="171"/>
      <c r="AG167" s="171"/>
      <c r="AH167" s="171"/>
      <c r="AI167" s="171"/>
      <c r="AJ167" s="171"/>
      <c r="AK167" s="171"/>
      <c r="AL167" s="171"/>
      <c r="AM167" s="171"/>
      <c r="AN167" s="171"/>
      <c r="AO167" s="171"/>
      <c r="AP167" s="171"/>
      <c r="AQ167" s="171"/>
      <c r="AR167" s="171"/>
      <c r="AS167" s="171"/>
    </row>
    <row r="168" spans="1:45">
      <c r="A168" s="69" t="s">
        <v>378</v>
      </c>
      <c r="B168" s="69" t="s">
        <v>379</v>
      </c>
      <c r="C168" s="150"/>
      <c r="D168" s="150"/>
      <c r="E168" s="104"/>
      <c r="F168" s="104"/>
      <c r="G168" s="104"/>
      <c r="H168" s="104"/>
      <c r="I168" s="104"/>
      <c r="J168" s="104"/>
      <c r="K168" s="104"/>
      <c r="L168" s="104"/>
      <c r="M168" s="48"/>
      <c r="N168" s="306" t="s">
        <v>1758</v>
      </c>
      <c r="O168" s="48"/>
      <c r="P168" s="48"/>
      <c r="Q168" s="306" t="s">
        <v>1761</v>
      </c>
      <c r="R168" s="48"/>
      <c r="S168" s="48"/>
      <c r="T168" s="48"/>
      <c r="U168" s="48"/>
      <c r="V168" s="23">
        <v>0</v>
      </c>
      <c r="W168" s="368">
        <f t="shared" si="14"/>
        <v>0</v>
      </c>
      <c r="X168" s="368">
        <f t="shared" si="15"/>
        <v>0</v>
      </c>
      <c r="Y168" s="368">
        <f t="shared" si="16"/>
        <v>0</v>
      </c>
      <c r="Z168" s="368">
        <f t="shared" si="17"/>
        <v>0</v>
      </c>
      <c r="AA168" s="368">
        <f t="shared" si="18"/>
        <v>0</v>
      </c>
      <c r="AB168" s="368">
        <f t="shared" si="19"/>
        <v>0</v>
      </c>
      <c r="AC168" s="368">
        <f t="shared" si="20"/>
        <v>0</v>
      </c>
      <c r="AD168" s="171"/>
      <c r="AE168" s="171"/>
      <c r="AF168" s="171"/>
      <c r="AG168" s="171"/>
      <c r="AH168" s="171"/>
      <c r="AI168" s="171"/>
      <c r="AJ168" s="171"/>
      <c r="AK168" s="171"/>
      <c r="AL168" s="171"/>
      <c r="AM168" s="171"/>
      <c r="AN168" s="171"/>
      <c r="AO168" s="171"/>
      <c r="AP168" s="171"/>
      <c r="AQ168" s="171"/>
      <c r="AR168" s="171"/>
      <c r="AS168" s="171"/>
    </row>
    <row r="169" spans="1:45" ht="27.6">
      <c r="A169" s="69" t="s">
        <v>380</v>
      </c>
      <c r="B169" s="69" t="s">
        <v>381</v>
      </c>
      <c r="C169" s="150"/>
      <c r="D169" s="150"/>
      <c r="E169" s="104"/>
      <c r="F169" s="104"/>
      <c r="G169" s="104"/>
      <c r="H169" s="104"/>
      <c r="I169" s="104"/>
      <c r="J169" s="104"/>
      <c r="K169" s="104"/>
      <c r="L169" s="104"/>
      <c r="M169" s="48"/>
      <c r="N169" s="317"/>
      <c r="O169" s="48"/>
      <c r="P169" s="48"/>
      <c r="Q169" s="317"/>
      <c r="R169" s="48"/>
      <c r="S169" s="48"/>
      <c r="T169" s="48"/>
      <c r="U169" s="48"/>
      <c r="V169" s="23">
        <v>0</v>
      </c>
      <c r="W169" s="368">
        <f t="shared" si="14"/>
        <v>0</v>
      </c>
      <c r="X169" s="368">
        <f t="shared" si="15"/>
        <v>0</v>
      </c>
      <c r="Y169" s="368">
        <f t="shared" si="16"/>
        <v>0</v>
      </c>
      <c r="Z169" s="368">
        <f t="shared" si="17"/>
        <v>0</v>
      </c>
      <c r="AA169" s="368">
        <f t="shared" si="18"/>
        <v>0</v>
      </c>
      <c r="AB169" s="368">
        <f t="shared" si="19"/>
        <v>0</v>
      </c>
      <c r="AC169" s="368">
        <f t="shared" si="20"/>
        <v>0</v>
      </c>
      <c r="AD169" s="171"/>
      <c r="AE169" s="171"/>
      <c r="AF169" s="171"/>
      <c r="AG169" s="171"/>
      <c r="AH169" s="171"/>
      <c r="AI169" s="171"/>
      <c r="AJ169" s="171"/>
      <c r="AK169" s="171"/>
      <c r="AL169" s="171"/>
      <c r="AM169" s="171"/>
      <c r="AN169" s="171"/>
      <c r="AO169" s="171"/>
      <c r="AP169" s="171"/>
      <c r="AQ169" s="171"/>
      <c r="AR169" s="171"/>
      <c r="AS169" s="171"/>
    </row>
    <row r="170" spans="1:45" s="165" customFormat="1">
      <c r="A170" s="69"/>
      <c r="B170" s="319"/>
      <c r="C170" s="150"/>
      <c r="D170" s="150"/>
      <c r="E170" s="104"/>
      <c r="F170" s="104"/>
      <c r="G170" s="104"/>
      <c r="H170" s="104"/>
      <c r="I170" s="104"/>
      <c r="J170" s="104"/>
      <c r="K170" s="104"/>
      <c r="L170" s="104"/>
      <c r="M170" s="48"/>
      <c r="N170" s="22"/>
      <c r="O170" s="48"/>
      <c r="P170" s="48"/>
      <c r="Q170" s="22"/>
      <c r="R170" s="48"/>
      <c r="S170" s="104"/>
      <c r="T170" s="104"/>
      <c r="U170" s="104"/>
      <c r="V170" s="23"/>
      <c r="W170" s="368"/>
      <c r="X170" s="368"/>
      <c r="Y170" s="368"/>
      <c r="Z170" s="368"/>
      <c r="AA170" s="368"/>
      <c r="AB170" s="368"/>
      <c r="AC170" s="368"/>
      <c r="AD170" s="253"/>
      <c r="AE170" s="253"/>
      <c r="AF170" s="253"/>
      <c r="AG170" s="253"/>
      <c r="AH170" s="253"/>
      <c r="AI170" s="253"/>
      <c r="AJ170" s="253"/>
      <c r="AK170" s="253"/>
      <c r="AL170" s="253"/>
      <c r="AM170" s="253"/>
      <c r="AN170" s="253"/>
      <c r="AO170" s="253"/>
      <c r="AP170" s="253"/>
      <c r="AQ170" s="253"/>
      <c r="AR170" s="253"/>
      <c r="AS170" s="253"/>
    </row>
    <row r="171" spans="1:45">
      <c r="A171" s="98" t="s">
        <v>263</v>
      </c>
      <c r="B171" s="98"/>
      <c r="C171" s="98"/>
      <c r="D171" s="98"/>
      <c r="E171" s="226"/>
      <c r="F171" s="318"/>
      <c r="G171" s="226"/>
      <c r="H171" s="318"/>
      <c r="I171" s="226"/>
      <c r="J171" s="226"/>
      <c r="K171" s="318"/>
      <c r="L171" s="226"/>
      <c r="M171" s="226"/>
      <c r="N171" s="318"/>
      <c r="O171" s="226"/>
      <c r="P171" s="226"/>
      <c r="Q171" s="318"/>
      <c r="R171" s="226"/>
      <c r="S171" s="226"/>
      <c r="T171" s="226"/>
      <c r="U171" s="226"/>
      <c r="V171" s="185"/>
      <c r="W171" s="185"/>
      <c r="X171" s="185"/>
      <c r="Y171" s="185"/>
      <c r="Z171" s="185"/>
      <c r="AA171" s="185"/>
      <c r="AB171" s="185"/>
      <c r="AC171" s="185"/>
    </row>
    <row r="172" spans="1:45">
      <c r="A172" s="69" t="s">
        <v>382</v>
      </c>
      <c r="B172" s="69" t="s">
        <v>383</v>
      </c>
      <c r="C172" s="40"/>
      <c r="D172" s="40"/>
      <c r="E172" s="48"/>
      <c r="F172" s="306" t="s">
        <v>1762</v>
      </c>
      <c r="G172" s="48"/>
      <c r="H172" s="306" t="s">
        <v>1764</v>
      </c>
      <c r="I172" s="48"/>
      <c r="J172" s="48"/>
      <c r="K172" s="306" t="s">
        <v>1766</v>
      </c>
      <c r="L172" s="48"/>
      <c r="M172" s="48"/>
      <c r="N172" s="306" t="s">
        <v>1768</v>
      </c>
      <c r="O172" s="48"/>
      <c r="P172" s="48"/>
      <c r="Q172" s="306" t="s">
        <v>1770</v>
      </c>
      <c r="R172" s="48"/>
      <c r="S172" s="48"/>
      <c r="T172" s="48"/>
      <c r="U172" s="48"/>
      <c r="V172" s="23">
        <v>2</v>
      </c>
      <c r="W172" s="368">
        <f t="shared" si="14"/>
        <v>0.753</v>
      </c>
      <c r="X172" s="368">
        <f t="shared" si="15"/>
        <v>0.753</v>
      </c>
      <c r="Y172" s="368">
        <f t="shared" si="16"/>
        <v>0.90400000000000003</v>
      </c>
      <c r="Z172" s="368">
        <f t="shared" si="17"/>
        <v>0.75800000000000001</v>
      </c>
      <c r="AA172" s="368">
        <f t="shared" si="18"/>
        <v>0.998</v>
      </c>
      <c r="AB172" s="368">
        <f t="shared" si="19"/>
        <v>0.86</v>
      </c>
      <c r="AC172" s="368">
        <f t="shared" si="20"/>
        <v>0.96599999999999997</v>
      </c>
      <c r="AD172" s="171"/>
      <c r="AE172" s="171"/>
      <c r="AF172" s="171"/>
      <c r="AG172" s="171"/>
      <c r="AH172" s="171"/>
      <c r="AI172" s="171"/>
      <c r="AJ172" s="171"/>
      <c r="AK172" s="171"/>
      <c r="AL172" s="171"/>
      <c r="AM172" s="171"/>
      <c r="AN172" s="171"/>
      <c r="AO172" s="171"/>
      <c r="AP172" s="171"/>
      <c r="AQ172" s="171"/>
      <c r="AR172" s="171"/>
      <c r="AS172" s="171"/>
    </row>
    <row r="173" spans="1:45">
      <c r="A173" s="69" t="s">
        <v>113</v>
      </c>
      <c r="B173" s="69" t="s">
        <v>264</v>
      </c>
      <c r="C173" s="40"/>
      <c r="D173" s="40"/>
      <c r="E173" s="48"/>
      <c r="F173" s="306" t="s">
        <v>1763</v>
      </c>
      <c r="G173" s="48"/>
      <c r="H173" s="306" t="s">
        <v>1765</v>
      </c>
      <c r="I173" s="48"/>
      <c r="J173" s="48"/>
      <c r="K173" s="306" t="s">
        <v>1767</v>
      </c>
      <c r="L173" s="48"/>
      <c r="M173" s="48"/>
      <c r="N173" s="306" t="s">
        <v>1769</v>
      </c>
      <c r="O173" s="48"/>
      <c r="P173" s="48"/>
      <c r="Q173" s="306" t="s">
        <v>1771</v>
      </c>
      <c r="R173" s="48"/>
      <c r="S173" s="48"/>
      <c r="T173" s="48"/>
      <c r="U173" s="48"/>
      <c r="V173" s="23">
        <v>6</v>
      </c>
      <c r="W173" s="368">
        <f t="shared" si="14"/>
        <v>2.2589999999999999</v>
      </c>
      <c r="X173" s="368">
        <f t="shared" si="15"/>
        <v>2.2589999999999999</v>
      </c>
      <c r="Y173" s="368">
        <f t="shared" si="16"/>
        <v>2.7120000000000002</v>
      </c>
      <c r="Z173" s="368">
        <f t="shared" si="17"/>
        <v>2.274</v>
      </c>
      <c r="AA173" s="368">
        <f t="shared" si="18"/>
        <v>2.9939999999999998</v>
      </c>
      <c r="AB173" s="368">
        <f t="shared" si="19"/>
        <v>2.58</v>
      </c>
      <c r="AC173" s="368">
        <f t="shared" si="20"/>
        <v>2.8979999999999997</v>
      </c>
      <c r="AD173" s="171"/>
      <c r="AE173" s="171"/>
      <c r="AF173" s="171"/>
      <c r="AG173" s="171"/>
      <c r="AH173" s="171"/>
      <c r="AI173" s="171"/>
      <c r="AJ173" s="171"/>
      <c r="AK173" s="171"/>
      <c r="AL173" s="171"/>
      <c r="AM173" s="171"/>
      <c r="AN173" s="171"/>
      <c r="AO173" s="171"/>
      <c r="AP173" s="171"/>
      <c r="AQ173" s="171"/>
      <c r="AR173" s="171"/>
      <c r="AS173" s="171"/>
    </row>
    <row r="174" spans="1:45">
      <c r="A174" s="71"/>
      <c r="B174" s="52"/>
      <c r="C174" s="150"/>
      <c r="D174" s="150"/>
      <c r="E174" s="104"/>
      <c r="F174" s="104"/>
      <c r="G174" s="104"/>
      <c r="H174" s="104"/>
      <c r="I174" s="104"/>
      <c r="J174" s="104"/>
      <c r="K174" s="104"/>
      <c r="L174" s="104"/>
      <c r="M174" s="104"/>
      <c r="N174" s="104"/>
      <c r="O174" s="104"/>
      <c r="P174" s="104"/>
      <c r="Q174" s="104"/>
      <c r="R174" s="104"/>
      <c r="S174" s="104"/>
      <c r="T174" s="104"/>
      <c r="U174" s="104"/>
      <c r="V174" s="28"/>
      <c r="W174" s="369">
        <f t="shared" si="14"/>
        <v>0</v>
      </c>
      <c r="X174" s="369">
        <f t="shared" si="15"/>
        <v>0</v>
      </c>
      <c r="Y174" s="369">
        <f t="shared" si="16"/>
        <v>0</v>
      </c>
      <c r="Z174" s="369">
        <f t="shared" si="17"/>
        <v>0</v>
      </c>
      <c r="AA174" s="369">
        <f t="shared" si="18"/>
        <v>0</v>
      </c>
      <c r="AB174" s="369">
        <f t="shared" si="19"/>
        <v>0</v>
      </c>
      <c r="AC174" s="369">
        <f t="shared" si="20"/>
        <v>0</v>
      </c>
    </row>
    <row r="175" spans="1:45">
      <c r="A175" s="98" t="s">
        <v>384</v>
      </c>
      <c r="B175" s="98"/>
      <c r="C175" s="98"/>
      <c r="D175" s="98"/>
      <c r="E175" s="226"/>
      <c r="F175" s="318"/>
      <c r="G175" s="226"/>
      <c r="H175" s="318"/>
      <c r="I175" s="226"/>
      <c r="J175" s="226"/>
      <c r="K175" s="318"/>
      <c r="L175" s="226"/>
      <c r="M175" s="226"/>
      <c r="N175" s="318"/>
      <c r="O175" s="226"/>
      <c r="P175" s="226"/>
      <c r="Q175" s="318"/>
      <c r="R175" s="226"/>
      <c r="S175" s="226"/>
      <c r="T175" s="226"/>
      <c r="U175" s="226"/>
      <c r="V175" s="185"/>
      <c r="W175" s="185"/>
      <c r="X175" s="185"/>
      <c r="Y175" s="185"/>
      <c r="Z175" s="185"/>
      <c r="AA175" s="185"/>
      <c r="AB175" s="185"/>
      <c r="AC175" s="185"/>
    </row>
    <row r="176" spans="1:45">
      <c r="A176" s="69" t="s">
        <v>385</v>
      </c>
      <c r="B176" s="69" t="s">
        <v>386</v>
      </c>
      <c r="C176" s="40"/>
      <c r="D176" s="40"/>
      <c r="E176" s="48"/>
      <c r="F176" s="306" t="s">
        <v>1772</v>
      </c>
      <c r="G176" s="48"/>
      <c r="H176" s="306" t="s">
        <v>1775</v>
      </c>
      <c r="I176" s="48"/>
      <c r="J176" s="48"/>
      <c r="K176" s="306" t="s">
        <v>1780</v>
      </c>
      <c r="L176" s="48"/>
      <c r="M176" s="48"/>
      <c r="N176" s="306" t="s">
        <v>1783</v>
      </c>
      <c r="O176" s="48"/>
      <c r="P176" s="48"/>
      <c r="Q176" s="306" t="s">
        <v>1786</v>
      </c>
      <c r="R176" s="48"/>
      <c r="S176" s="48"/>
      <c r="T176" s="48"/>
      <c r="U176" s="48"/>
      <c r="V176" s="23">
        <v>6</v>
      </c>
      <c r="W176" s="368">
        <f t="shared" si="14"/>
        <v>2.2589999999999999</v>
      </c>
      <c r="X176" s="368">
        <f t="shared" si="15"/>
        <v>2.2589999999999999</v>
      </c>
      <c r="Y176" s="368">
        <f t="shared" si="16"/>
        <v>2.7120000000000002</v>
      </c>
      <c r="Z176" s="368">
        <f t="shared" si="17"/>
        <v>2.274</v>
      </c>
      <c r="AA176" s="368">
        <f t="shared" si="18"/>
        <v>2.9939999999999998</v>
      </c>
      <c r="AB176" s="368">
        <f t="shared" si="19"/>
        <v>2.58</v>
      </c>
      <c r="AC176" s="368">
        <f t="shared" si="20"/>
        <v>2.8979999999999997</v>
      </c>
      <c r="AD176" s="171"/>
      <c r="AE176" s="171"/>
      <c r="AF176" s="171"/>
      <c r="AG176" s="171"/>
      <c r="AH176" s="171"/>
      <c r="AI176" s="171"/>
      <c r="AJ176" s="171"/>
      <c r="AK176" s="171"/>
      <c r="AL176" s="171"/>
      <c r="AM176" s="171"/>
      <c r="AN176" s="171"/>
      <c r="AO176" s="171"/>
      <c r="AP176" s="171"/>
      <c r="AQ176" s="171"/>
      <c r="AR176" s="171"/>
      <c r="AS176" s="171"/>
    </row>
    <row r="177" spans="1:45">
      <c r="A177" s="69" t="s">
        <v>387</v>
      </c>
      <c r="B177" s="69" t="s">
        <v>388</v>
      </c>
      <c r="C177" s="40"/>
      <c r="D177" s="40"/>
      <c r="E177" s="48"/>
      <c r="F177" s="48" t="s">
        <v>2017</v>
      </c>
      <c r="G177" s="48"/>
      <c r="H177" s="306" t="s">
        <v>1776</v>
      </c>
      <c r="I177" s="48"/>
      <c r="J177" s="48"/>
      <c r="K177" s="48"/>
      <c r="L177" s="48"/>
      <c r="M177" s="48"/>
      <c r="N177" s="306" t="s">
        <v>1784</v>
      </c>
      <c r="O177" s="48"/>
      <c r="P177" s="48"/>
      <c r="Q177" s="48"/>
      <c r="R177" s="48"/>
      <c r="S177" s="30"/>
      <c r="T177" s="30"/>
      <c r="U177" s="30"/>
      <c r="V177" s="23">
        <v>7</v>
      </c>
      <c r="W177" s="368">
        <f t="shared" si="14"/>
        <v>2.6355</v>
      </c>
      <c r="X177" s="368">
        <f t="shared" si="15"/>
        <v>2.6355</v>
      </c>
      <c r="Y177" s="368">
        <f t="shared" si="16"/>
        <v>3.1640000000000001</v>
      </c>
      <c r="Z177" s="368">
        <f t="shared" si="17"/>
        <v>2.653</v>
      </c>
      <c r="AA177" s="368">
        <f t="shared" si="18"/>
        <v>3.4929999999999999</v>
      </c>
      <c r="AB177" s="368">
        <f t="shared" si="19"/>
        <v>3.01</v>
      </c>
      <c r="AC177" s="368">
        <f t="shared" si="20"/>
        <v>3.3809999999999998</v>
      </c>
      <c r="AD177" s="171"/>
      <c r="AE177" s="171"/>
      <c r="AF177" s="171"/>
      <c r="AG177" s="171"/>
      <c r="AH177" s="171"/>
      <c r="AI177" s="171"/>
      <c r="AJ177" s="171"/>
      <c r="AK177" s="171"/>
      <c r="AL177" s="171"/>
      <c r="AM177" s="171"/>
      <c r="AN177" s="171"/>
      <c r="AO177" s="171"/>
      <c r="AP177" s="171"/>
      <c r="AQ177" s="171"/>
      <c r="AR177" s="171"/>
      <c r="AS177" s="171"/>
    </row>
    <row r="178" spans="1:45">
      <c r="A178" s="69" t="s">
        <v>389</v>
      </c>
      <c r="B178" s="69" t="s">
        <v>390</v>
      </c>
      <c r="C178" s="40"/>
      <c r="D178" s="40"/>
      <c r="E178" s="120"/>
      <c r="F178" s="317"/>
      <c r="G178" s="48"/>
      <c r="H178" s="48"/>
      <c r="I178" s="48"/>
      <c r="J178" s="48"/>
      <c r="K178" s="48"/>
      <c r="L178" s="48"/>
      <c r="M178" s="48"/>
      <c r="N178" s="48"/>
      <c r="O178" s="48"/>
      <c r="P178" s="48"/>
      <c r="Q178" s="48"/>
      <c r="R178" s="48"/>
      <c r="S178" s="48"/>
      <c r="T178" s="48"/>
      <c r="U178" s="48"/>
      <c r="V178" s="23">
        <v>87</v>
      </c>
      <c r="W178" s="368">
        <f t="shared" si="14"/>
        <v>32.755499999999998</v>
      </c>
      <c r="X178" s="368">
        <f t="shared" si="15"/>
        <v>32.755499999999998</v>
      </c>
      <c r="Y178" s="368">
        <f t="shared" si="16"/>
        <v>39.323999999999998</v>
      </c>
      <c r="Z178" s="368">
        <f t="shared" si="17"/>
        <v>32.972999999999999</v>
      </c>
      <c r="AA178" s="368">
        <f t="shared" si="18"/>
        <v>43.412999999999997</v>
      </c>
      <c r="AB178" s="368">
        <f t="shared" si="19"/>
        <v>37.409999999999997</v>
      </c>
      <c r="AC178" s="368">
        <f t="shared" si="20"/>
        <v>42.021000000000001</v>
      </c>
      <c r="AD178" s="171"/>
      <c r="AE178" s="171"/>
      <c r="AF178" s="171"/>
      <c r="AG178" s="171"/>
      <c r="AH178" s="171"/>
      <c r="AI178" s="171"/>
      <c r="AJ178" s="171"/>
      <c r="AK178" s="171"/>
      <c r="AL178" s="171"/>
      <c r="AM178" s="171"/>
      <c r="AN178" s="171"/>
      <c r="AO178" s="171"/>
      <c r="AP178" s="171"/>
      <c r="AQ178" s="171"/>
      <c r="AR178" s="171"/>
      <c r="AS178" s="171"/>
    </row>
    <row r="179" spans="1:45">
      <c r="A179" s="306" t="s">
        <v>1903</v>
      </c>
      <c r="B179" s="306" t="s">
        <v>1773</v>
      </c>
      <c r="C179" s="40"/>
      <c r="D179" s="40"/>
      <c r="E179" s="120"/>
      <c r="F179" s="306" t="s">
        <v>1774</v>
      </c>
      <c r="G179" s="48"/>
      <c r="H179" s="48"/>
      <c r="I179" s="48"/>
      <c r="J179" s="48"/>
      <c r="K179" s="317"/>
      <c r="L179" s="48"/>
      <c r="M179" s="48"/>
      <c r="N179" s="48"/>
      <c r="O179" s="48"/>
      <c r="P179" s="48"/>
      <c r="Q179" s="317"/>
      <c r="R179" s="48"/>
      <c r="S179" s="30"/>
      <c r="T179" s="30"/>
      <c r="U179" s="30"/>
      <c r="V179" s="23">
        <v>5</v>
      </c>
      <c r="W179" s="368">
        <f t="shared" si="14"/>
        <v>1.8825000000000001</v>
      </c>
      <c r="X179" s="368">
        <f t="shared" si="15"/>
        <v>1.8825000000000001</v>
      </c>
      <c r="Y179" s="368">
        <f t="shared" si="16"/>
        <v>2.2600000000000002</v>
      </c>
      <c r="Z179" s="368">
        <f t="shared" si="17"/>
        <v>1.895</v>
      </c>
      <c r="AA179" s="368">
        <f t="shared" si="18"/>
        <v>2.4950000000000001</v>
      </c>
      <c r="AB179" s="368">
        <f t="shared" si="19"/>
        <v>2.15</v>
      </c>
      <c r="AC179" s="368">
        <f t="shared" si="20"/>
        <v>2.415</v>
      </c>
      <c r="AD179" s="171"/>
      <c r="AE179" s="171"/>
      <c r="AF179" s="171"/>
      <c r="AG179" s="171"/>
      <c r="AH179" s="171"/>
      <c r="AI179" s="171"/>
      <c r="AJ179" s="171"/>
      <c r="AK179" s="171"/>
      <c r="AL179" s="171"/>
      <c r="AM179" s="171"/>
      <c r="AN179" s="171"/>
      <c r="AO179" s="171"/>
      <c r="AP179" s="171"/>
      <c r="AQ179" s="171"/>
      <c r="AR179" s="171"/>
      <c r="AS179" s="171"/>
    </row>
    <row r="180" spans="1:45">
      <c r="A180" s="306" t="s">
        <v>1904</v>
      </c>
      <c r="B180" s="306" t="s">
        <v>738</v>
      </c>
      <c r="C180" s="40"/>
      <c r="D180" s="40"/>
      <c r="E180" s="120"/>
      <c r="F180" s="120"/>
      <c r="G180" s="48"/>
      <c r="H180" s="59"/>
      <c r="I180" s="48"/>
      <c r="J180" s="48"/>
      <c r="K180" s="306" t="s">
        <v>1782</v>
      </c>
      <c r="L180" s="48"/>
      <c r="M180" s="48"/>
      <c r="N180" s="317"/>
      <c r="O180" s="48"/>
      <c r="P180" s="48"/>
      <c r="Q180" s="306" t="s">
        <v>1787</v>
      </c>
      <c r="R180" s="48"/>
      <c r="S180" s="30"/>
      <c r="T180" s="30"/>
      <c r="U180" s="30"/>
      <c r="V180" s="23">
        <v>5</v>
      </c>
      <c r="W180" s="368">
        <f t="shared" si="14"/>
        <v>1.8825000000000001</v>
      </c>
      <c r="X180" s="368">
        <f t="shared" si="15"/>
        <v>1.8825000000000001</v>
      </c>
      <c r="Y180" s="368">
        <f t="shared" si="16"/>
        <v>2.2600000000000002</v>
      </c>
      <c r="Z180" s="368">
        <f t="shared" si="17"/>
        <v>1.895</v>
      </c>
      <c r="AA180" s="368">
        <f t="shared" si="18"/>
        <v>2.4950000000000001</v>
      </c>
      <c r="AB180" s="368">
        <f t="shared" si="19"/>
        <v>2.15</v>
      </c>
      <c r="AC180" s="368">
        <f t="shared" si="20"/>
        <v>2.415</v>
      </c>
      <c r="AD180" s="171"/>
      <c r="AE180" s="171"/>
      <c r="AF180" s="171"/>
      <c r="AG180" s="171"/>
      <c r="AH180" s="171"/>
      <c r="AI180" s="171"/>
      <c r="AJ180" s="171"/>
      <c r="AK180" s="171"/>
      <c r="AL180" s="171"/>
      <c r="AM180" s="171"/>
      <c r="AN180" s="171"/>
      <c r="AO180" s="171"/>
      <c r="AP180" s="171"/>
      <c r="AQ180" s="171"/>
      <c r="AR180" s="171"/>
      <c r="AS180" s="171"/>
    </row>
    <row r="181" spans="1:45">
      <c r="A181" s="69" t="s">
        <v>389</v>
      </c>
      <c r="B181" s="306" t="s">
        <v>1777</v>
      </c>
      <c r="C181" s="40"/>
      <c r="D181" s="40"/>
      <c r="E181" s="120"/>
      <c r="F181" s="306" t="s">
        <v>1779</v>
      </c>
      <c r="G181" s="48"/>
      <c r="H181" s="306" t="s">
        <v>1778</v>
      </c>
      <c r="I181" s="48"/>
      <c r="J181" s="48"/>
      <c r="K181" s="306" t="s">
        <v>1781</v>
      </c>
      <c r="L181" s="48"/>
      <c r="M181" s="48"/>
      <c r="N181" s="306" t="s">
        <v>1785</v>
      </c>
      <c r="O181" s="48"/>
      <c r="P181" s="48"/>
      <c r="Q181" s="306" t="s">
        <v>1788</v>
      </c>
      <c r="R181" s="48"/>
      <c r="S181" s="30"/>
      <c r="T181" s="30"/>
      <c r="U181" s="30"/>
      <c r="V181" s="23">
        <v>87</v>
      </c>
      <c r="W181" s="368">
        <f t="shared" si="14"/>
        <v>32.755499999999998</v>
      </c>
      <c r="X181" s="368">
        <f t="shared" si="15"/>
        <v>32.755499999999998</v>
      </c>
      <c r="Y181" s="368">
        <f t="shared" si="16"/>
        <v>39.323999999999998</v>
      </c>
      <c r="Z181" s="368">
        <f t="shared" si="17"/>
        <v>32.972999999999999</v>
      </c>
      <c r="AA181" s="368">
        <f t="shared" si="18"/>
        <v>43.412999999999997</v>
      </c>
      <c r="AB181" s="368">
        <f t="shared" si="19"/>
        <v>37.409999999999997</v>
      </c>
      <c r="AC181" s="368">
        <f t="shared" si="20"/>
        <v>42.021000000000001</v>
      </c>
      <c r="AD181" s="171"/>
      <c r="AE181" s="171"/>
      <c r="AF181" s="171"/>
      <c r="AG181" s="171"/>
      <c r="AH181" s="171"/>
      <c r="AI181" s="171"/>
      <c r="AJ181" s="171"/>
      <c r="AK181" s="171"/>
      <c r="AL181" s="171"/>
      <c r="AM181" s="171"/>
      <c r="AN181" s="171"/>
      <c r="AO181" s="171"/>
      <c r="AP181" s="171"/>
      <c r="AQ181" s="171"/>
      <c r="AR181" s="171"/>
      <c r="AS181" s="171"/>
    </row>
    <row r="182" spans="1:45">
      <c r="A182" s="340" t="s">
        <v>391</v>
      </c>
      <c r="B182" s="340"/>
      <c r="C182" s="340"/>
      <c r="D182" s="340"/>
      <c r="E182" s="341"/>
      <c r="F182" s="341"/>
      <c r="G182" s="341"/>
      <c r="H182" s="341"/>
      <c r="I182" s="341"/>
      <c r="J182" s="341"/>
      <c r="K182" s="341"/>
      <c r="L182" s="341"/>
      <c r="M182" s="341"/>
      <c r="N182" s="341"/>
      <c r="O182" s="341"/>
      <c r="P182" s="341"/>
      <c r="Q182" s="341"/>
      <c r="R182" s="341"/>
      <c r="S182" s="341"/>
      <c r="T182" s="341"/>
      <c r="U182" s="341"/>
      <c r="V182" s="186"/>
      <c r="W182" s="186"/>
      <c r="X182" s="186"/>
      <c r="Y182" s="186"/>
      <c r="Z182" s="186"/>
      <c r="AA182" s="186"/>
      <c r="AB182" s="186"/>
      <c r="AC182" s="186"/>
      <c r="AD182" s="171"/>
      <c r="AE182" s="171"/>
      <c r="AF182" s="171"/>
      <c r="AG182" s="171"/>
      <c r="AH182" s="171"/>
      <c r="AI182" s="171"/>
      <c r="AJ182" s="171"/>
      <c r="AK182" s="171"/>
      <c r="AL182" s="171"/>
      <c r="AM182" s="171"/>
      <c r="AN182" s="171"/>
      <c r="AO182" s="171"/>
      <c r="AP182" s="171"/>
      <c r="AQ182" s="171"/>
      <c r="AR182" s="171"/>
      <c r="AS182" s="171"/>
    </row>
    <row r="183" spans="1:45" s="253" customFormat="1">
      <c r="A183" s="235"/>
      <c r="B183" s="140"/>
      <c r="C183" s="134"/>
      <c r="D183" s="134"/>
      <c r="E183" s="45"/>
      <c r="F183" s="45"/>
      <c r="G183" s="45"/>
      <c r="H183" s="45"/>
      <c r="I183" s="45"/>
      <c r="J183" s="45"/>
      <c r="K183" s="45"/>
      <c r="L183" s="45"/>
      <c r="M183" s="45"/>
      <c r="N183" s="296"/>
      <c r="O183" s="296"/>
      <c r="P183" s="65"/>
      <c r="Q183" s="65"/>
      <c r="R183" s="65"/>
      <c r="S183" s="45"/>
      <c r="T183" s="45"/>
      <c r="U183" s="45"/>
      <c r="V183" s="28"/>
      <c r="W183" s="369"/>
      <c r="X183" s="369"/>
      <c r="Y183" s="369"/>
      <c r="Z183" s="369"/>
      <c r="AA183" s="369"/>
      <c r="AB183" s="369"/>
      <c r="AC183" s="369"/>
    </row>
    <row r="184" spans="1:45">
      <c r="A184" s="98" t="s">
        <v>285</v>
      </c>
      <c r="B184" s="98"/>
      <c r="C184" s="98"/>
      <c r="D184" s="98"/>
      <c r="E184" s="226"/>
      <c r="F184" s="226"/>
      <c r="G184" s="226"/>
      <c r="H184" s="226"/>
      <c r="I184" s="226"/>
      <c r="J184" s="226"/>
      <c r="K184" s="226"/>
      <c r="L184" s="226"/>
      <c r="M184" s="226"/>
      <c r="N184" s="226"/>
      <c r="O184" s="226"/>
      <c r="P184" s="226"/>
      <c r="Q184" s="226"/>
      <c r="R184" s="226"/>
      <c r="S184" s="226"/>
      <c r="T184" s="226"/>
      <c r="U184" s="226"/>
      <c r="V184" s="185"/>
      <c r="W184" s="185"/>
      <c r="X184" s="185"/>
      <c r="Y184" s="185"/>
      <c r="Z184" s="185"/>
      <c r="AA184" s="185"/>
      <c r="AB184" s="185"/>
      <c r="AC184" s="185"/>
    </row>
    <row r="185" spans="1:45">
      <c r="A185" s="69" t="s">
        <v>286</v>
      </c>
      <c r="B185" s="69" t="s">
        <v>393</v>
      </c>
      <c r="C185" s="40"/>
      <c r="D185" s="40"/>
      <c r="E185" s="48" t="s">
        <v>394</v>
      </c>
      <c r="F185" s="48" t="s">
        <v>394</v>
      </c>
      <c r="G185" s="48" t="s">
        <v>394</v>
      </c>
      <c r="H185" s="48" t="s">
        <v>394</v>
      </c>
      <c r="I185" s="48"/>
      <c r="J185" s="48" t="s">
        <v>394</v>
      </c>
      <c r="K185" s="48" t="s">
        <v>394</v>
      </c>
      <c r="L185" s="48"/>
      <c r="M185" s="48" t="s">
        <v>394</v>
      </c>
      <c r="N185" s="48" t="s">
        <v>394</v>
      </c>
      <c r="O185" s="48"/>
      <c r="P185" s="48" t="s">
        <v>394</v>
      </c>
      <c r="Q185" s="48" t="s">
        <v>394</v>
      </c>
      <c r="R185" s="48"/>
      <c r="S185" s="30"/>
      <c r="T185" s="30"/>
      <c r="U185" s="30"/>
      <c r="V185" s="60">
        <v>20</v>
      </c>
      <c r="W185" s="186">
        <f t="shared" si="14"/>
        <v>7.53</v>
      </c>
      <c r="X185" s="186">
        <f t="shared" si="15"/>
        <v>7.53</v>
      </c>
      <c r="Y185" s="186">
        <f t="shared" si="16"/>
        <v>9.0400000000000009</v>
      </c>
      <c r="Z185" s="186">
        <f t="shared" si="17"/>
        <v>7.58</v>
      </c>
      <c r="AA185" s="186">
        <f t="shared" si="18"/>
        <v>9.98</v>
      </c>
      <c r="AB185" s="186">
        <f t="shared" si="19"/>
        <v>8.6</v>
      </c>
      <c r="AC185" s="186">
        <f t="shared" si="20"/>
        <v>9.66</v>
      </c>
    </row>
    <row r="186" spans="1:45" ht="27.6">
      <c r="A186" s="69" t="s">
        <v>289</v>
      </c>
      <c r="B186" s="69" t="s">
        <v>395</v>
      </c>
      <c r="C186" s="40"/>
      <c r="D186" s="40"/>
      <c r="E186" s="48" t="s">
        <v>396</v>
      </c>
      <c r="F186" s="48" t="s">
        <v>396</v>
      </c>
      <c r="G186" s="48" t="s">
        <v>396</v>
      </c>
      <c r="H186" s="48" t="s">
        <v>396</v>
      </c>
      <c r="I186" s="48"/>
      <c r="J186" s="48" t="s">
        <v>396</v>
      </c>
      <c r="K186" s="48" t="s">
        <v>396</v>
      </c>
      <c r="L186" s="48"/>
      <c r="M186" s="48" t="s">
        <v>396</v>
      </c>
      <c r="N186" s="48" t="s">
        <v>396</v>
      </c>
      <c r="O186" s="48"/>
      <c r="P186" s="48" t="s">
        <v>396</v>
      </c>
      <c r="Q186" s="48" t="s">
        <v>396</v>
      </c>
      <c r="R186" s="48"/>
      <c r="S186" s="30"/>
      <c r="T186" s="30"/>
      <c r="U186" s="30"/>
      <c r="V186" s="60">
        <v>30</v>
      </c>
      <c r="W186" s="186">
        <f t="shared" si="14"/>
        <v>11.295</v>
      </c>
      <c r="X186" s="186">
        <f t="shared" si="15"/>
        <v>11.295</v>
      </c>
      <c r="Y186" s="186">
        <f t="shared" si="16"/>
        <v>13.56</v>
      </c>
      <c r="Z186" s="186">
        <f t="shared" si="17"/>
        <v>11.370000000000001</v>
      </c>
      <c r="AA186" s="186">
        <f t="shared" si="18"/>
        <v>14.97</v>
      </c>
      <c r="AB186" s="186">
        <f t="shared" si="19"/>
        <v>12.9</v>
      </c>
      <c r="AC186" s="186">
        <f t="shared" si="20"/>
        <v>14.49</v>
      </c>
    </row>
    <row r="187" spans="1:45" ht="27.6">
      <c r="A187" s="69" t="s">
        <v>397</v>
      </c>
      <c r="B187" s="69" t="s">
        <v>398</v>
      </c>
      <c r="C187" s="40"/>
      <c r="D187" s="40"/>
      <c r="E187" s="48" t="s">
        <v>399</v>
      </c>
      <c r="F187" s="48" t="s">
        <v>399</v>
      </c>
      <c r="G187" s="48" t="s">
        <v>399</v>
      </c>
      <c r="H187" s="48" t="s">
        <v>399</v>
      </c>
      <c r="I187" s="48"/>
      <c r="J187" s="48" t="s">
        <v>399</v>
      </c>
      <c r="K187" s="48" t="s">
        <v>399</v>
      </c>
      <c r="L187" s="48"/>
      <c r="M187" s="48" t="s">
        <v>399</v>
      </c>
      <c r="N187" s="48" t="s">
        <v>399</v>
      </c>
      <c r="O187" s="48"/>
      <c r="P187" s="48" t="s">
        <v>399</v>
      </c>
      <c r="Q187" s="48" t="s">
        <v>399</v>
      </c>
      <c r="R187" s="48"/>
      <c r="S187" s="30"/>
      <c r="T187" s="30"/>
      <c r="U187" s="30"/>
      <c r="V187" s="60">
        <v>50</v>
      </c>
      <c r="W187" s="186">
        <f t="shared" si="14"/>
        <v>18.824999999999999</v>
      </c>
      <c r="X187" s="186">
        <f t="shared" si="15"/>
        <v>18.824999999999999</v>
      </c>
      <c r="Y187" s="186">
        <f t="shared" si="16"/>
        <v>22.6</v>
      </c>
      <c r="Z187" s="186">
        <f t="shared" si="17"/>
        <v>18.95</v>
      </c>
      <c r="AA187" s="186">
        <f t="shared" si="18"/>
        <v>24.95</v>
      </c>
      <c r="AB187" s="186">
        <f t="shared" si="19"/>
        <v>21.5</v>
      </c>
      <c r="AC187" s="186">
        <f t="shared" si="20"/>
        <v>24.15</v>
      </c>
    </row>
    <row r="188" spans="1:45">
      <c r="A188" s="69" t="s">
        <v>400</v>
      </c>
      <c r="B188" s="69" t="s">
        <v>401</v>
      </c>
      <c r="C188" s="40"/>
      <c r="D188" s="40"/>
      <c r="E188" s="95" t="s">
        <v>402</v>
      </c>
      <c r="F188" s="95" t="s">
        <v>402</v>
      </c>
      <c r="G188" s="95" t="s">
        <v>402</v>
      </c>
      <c r="H188" s="95" t="s">
        <v>402</v>
      </c>
      <c r="I188" s="95"/>
      <c r="J188" s="95" t="s">
        <v>402</v>
      </c>
      <c r="K188" s="95" t="s">
        <v>402</v>
      </c>
      <c r="L188" s="95"/>
      <c r="M188" s="95" t="s">
        <v>402</v>
      </c>
      <c r="N188" s="95" t="s">
        <v>402</v>
      </c>
      <c r="O188" s="95"/>
      <c r="P188" s="95" t="s">
        <v>402</v>
      </c>
      <c r="Q188" s="95" t="s">
        <v>402</v>
      </c>
      <c r="R188" s="95"/>
      <c r="S188" s="139"/>
      <c r="T188" s="139"/>
      <c r="U188" s="139"/>
      <c r="V188" s="60">
        <v>10</v>
      </c>
      <c r="W188" s="186">
        <f t="shared" si="14"/>
        <v>3.7650000000000001</v>
      </c>
      <c r="X188" s="186">
        <f t="shared" si="15"/>
        <v>3.7650000000000001</v>
      </c>
      <c r="Y188" s="186">
        <f t="shared" si="16"/>
        <v>4.5200000000000005</v>
      </c>
      <c r="Z188" s="186">
        <f t="shared" si="17"/>
        <v>3.79</v>
      </c>
      <c r="AA188" s="186">
        <f t="shared" si="18"/>
        <v>4.99</v>
      </c>
      <c r="AB188" s="186">
        <f t="shared" si="19"/>
        <v>4.3</v>
      </c>
      <c r="AC188" s="186">
        <f t="shared" si="20"/>
        <v>4.83</v>
      </c>
    </row>
    <row r="189" spans="1:45">
      <c r="A189" s="69" t="s">
        <v>403</v>
      </c>
      <c r="B189" s="69" t="s">
        <v>404</v>
      </c>
      <c r="C189" s="40"/>
      <c r="D189" s="40"/>
      <c r="E189" s="95" t="s">
        <v>405</v>
      </c>
      <c r="F189" s="95" t="s">
        <v>405</v>
      </c>
      <c r="G189" s="95" t="s">
        <v>405</v>
      </c>
      <c r="H189" s="95" t="s">
        <v>405</v>
      </c>
      <c r="I189" s="95"/>
      <c r="J189" s="95" t="s">
        <v>405</v>
      </c>
      <c r="K189" s="95" t="s">
        <v>405</v>
      </c>
      <c r="L189" s="95"/>
      <c r="M189" s="95" t="s">
        <v>405</v>
      </c>
      <c r="N189" s="95" t="s">
        <v>405</v>
      </c>
      <c r="O189" s="95"/>
      <c r="P189" s="95" t="s">
        <v>405</v>
      </c>
      <c r="Q189" s="95" t="s">
        <v>405</v>
      </c>
      <c r="R189" s="95"/>
      <c r="S189" s="139"/>
      <c r="T189" s="139"/>
      <c r="U189" s="139"/>
      <c r="V189" s="60">
        <v>10</v>
      </c>
      <c r="W189" s="186">
        <f t="shared" si="14"/>
        <v>3.7650000000000001</v>
      </c>
      <c r="X189" s="186">
        <f t="shared" si="15"/>
        <v>3.7650000000000001</v>
      </c>
      <c r="Y189" s="186">
        <f t="shared" si="16"/>
        <v>4.5200000000000005</v>
      </c>
      <c r="Z189" s="186">
        <f t="shared" si="17"/>
        <v>3.79</v>
      </c>
      <c r="AA189" s="186">
        <f t="shared" si="18"/>
        <v>4.99</v>
      </c>
      <c r="AB189" s="186">
        <f t="shared" si="19"/>
        <v>4.3</v>
      </c>
      <c r="AC189" s="186">
        <f t="shared" si="20"/>
        <v>4.83</v>
      </c>
    </row>
    <row r="190" spans="1:45">
      <c r="A190" s="132" t="s">
        <v>292</v>
      </c>
      <c r="B190" s="132" t="s">
        <v>293</v>
      </c>
      <c r="C190" s="107"/>
      <c r="D190" s="107"/>
      <c r="E190" s="230" t="s">
        <v>294</v>
      </c>
      <c r="F190" s="230" t="s">
        <v>294</v>
      </c>
      <c r="G190" s="230" t="s">
        <v>294</v>
      </c>
      <c r="H190" s="230" t="s">
        <v>294</v>
      </c>
      <c r="I190" s="230"/>
      <c r="J190" s="230" t="s">
        <v>294</v>
      </c>
      <c r="K190" s="230" t="s">
        <v>294</v>
      </c>
      <c r="L190" s="230"/>
      <c r="M190" s="230" t="s">
        <v>294</v>
      </c>
      <c r="N190" s="230" t="s">
        <v>294</v>
      </c>
      <c r="O190" s="230"/>
      <c r="P190" s="230" t="s">
        <v>294</v>
      </c>
      <c r="Q190" s="230" t="s">
        <v>294</v>
      </c>
      <c r="R190" s="230"/>
      <c r="S190" s="72"/>
      <c r="T190" s="72"/>
      <c r="U190" s="72"/>
      <c r="V190" s="35">
        <v>158</v>
      </c>
      <c r="W190" s="370">
        <f t="shared" si="14"/>
        <v>59.487000000000002</v>
      </c>
      <c r="X190" s="370">
        <f t="shared" si="15"/>
        <v>59.487000000000002</v>
      </c>
      <c r="Y190" s="370">
        <f t="shared" si="16"/>
        <v>71.415999999999997</v>
      </c>
      <c r="Z190" s="370">
        <f t="shared" si="17"/>
        <v>59.881999999999998</v>
      </c>
      <c r="AA190" s="370">
        <f t="shared" si="18"/>
        <v>78.841999999999999</v>
      </c>
      <c r="AB190" s="370">
        <f t="shared" si="19"/>
        <v>67.94</v>
      </c>
      <c r="AC190" s="370">
        <f t="shared" si="20"/>
        <v>76.313999999999993</v>
      </c>
    </row>
    <row r="191" spans="1:45">
      <c r="A191" s="132" t="s">
        <v>295</v>
      </c>
      <c r="B191" s="132" t="s">
        <v>296</v>
      </c>
      <c r="C191" s="107"/>
      <c r="D191" s="107"/>
      <c r="E191" s="230" t="s">
        <v>406</v>
      </c>
      <c r="F191" s="230" t="s">
        <v>406</v>
      </c>
      <c r="G191" s="230" t="s">
        <v>406</v>
      </c>
      <c r="H191" s="230" t="s">
        <v>406</v>
      </c>
      <c r="I191" s="230"/>
      <c r="J191" s="230" t="s">
        <v>406</v>
      </c>
      <c r="K191" s="230" t="s">
        <v>406</v>
      </c>
      <c r="L191" s="230"/>
      <c r="M191" s="230" t="s">
        <v>406</v>
      </c>
      <c r="N191" s="230" t="s">
        <v>406</v>
      </c>
      <c r="O191" s="230"/>
      <c r="P191" s="230" t="s">
        <v>406</v>
      </c>
      <c r="Q191" s="230" t="s">
        <v>406</v>
      </c>
      <c r="R191" s="230"/>
      <c r="S191" s="72"/>
      <c r="T191" s="72"/>
      <c r="U191" s="72"/>
      <c r="V191" s="35">
        <v>22</v>
      </c>
      <c r="W191" s="370">
        <f t="shared" si="14"/>
        <v>8.2829999999999995</v>
      </c>
      <c r="X191" s="370">
        <f t="shared" si="15"/>
        <v>8.2829999999999995</v>
      </c>
      <c r="Y191" s="370">
        <f t="shared" si="16"/>
        <v>9.9440000000000008</v>
      </c>
      <c r="Z191" s="370">
        <f t="shared" si="17"/>
        <v>8.338000000000001</v>
      </c>
      <c r="AA191" s="370">
        <f t="shared" si="18"/>
        <v>10.978</v>
      </c>
      <c r="AB191" s="370">
        <f t="shared" si="19"/>
        <v>9.4599999999999991</v>
      </c>
      <c r="AC191" s="370">
        <f t="shared" si="20"/>
        <v>10.625999999999999</v>
      </c>
    </row>
    <row r="192" spans="1:45" s="237" customFormat="1" ht="27.6">
      <c r="A192" s="132" t="s">
        <v>299</v>
      </c>
      <c r="B192" s="99" t="s">
        <v>300</v>
      </c>
      <c r="C192" s="107"/>
      <c r="D192" s="107"/>
      <c r="E192" s="230" t="s">
        <v>407</v>
      </c>
      <c r="F192" s="230" t="s">
        <v>407</v>
      </c>
      <c r="G192" s="230" t="s">
        <v>407</v>
      </c>
      <c r="H192" s="230" t="s">
        <v>407</v>
      </c>
      <c r="I192" s="230"/>
      <c r="J192" s="230" t="s">
        <v>407</v>
      </c>
      <c r="K192" s="230" t="s">
        <v>407</v>
      </c>
      <c r="L192" s="230"/>
      <c r="M192" s="230" t="s">
        <v>407</v>
      </c>
      <c r="N192" s="230" t="s">
        <v>407</v>
      </c>
      <c r="O192" s="230"/>
      <c r="P192" s="230" t="s">
        <v>407</v>
      </c>
      <c r="Q192" s="230" t="s">
        <v>407</v>
      </c>
      <c r="R192" s="230"/>
      <c r="S192" s="72"/>
      <c r="T192" s="72"/>
      <c r="U192" s="72"/>
      <c r="V192" s="35">
        <v>52</v>
      </c>
      <c r="W192" s="370">
        <f t="shared" si="14"/>
        <v>19.577999999999999</v>
      </c>
      <c r="X192" s="370">
        <f t="shared" si="15"/>
        <v>19.577999999999999</v>
      </c>
      <c r="Y192" s="370">
        <f t="shared" si="16"/>
        <v>23.504000000000001</v>
      </c>
      <c r="Z192" s="370">
        <f t="shared" si="17"/>
        <v>19.707999999999998</v>
      </c>
      <c r="AA192" s="370">
        <f t="shared" si="18"/>
        <v>25.948</v>
      </c>
      <c r="AB192" s="370">
        <f t="shared" si="19"/>
        <v>22.36</v>
      </c>
      <c r="AC192" s="370">
        <f t="shared" si="20"/>
        <v>25.116</v>
      </c>
      <c r="AD192" s="169"/>
      <c r="AE192" s="169"/>
      <c r="AF192" s="169"/>
      <c r="AG192" s="169"/>
      <c r="AH192" s="169"/>
      <c r="AI192" s="169"/>
      <c r="AJ192" s="169"/>
      <c r="AK192" s="169"/>
      <c r="AL192" s="169"/>
      <c r="AM192" s="169"/>
      <c r="AN192" s="169"/>
      <c r="AO192" s="169"/>
      <c r="AP192" s="169"/>
      <c r="AQ192" s="169"/>
      <c r="AR192" s="169"/>
      <c r="AS192" s="169"/>
    </row>
    <row r="193" spans="1:45" s="237" customFormat="1">
      <c r="A193" s="235"/>
      <c r="B193" s="140"/>
      <c r="C193" s="134"/>
      <c r="D193" s="134"/>
      <c r="E193" s="45"/>
      <c r="F193" s="45"/>
      <c r="G193" s="45"/>
      <c r="H193" s="45"/>
      <c r="I193" s="45"/>
      <c r="J193" s="45"/>
      <c r="K193" s="45"/>
      <c r="L193" s="45"/>
      <c r="M193" s="45"/>
      <c r="N193" s="45"/>
      <c r="O193" s="45"/>
      <c r="P193" s="45"/>
      <c r="Q193" s="45"/>
      <c r="R193" s="45"/>
      <c r="S193" s="45"/>
      <c r="T193" s="45"/>
      <c r="U193" s="45"/>
      <c r="V193" s="181"/>
      <c r="W193" s="181"/>
      <c r="X193" s="181"/>
      <c r="Y193" s="181"/>
      <c r="Z193" s="181"/>
      <c r="AA193" s="181"/>
      <c r="AB193" s="181"/>
      <c r="AC193" s="181"/>
      <c r="AD193" s="169"/>
      <c r="AE193" s="169"/>
      <c r="AF193" s="169"/>
      <c r="AG193" s="169"/>
      <c r="AH193" s="169"/>
      <c r="AI193" s="169"/>
      <c r="AJ193" s="169"/>
      <c r="AK193" s="169"/>
      <c r="AL193" s="169"/>
      <c r="AM193" s="169"/>
      <c r="AN193" s="169"/>
      <c r="AO193" s="169"/>
      <c r="AP193" s="169"/>
      <c r="AQ193" s="169"/>
      <c r="AR193" s="169"/>
      <c r="AS193" s="169"/>
    </row>
    <row r="194" spans="1:45" s="237" customFormat="1">
      <c r="A194" s="39" t="s">
        <v>408</v>
      </c>
      <c r="B194" s="39"/>
      <c r="C194" s="39"/>
      <c r="D194" s="39"/>
      <c r="E194" s="39"/>
      <c r="F194" s="39"/>
      <c r="G194" s="39"/>
      <c r="H194" s="39"/>
      <c r="I194" s="39"/>
      <c r="J194" s="39"/>
      <c r="K194" s="39"/>
      <c r="L194" s="39"/>
      <c r="M194" s="39"/>
      <c r="N194" s="39"/>
      <c r="O194" s="39"/>
      <c r="P194" s="39"/>
      <c r="Q194" s="39"/>
      <c r="R194" s="39"/>
      <c r="S194" s="39"/>
      <c r="T194" s="39"/>
      <c r="U194" s="39"/>
      <c r="V194" s="187"/>
      <c r="W194" s="187"/>
      <c r="X194" s="187"/>
      <c r="Y194" s="187"/>
      <c r="Z194" s="187"/>
      <c r="AA194" s="187"/>
      <c r="AB194" s="187"/>
      <c r="AC194" s="187"/>
      <c r="AD194" s="169"/>
      <c r="AE194" s="169"/>
      <c r="AF194" s="169"/>
      <c r="AG194" s="169"/>
      <c r="AH194" s="169"/>
      <c r="AI194" s="169"/>
      <c r="AJ194" s="169"/>
      <c r="AK194" s="169"/>
      <c r="AL194" s="169"/>
      <c r="AM194" s="169"/>
      <c r="AN194" s="169"/>
      <c r="AO194" s="169"/>
      <c r="AP194" s="169"/>
      <c r="AQ194" s="169"/>
      <c r="AR194" s="169"/>
      <c r="AS194" s="169"/>
    </row>
    <row r="195" spans="1:45" s="10" customFormat="1" ht="82.8">
      <c r="A195" s="159" t="s">
        <v>141</v>
      </c>
      <c r="B195" s="159" t="s">
        <v>142</v>
      </c>
      <c r="C195" s="159" t="s">
        <v>143</v>
      </c>
      <c r="D195" s="159" t="s">
        <v>144</v>
      </c>
      <c r="E195" s="159"/>
      <c r="F195" s="159"/>
      <c r="G195" s="159"/>
      <c r="H195" s="159"/>
      <c r="I195" s="159"/>
      <c r="J195" s="159"/>
      <c r="K195" s="159"/>
      <c r="L195" s="159"/>
      <c r="M195" s="159"/>
      <c r="N195" s="159"/>
      <c r="O195" s="159"/>
      <c r="P195" s="159"/>
      <c r="Q195" s="159"/>
      <c r="R195" s="159"/>
      <c r="S195" s="159"/>
      <c r="T195" s="159"/>
      <c r="U195" s="159"/>
      <c r="V195" s="145" t="s">
        <v>145</v>
      </c>
      <c r="W195" s="371"/>
      <c r="X195" s="371"/>
      <c r="Y195" s="371"/>
      <c r="Z195" s="371"/>
      <c r="AA195" s="371"/>
      <c r="AB195" s="371"/>
      <c r="AC195" s="371"/>
      <c r="AD195" s="9"/>
      <c r="AE195" s="9"/>
      <c r="AF195" s="9"/>
      <c r="AG195" s="9"/>
      <c r="AH195" s="9"/>
      <c r="AI195" s="9"/>
      <c r="AJ195" s="9"/>
      <c r="AK195" s="9"/>
      <c r="AL195" s="9"/>
      <c r="AM195" s="9"/>
      <c r="AN195" s="9"/>
      <c r="AO195" s="9"/>
      <c r="AP195" s="9"/>
      <c r="AQ195" s="9"/>
      <c r="AR195" s="9"/>
      <c r="AS195" s="9"/>
    </row>
    <row r="196" spans="1:45">
      <c r="A196" s="144"/>
      <c r="B196" s="52"/>
      <c r="C196" s="150"/>
      <c r="D196" s="150"/>
      <c r="E196" s="104"/>
      <c r="F196" s="104"/>
      <c r="G196" s="104"/>
      <c r="H196" s="104"/>
      <c r="I196" s="104"/>
      <c r="J196" s="104"/>
      <c r="K196" s="104"/>
      <c r="L196" s="104"/>
      <c r="M196" s="104"/>
      <c r="N196" s="104"/>
      <c r="O196" s="104"/>
      <c r="P196" s="104"/>
      <c r="Q196" s="104"/>
      <c r="R196" s="104"/>
      <c r="S196" s="104"/>
      <c r="T196" s="104"/>
      <c r="U196" s="104"/>
      <c r="V196" s="181"/>
      <c r="W196" s="181"/>
      <c r="X196" s="181"/>
      <c r="Y196" s="181"/>
      <c r="Z196" s="181"/>
      <c r="AA196" s="181"/>
      <c r="AB196" s="181"/>
      <c r="AC196" s="181"/>
    </row>
    <row r="197" spans="1:45" ht="189.6" customHeight="1">
      <c r="A197" s="52" t="s">
        <v>409</v>
      </c>
      <c r="B197" s="52" t="s">
        <v>410</v>
      </c>
      <c r="C197" s="150"/>
      <c r="D197" s="150"/>
      <c r="E197" s="104"/>
      <c r="F197" s="104"/>
      <c r="G197" s="104"/>
      <c r="H197" s="104"/>
      <c r="I197" s="104"/>
      <c r="J197" s="104"/>
      <c r="K197" s="104"/>
      <c r="L197" s="104"/>
      <c r="M197" s="104"/>
      <c r="N197" s="104"/>
      <c r="O197" s="104"/>
      <c r="P197" s="104"/>
      <c r="Q197" s="104"/>
      <c r="R197" s="104"/>
      <c r="S197" s="104"/>
      <c r="T197" s="104"/>
      <c r="U197" s="104"/>
      <c r="V197" s="228">
        <v>562</v>
      </c>
      <c r="W197" s="366">
        <f t="shared" si="14"/>
        <v>211.59299999999999</v>
      </c>
      <c r="X197" s="366">
        <f t="shared" si="15"/>
        <v>211.59299999999999</v>
      </c>
      <c r="Y197" s="366">
        <f t="shared" si="16"/>
        <v>254.024</v>
      </c>
      <c r="Z197" s="366">
        <f t="shared" si="17"/>
        <v>212.99799999999999</v>
      </c>
      <c r="AA197" s="366">
        <f t="shared" si="18"/>
        <v>280.43799999999999</v>
      </c>
      <c r="AB197" s="366">
        <f t="shared" si="19"/>
        <v>241.66</v>
      </c>
      <c r="AC197" s="366">
        <f t="shared" si="20"/>
        <v>271.44599999999997</v>
      </c>
      <c r="AD197" s="171"/>
      <c r="AE197" s="171"/>
      <c r="AF197" s="171"/>
      <c r="AG197" s="171"/>
      <c r="AH197" s="171"/>
      <c r="AI197" s="171"/>
      <c r="AJ197" s="171"/>
      <c r="AK197" s="171"/>
      <c r="AL197" s="171"/>
      <c r="AM197" s="171"/>
      <c r="AN197" s="171"/>
      <c r="AO197" s="171"/>
      <c r="AP197" s="171"/>
      <c r="AQ197" s="171"/>
      <c r="AR197" s="171"/>
      <c r="AS197" s="171"/>
    </row>
    <row r="198" spans="1:45" ht="17.100000000000001" customHeight="1">
      <c r="A198" s="71"/>
      <c r="B198" s="52"/>
      <c r="C198" s="150"/>
      <c r="D198" s="150"/>
      <c r="E198" s="104"/>
      <c r="F198" s="104"/>
      <c r="G198" s="104"/>
      <c r="H198" s="104"/>
      <c r="I198" s="104"/>
      <c r="J198" s="104"/>
      <c r="K198" s="104"/>
      <c r="L198" s="104"/>
      <c r="M198" s="104"/>
      <c r="N198" s="104"/>
      <c r="O198" s="104"/>
      <c r="P198" s="104"/>
      <c r="Q198" s="104"/>
      <c r="R198" s="104"/>
      <c r="S198" s="104"/>
      <c r="T198" s="104"/>
      <c r="U198" s="104"/>
      <c r="V198" s="228"/>
      <c r="W198" s="366"/>
      <c r="X198" s="366"/>
      <c r="Y198" s="366"/>
      <c r="Z198" s="366"/>
      <c r="AA198" s="366"/>
      <c r="AB198" s="366"/>
      <c r="AC198" s="366"/>
      <c r="AD198" s="171"/>
      <c r="AE198" s="171"/>
      <c r="AF198" s="171"/>
      <c r="AG198" s="171"/>
      <c r="AH198" s="171"/>
      <c r="AI198" s="171"/>
      <c r="AJ198" s="171"/>
      <c r="AK198" s="171"/>
      <c r="AL198" s="171"/>
      <c r="AM198" s="171"/>
      <c r="AN198" s="171"/>
      <c r="AO198" s="171"/>
      <c r="AP198" s="171"/>
      <c r="AQ198" s="171"/>
      <c r="AR198" s="171"/>
      <c r="AS198" s="171"/>
    </row>
    <row r="199" spans="1:45" ht="168" customHeight="1">
      <c r="A199" s="69" t="s">
        <v>411</v>
      </c>
      <c r="B199" s="52" t="s">
        <v>412</v>
      </c>
      <c r="C199" s="150"/>
      <c r="D199" s="150"/>
      <c r="E199" s="104"/>
      <c r="F199" s="104"/>
      <c r="G199" s="104"/>
      <c r="H199" s="104"/>
      <c r="I199" s="104"/>
      <c r="J199" s="104"/>
      <c r="K199" s="104"/>
      <c r="L199" s="104"/>
      <c r="M199" s="104"/>
      <c r="N199" s="104"/>
      <c r="O199" s="104"/>
      <c r="P199" s="104"/>
      <c r="Q199" s="104"/>
      <c r="R199" s="104"/>
      <c r="S199" s="104"/>
      <c r="T199" s="104"/>
      <c r="U199" s="104"/>
      <c r="V199" s="228">
        <v>544</v>
      </c>
      <c r="W199" s="366">
        <f t="shared" si="14"/>
        <v>204.816</v>
      </c>
      <c r="X199" s="366">
        <f t="shared" si="15"/>
        <v>204.816</v>
      </c>
      <c r="Y199" s="366">
        <f t="shared" si="16"/>
        <v>245.88800000000001</v>
      </c>
      <c r="Z199" s="366">
        <f t="shared" si="17"/>
        <v>206.17599999999999</v>
      </c>
      <c r="AA199" s="366">
        <f t="shared" si="18"/>
        <v>271.45600000000002</v>
      </c>
      <c r="AB199" s="366">
        <f t="shared" si="19"/>
        <v>233.92</v>
      </c>
      <c r="AC199" s="366">
        <f t="shared" si="20"/>
        <v>262.75200000000001</v>
      </c>
      <c r="AD199" s="171"/>
      <c r="AE199" s="171"/>
      <c r="AF199" s="171"/>
      <c r="AG199" s="171"/>
      <c r="AH199" s="171"/>
      <c r="AI199" s="171"/>
      <c r="AJ199" s="171"/>
      <c r="AK199" s="171"/>
      <c r="AL199" s="171"/>
      <c r="AM199" s="171"/>
      <c r="AN199" s="171"/>
      <c r="AO199" s="171"/>
      <c r="AP199" s="171"/>
      <c r="AQ199" s="171"/>
      <c r="AR199" s="171"/>
      <c r="AS199" s="171"/>
    </row>
    <row r="200" spans="1:45" ht="15.6" customHeight="1">
      <c r="A200" s="71"/>
      <c r="B200" s="71"/>
      <c r="C200" s="150"/>
      <c r="D200" s="150"/>
      <c r="E200" s="104"/>
      <c r="F200" s="104"/>
      <c r="G200" s="104"/>
      <c r="H200" s="104"/>
      <c r="I200" s="104"/>
      <c r="J200" s="104"/>
      <c r="K200" s="104"/>
      <c r="L200" s="104"/>
      <c r="M200" s="104"/>
      <c r="N200" s="104"/>
      <c r="O200" s="104"/>
      <c r="P200" s="104"/>
      <c r="Q200" s="104"/>
      <c r="R200" s="104"/>
      <c r="S200" s="104"/>
      <c r="T200" s="104"/>
      <c r="U200" s="104"/>
      <c r="V200" s="228"/>
      <c r="W200" s="366"/>
      <c r="X200" s="366"/>
      <c r="Y200" s="366"/>
      <c r="Z200" s="366"/>
      <c r="AA200" s="366"/>
      <c r="AB200" s="366"/>
      <c r="AC200" s="366"/>
      <c r="AD200" s="171"/>
      <c r="AE200" s="171"/>
      <c r="AF200" s="171"/>
      <c r="AG200" s="171"/>
      <c r="AH200" s="171"/>
      <c r="AI200" s="171"/>
      <c r="AJ200" s="171"/>
      <c r="AK200" s="171"/>
      <c r="AL200" s="171"/>
      <c r="AM200" s="171"/>
      <c r="AN200" s="171"/>
      <c r="AO200" s="171"/>
      <c r="AP200" s="171"/>
      <c r="AQ200" s="171"/>
      <c r="AR200" s="171"/>
      <c r="AS200" s="171"/>
    </row>
    <row r="201" spans="1:45" ht="169.5" customHeight="1">
      <c r="A201" s="69" t="s">
        <v>1686</v>
      </c>
      <c r="B201" s="52" t="s">
        <v>413</v>
      </c>
      <c r="C201" s="150"/>
      <c r="D201" s="150"/>
      <c r="E201" s="104"/>
      <c r="F201" s="104"/>
      <c r="G201" s="104"/>
      <c r="H201" s="104"/>
      <c r="I201" s="104"/>
      <c r="J201" s="104"/>
      <c r="K201" s="104"/>
      <c r="L201" s="104"/>
      <c r="M201" s="104"/>
      <c r="N201" s="104"/>
      <c r="O201" s="104"/>
      <c r="P201" s="104"/>
      <c r="Q201" s="104"/>
      <c r="R201" s="104"/>
      <c r="S201" s="104"/>
      <c r="T201" s="104"/>
      <c r="U201" s="104"/>
      <c r="V201" s="23">
        <v>615</v>
      </c>
      <c r="W201" s="368">
        <f t="shared" si="14"/>
        <v>231.54750000000001</v>
      </c>
      <c r="X201" s="368">
        <f t="shared" si="15"/>
        <v>231.54750000000001</v>
      </c>
      <c r="Y201" s="368">
        <f t="shared" si="16"/>
        <v>277.98</v>
      </c>
      <c r="Z201" s="368">
        <f t="shared" si="17"/>
        <v>233.08500000000001</v>
      </c>
      <c r="AA201" s="368">
        <f t="shared" si="18"/>
        <v>306.88499999999999</v>
      </c>
      <c r="AB201" s="368">
        <f t="shared" si="19"/>
        <v>264.45</v>
      </c>
      <c r="AC201" s="368">
        <f t="shared" si="20"/>
        <v>297.04500000000002</v>
      </c>
      <c r="AD201" s="171"/>
      <c r="AE201" s="171"/>
      <c r="AF201" s="171"/>
      <c r="AG201" s="171"/>
      <c r="AH201" s="171"/>
      <c r="AI201" s="171"/>
      <c r="AJ201" s="171"/>
      <c r="AK201" s="171"/>
      <c r="AL201" s="171"/>
      <c r="AM201" s="171"/>
      <c r="AN201" s="171"/>
      <c r="AO201" s="171"/>
      <c r="AP201" s="171"/>
      <c r="AQ201" s="171"/>
      <c r="AR201" s="171"/>
      <c r="AS201" s="171"/>
    </row>
    <row r="202" spans="1:45">
      <c r="A202" s="71"/>
      <c r="B202" s="52"/>
      <c r="C202" s="150"/>
      <c r="D202" s="150"/>
      <c r="E202" s="104"/>
      <c r="F202" s="104"/>
      <c r="G202" s="104"/>
      <c r="H202" s="104"/>
      <c r="I202" s="104"/>
      <c r="J202" s="104"/>
      <c r="K202" s="104"/>
      <c r="L202" s="104"/>
      <c r="M202" s="104"/>
      <c r="N202" s="104"/>
      <c r="O202" s="104"/>
      <c r="P202" s="104"/>
      <c r="Q202" s="104"/>
      <c r="R202" s="104"/>
      <c r="S202" s="104"/>
      <c r="T202" s="104"/>
      <c r="U202" s="104"/>
      <c r="V202" s="181"/>
      <c r="W202" s="181"/>
      <c r="X202" s="181"/>
      <c r="Y202" s="181"/>
      <c r="Z202" s="181"/>
      <c r="AA202" s="181"/>
      <c r="AB202" s="181"/>
      <c r="AC202" s="181"/>
      <c r="AD202" s="171"/>
      <c r="AE202" s="171"/>
      <c r="AF202" s="171"/>
      <c r="AG202" s="171"/>
      <c r="AH202" s="171"/>
      <c r="AI202" s="171"/>
      <c r="AJ202" s="171"/>
      <c r="AK202" s="171"/>
      <c r="AL202" s="171"/>
      <c r="AM202" s="171"/>
      <c r="AN202" s="171"/>
      <c r="AO202" s="171"/>
      <c r="AP202" s="171"/>
      <c r="AQ202" s="171"/>
      <c r="AR202" s="171"/>
      <c r="AS202" s="171"/>
    </row>
    <row r="203" spans="1:45" ht="151.80000000000001">
      <c r="A203" s="71" t="s">
        <v>414</v>
      </c>
      <c r="B203" s="52" t="s">
        <v>415</v>
      </c>
      <c r="C203" s="150"/>
      <c r="D203" s="150"/>
      <c r="E203" s="104"/>
      <c r="F203" s="104"/>
      <c r="G203" s="104"/>
      <c r="H203" s="104"/>
      <c r="I203" s="104"/>
      <c r="J203" s="104"/>
      <c r="K203" s="104"/>
      <c r="L203" s="104"/>
      <c r="M203" s="104"/>
      <c r="N203" s="104"/>
      <c r="O203" s="104"/>
      <c r="P203" s="104"/>
      <c r="Q203" s="104"/>
      <c r="R203" s="104"/>
      <c r="S203" s="104"/>
      <c r="T203" s="104"/>
      <c r="U203" s="104"/>
      <c r="V203" s="228">
        <v>562</v>
      </c>
      <c r="W203" s="366">
        <f t="shared" si="14"/>
        <v>211.59299999999999</v>
      </c>
      <c r="X203" s="366">
        <f t="shared" si="15"/>
        <v>211.59299999999999</v>
      </c>
      <c r="Y203" s="366">
        <f t="shared" si="16"/>
        <v>254.024</v>
      </c>
      <c r="Z203" s="366">
        <f t="shared" si="17"/>
        <v>212.99799999999999</v>
      </c>
      <c r="AA203" s="366">
        <f t="shared" si="18"/>
        <v>280.43799999999999</v>
      </c>
      <c r="AB203" s="366">
        <f t="shared" si="19"/>
        <v>241.66</v>
      </c>
      <c r="AC203" s="366">
        <f t="shared" si="20"/>
        <v>271.44599999999997</v>
      </c>
      <c r="AD203" s="171"/>
      <c r="AE203" s="171"/>
      <c r="AF203" s="171"/>
      <c r="AG203" s="171"/>
      <c r="AH203" s="171"/>
      <c r="AI203" s="171"/>
      <c r="AJ203" s="171"/>
      <c r="AK203" s="171"/>
      <c r="AL203" s="171"/>
      <c r="AM203" s="171"/>
      <c r="AN203" s="171"/>
      <c r="AO203" s="171"/>
      <c r="AP203" s="171"/>
      <c r="AQ203" s="171"/>
      <c r="AR203" s="171"/>
      <c r="AS203" s="171"/>
    </row>
    <row r="204" spans="1:45" ht="16.2" customHeight="1">
      <c r="A204" s="71"/>
      <c r="B204" s="71"/>
      <c r="C204" s="150"/>
      <c r="D204" s="150"/>
      <c r="E204" s="104"/>
      <c r="F204" s="104"/>
      <c r="G204" s="104"/>
      <c r="H204" s="104"/>
      <c r="I204" s="104"/>
      <c r="J204" s="104"/>
      <c r="K204" s="104"/>
      <c r="L204" s="104"/>
      <c r="M204" s="104"/>
      <c r="N204" s="104"/>
      <c r="O204" s="104"/>
      <c r="P204" s="104"/>
      <c r="Q204" s="104"/>
      <c r="R204" s="104"/>
      <c r="S204" s="104"/>
      <c r="T204" s="104"/>
      <c r="U204" s="104"/>
      <c r="V204" s="228"/>
      <c r="W204" s="366"/>
      <c r="X204" s="366"/>
      <c r="Y204" s="366"/>
      <c r="Z204" s="366"/>
      <c r="AA204" s="366"/>
      <c r="AB204" s="366"/>
      <c r="AC204" s="366"/>
      <c r="AD204" s="171"/>
      <c r="AE204" s="171"/>
      <c r="AF204" s="171"/>
      <c r="AG204" s="171"/>
      <c r="AH204" s="171"/>
      <c r="AI204" s="171"/>
      <c r="AJ204" s="171"/>
      <c r="AK204" s="171"/>
      <c r="AL204" s="171"/>
      <c r="AM204" s="171"/>
      <c r="AN204" s="171"/>
      <c r="AO204" s="171"/>
      <c r="AP204" s="171"/>
      <c r="AQ204" s="171"/>
      <c r="AR204" s="171"/>
      <c r="AS204" s="171"/>
    </row>
    <row r="205" spans="1:45" ht="151.80000000000001">
      <c r="A205" s="71" t="s">
        <v>1682</v>
      </c>
      <c r="B205" s="52" t="s">
        <v>416</v>
      </c>
      <c r="C205" s="150"/>
      <c r="D205" s="150"/>
      <c r="E205" s="104"/>
      <c r="F205" s="104"/>
      <c r="G205" s="104"/>
      <c r="H205" s="104"/>
      <c r="I205" s="104"/>
      <c r="J205" s="104"/>
      <c r="K205" s="104"/>
      <c r="L205" s="104"/>
      <c r="M205" s="104"/>
      <c r="N205" s="104"/>
      <c r="O205" s="104"/>
      <c r="P205" s="104"/>
      <c r="Q205" s="104"/>
      <c r="R205" s="104"/>
      <c r="S205" s="104"/>
      <c r="T205" s="104"/>
      <c r="U205" s="104"/>
      <c r="V205" s="23">
        <v>622</v>
      </c>
      <c r="W205" s="368">
        <f t="shared" ref="W205:W268" si="21">V205*$W$9</f>
        <v>234.18299999999999</v>
      </c>
      <c r="X205" s="368">
        <f t="shared" ref="X205:X268" si="22">V205*$X$9</f>
        <v>234.18299999999999</v>
      </c>
      <c r="Y205" s="368">
        <f t="shared" ref="Y205:Y268" si="23">V205*$Y$9</f>
        <v>281.14400000000001</v>
      </c>
      <c r="Z205" s="368">
        <f t="shared" ref="Z205:Z268" si="24">V205*$Z$9</f>
        <v>235.738</v>
      </c>
      <c r="AA205" s="368">
        <f t="shared" ref="AA205:AA268" si="25">V205*$AA$9</f>
        <v>310.37799999999999</v>
      </c>
      <c r="AB205" s="368">
        <f t="shared" ref="AB205:AB268" si="26">V205*$AB$9</f>
        <v>267.45999999999998</v>
      </c>
      <c r="AC205" s="368">
        <f t="shared" ref="AC205:AC268" si="27">V205*$AC$9</f>
        <v>300.42599999999999</v>
      </c>
      <c r="AD205" s="171"/>
      <c r="AE205" s="171"/>
      <c r="AF205" s="171"/>
      <c r="AG205" s="171"/>
      <c r="AH205" s="171"/>
      <c r="AI205" s="171"/>
      <c r="AJ205" s="171"/>
      <c r="AK205" s="171"/>
      <c r="AL205" s="171"/>
      <c r="AM205" s="171"/>
      <c r="AN205" s="171"/>
      <c r="AO205" s="171"/>
      <c r="AP205" s="171"/>
      <c r="AQ205" s="171"/>
      <c r="AR205" s="171"/>
      <c r="AS205" s="171"/>
    </row>
    <row r="206" spans="1:45">
      <c r="A206" s="71"/>
      <c r="B206" s="52"/>
      <c r="C206" s="150"/>
      <c r="D206" s="150"/>
      <c r="E206" s="104"/>
      <c r="F206" s="104"/>
      <c r="G206" s="104"/>
      <c r="H206" s="104"/>
      <c r="I206" s="104"/>
      <c r="J206" s="104"/>
      <c r="K206" s="104"/>
      <c r="L206" s="104"/>
      <c r="M206" s="104"/>
      <c r="N206" s="104"/>
      <c r="O206" s="104"/>
      <c r="P206" s="104"/>
      <c r="Q206" s="104"/>
      <c r="R206" s="104"/>
      <c r="S206" s="104"/>
      <c r="T206" s="104"/>
      <c r="U206" s="104"/>
      <c r="V206" s="228"/>
      <c r="W206" s="366"/>
      <c r="X206" s="366"/>
      <c r="Y206" s="366"/>
      <c r="Z206" s="366"/>
      <c r="AA206" s="366"/>
      <c r="AB206" s="366"/>
      <c r="AC206" s="366"/>
      <c r="AD206" s="171"/>
      <c r="AE206" s="171"/>
      <c r="AF206" s="171"/>
      <c r="AG206" s="171"/>
      <c r="AH206" s="171"/>
      <c r="AI206" s="171"/>
      <c r="AJ206" s="171"/>
      <c r="AK206" s="171"/>
      <c r="AL206" s="171"/>
      <c r="AM206" s="171"/>
      <c r="AN206" s="171"/>
      <c r="AO206" s="171"/>
      <c r="AP206" s="171"/>
      <c r="AQ206" s="171"/>
      <c r="AR206" s="171"/>
      <c r="AS206" s="171"/>
    </row>
    <row r="207" spans="1:45" ht="151.80000000000001">
      <c r="A207" s="71" t="s">
        <v>1994</v>
      </c>
      <c r="B207" s="52" t="s">
        <v>417</v>
      </c>
      <c r="C207" s="150"/>
      <c r="D207" s="150"/>
      <c r="E207" s="104"/>
      <c r="F207" s="104"/>
      <c r="G207" s="104"/>
      <c r="H207" s="104"/>
      <c r="I207" s="104"/>
      <c r="J207" s="104"/>
      <c r="K207" s="104"/>
      <c r="L207" s="104"/>
      <c r="M207" s="104"/>
      <c r="N207" s="104"/>
      <c r="O207" s="104"/>
      <c r="P207" s="104"/>
      <c r="Q207" s="104"/>
      <c r="R207" s="104"/>
      <c r="S207" s="104"/>
      <c r="T207" s="104"/>
      <c r="U207" s="104"/>
      <c r="V207" s="228">
        <v>544</v>
      </c>
      <c r="W207" s="366">
        <f t="shared" si="21"/>
        <v>204.816</v>
      </c>
      <c r="X207" s="366">
        <f t="shared" si="22"/>
        <v>204.816</v>
      </c>
      <c r="Y207" s="366">
        <f t="shared" si="23"/>
        <v>245.88800000000001</v>
      </c>
      <c r="Z207" s="366">
        <f t="shared" si="24"/>
        <v>206.17599999999999</v>
      </c>
      <c r="AA207" s="366">
        <f t="shared" si="25"/>
        <v>271.45600000000002</v>
      </c>
      <c r="AB207" s="366">
        <f t="shared" si="26"/>
        <v>233.92</v>
      </c>
      <c r="AC207" s="366">
        <f t="shared" si="27"/>
        <v>262.75200000000001</v>
      </c>
      <c r="AD207" s="171"/>
      <c r="AE207" s="171"/>
      <c r="AF207" s="171"/>
      <c r="AG207" s="171"/>
      <c r="AH207" s="171"/>
      <c r="AI207" s="171"/>
      <c r="AJ207" s="171"/>
      <c r="AK207" s="171"/>
      <c r="AL207" s="171"/>
      <c r="AM207" s="171"/>
      <c r="AN207" s="171"/>
      <c r="AO207" s="171"/>
      <c r="AP207" s="171"/>
      <c r="AQ207" s="171"/>
      <c r="AR207" s="171"/>
      <c r="AS207" s="171"/>
    </row>
    <row r="208" spans="1:45" ht="21.6" customHeight="1">
      <c r="A208" s="71"/>
      <c r="B208" s="71"/>
      <c r="C208" s="150"/>
      <c r="D208" s="150"/>
      <c r="E208" s="104"/>
      <c r="F208" s="104"/>
      <c r="G208" s="104"/>
      <c r="H208" s="104"/>
      <c r="I208" s="104"/>
      <c r="J208" s="104"/>
      <c r="K208" s="104"/>
      <c r="L208" s="104"/>
      <c r="M208" s="104"/>
      <c r="N208" s="104"/>
      <c r="O208" s="104"/>
      <c r="P208" s="104"/>
      <c r="Q208" s="104"/>
      <c r="R208" s="104"/>
      <c r="S208" s="104"/>
      <c r="T208" s="104"/>
      <c r="U208" s="104"/>
      <c r="V208" s="228"/>
      <c r="W208" s="366"/>
      <c r="X208" s="366"/>
      <c r="Y208" s="366"/>
      <c r="Z208" s="366"/>
      <c r="AA208" s="366"/>
      <c r="AB208" s="366"/>
      <c r="AC208" s="366"/>
      <c r="AD208" s="171"/>
      <c r="AE208" s="171"/>
      <c r="AF208" s="171"/>
      <c r="AG208" s="171"/>
      <c r="AH208" s="171"/>
      <c r="AI208" s="171"/>
      <c r="AJ208" s="171"/>
      <c r="AK208" s="171"/>
      <c r="AL208" s="171"/>
      <c r="AM208" s="171"/>
      <c r="AN208" s="171"/>
      <c r="AO208" s="171"/>
      <c r="AP208" s="171"/>
      <c r="AQ208" s="171"/>
      <c r="AR208" s="171"/>
      <c r="AS208" s="171"/>
    </row>
    <row r="209" spans="1:45" ht="151.80000000000001">
      <c r="A209" s="71" t="s">
        <v>1687</v>
      </c>
      <c r="B209" s="52" t="s">
        <v>418</v>
      </c>
      <c r="C209" s="150"/>
      <c r="D209" s="150"/>
      <c r="E209" s="104"/>
      <c r="F209" s="104"/>
      <c r="G209" s="104"/>
      <c r="H209" s="104"/>
      <c r="I209" s="104"/>
      <c r="J209" s="104"/>
      <c r="K209" s="104"/>
      <c r="L209" s="104"/>
      <c r="M209" s="104"/>
      <c r="N209" s="104"/>
      <c r="O209" s="104"/>
      <c r="P209" s="104"/>
      <c r="Q209" s="104"/>
      <c r="R209" s="104"/>
      <c r="S209" s="104"/>
      <c r="T209" s="104"/>
      <c r="U209" s="104"/>
      <c r="V209" s="23">
        <v>615</v>
      </c>
      <c r="W209" s="368">
        <f t="shared" si="21"/>
        <v>231.54750000000001</v>
      </c>
      <c r="X209" s="368">
        <f t="shared" si="22"/>
        <v>231.54750000000001</v>
      </c>
      <c r="Y209" s="368">
        <f t="shared" si="23"/>
        <v>277.98</v>
      </c>
      <c r="Z209" s="368">
        <f t="shared" si="24"/>
        <v>233.08500000000001</v>
      </c>
      <c r="AA209" s="368">
        <f t="shared" si="25"/>
        <v>306.88499999999999</v>
      </c>
      <c r="AB209" s="368">
        <f t="shared" si="26"/>
        <v>264.45</v>
      </c>
      <c r="AC209" s="368">
        <f t="shared" si="27"/>
        <v>297.04500000000002</v>
      </c>
      <c r="AD209" s="171"/>
      <c r="AE209" s="171"/>
      <c r="AF209" s="171"/>
      <c r="AG209" s="171"/>
      <c r="AH209" s="171"/>
      <c r="AI209" s="171"/>
      <c r="AJ209" s="171"/>
      <c r="AK209" s="171"/>
      <c r="AL209" s="171"/>
      <c r="AM209" s="171"/>
      <c r="AN209" s="171"/>
      <c r="AO209" s="171"/>
      <c r="AP209" s="171"/>
      <c r="AQ209" s="171"/>
      <c r="AR209" s="171"/>
      <c r="AS209" s="171"/>
    </row>
    <row r="210" spans="1:45">
      <c r="A210" s="71"/>
      <c r="B210" s="52"/>
      <c r="C210" s="150"/>
      <c r="D210" s="150"/>
      <c r="E210" s="104"/>
      <c r="F210" s="104"/>
      <c r="G210" s="104"/>
      <c r="H210" s="104"/>
      <c r="I210" s="104"/>
      <c r="J210" s="104"/>
      <c r="K210" s="104"/>
      <c r="L210" s="104"/>
      <c r="M210" s="104"/>
      <c r="N210" s="104"/>
      <c r="O210" s="104"/>
      <c r="P210" s="104"/>
      <c r="Q210" s="104"/>
      <c r="R210" s="104"/>
      <c r="S210" s="104"/>
      <c r="T210" s="104"/>
      <c r="U210" s="104"/>
      <c r="V210" s="181"/>
      <c r="W210" s="181"/>
      <c r="X210" s="181"/>
      <c r="Y210" s="181"/>
      <c r="Z210" s="181"/>
      <c r="AA210" s="181"/>
      <c r="AB210" s="181"/>
      <c r="AC210" s="181"/>
      <c r="AD210" s="171"/>
      <c r="AE210" s="171"/>
      <c r="AF210" s="171"/>
      <c r="AG210" s="171"/>
      <c r="AH210" s="171"/>
      <c r="AI210" s="171"/>
      <c r="AJ210" s="171"/>
      <c r="AK210" s="171"/>
      <c r="AL210" s="171"/>
      <c r="AM210" s="171"/>
      <c r="AN210" s="171"/>
      <c r="AO210" s="171"/>
      <c r="AP210" s="171"/>
      <c r="AQ210" s="171"/>
      <c r="AR210" s="171"/>
      <c r="AS210" s="171"/>
    </row>
    <row r="211" spans="1:45" ht="151.80000000000001">
      <c r="A211" s="71" t="s">
        <v>1683</v>
      </c>
      <c r="B211" s="52" t="s">
        <v>419</v>
      </c>
      <c r="C211" s="150"/>
      <c r="D211" s="150"/>
      <c r="E211" s="104"/>
      <c r="F211" s="104"/>
      <c r="G211" s="104"/>
      <c r="H211" s="104"/>
      <c r="I211" s="104"/>
      <c r="J211" s="104"/>
      <c r="K211" s="104"/>
      <c r="L211" s="104"/>
      <c r="M211" s="104"/>
      <c r="N211" s="104"/>
      <c r="O211" s="104"/>
      <c r="P211" s="104"/>
      <c r="Q211" s="104"/>
      <c r="R211" s="104"/>
      <c r="S211" s="104"/>
      <c r="T211" s="104"/>
      <c r="U211" s="104"/>
      <c r="V211" s="228">
        <v>570</v>
      </c>
      <c r="W211" s="366">
        <f t="shared" si="21"/>
        <v>214.60499999999999</v>
      </c>
      <c r="X211" s="366">
        <f t="shared" si="22"/>
        <v>214.60499999999999</v>
      </c>
      <c r="Y211" s="366">
        <f t="shared" si="23"/>
        <v>257.64</v>
      </c>
      <c r="Z211" s="366">
        <f t="shared" si="24"/>
        <v>216.03</v>
      </c>
      <c r="AA211" s="366">
        <f t="shared" si="25"/>
        <v>284.43</v>
      </c>
      <c r="AB211" s="366">
        <f t="shared" si="26"/>
        <v>245.1</v>
      </c>
      <c r="AC211" s="366">
        <f t="shared" si="27"/>
        <v>275.31</v>
      </c>
      <c r="AD211" s="171"/>
      <c r="AE211" s="171"/>
      <c r="AF211" s="171"/>
      <c r="AG211" s="171"/>
      <c r="AH211" s="171"/>
      <c r="AI211" s="171"/>
      <c r="AJ211" s="171"/>
      <c r="AK211" s="171"/>
      <c r="AL211" s="171"/>
      <c r="AM211" s="171"/>
      <c r="AN211" s="171"/>
      <c r="AO211" s="171"/>
      <c r="AP211" s="171"/>
      <c r="AQ211" s="171"/>
      <c r="AR211" s="171"/>
      <c r="AS211" s="171"/>
    </row>
    <row r="212" spans="1:45" ht="18" customHeight="1">
      <c r="A212" s="71"/>
      <c r="B212" s="71"/>
      <c r="C212" s="150"/>
      <c r="D212" s="150"/>
      <c r="E212" s="104"/>
      <c r="F212" s="104"/>
      <c r="G212" s="104"/>
      <c r="H212" s="104"/>
      <c r="I212" s="104"/>
      <c r="J212" s="104"/>
      <c r="K212" s="104"/>
      <c r="L212" s="104"/>
      <c r="M212" s="104"/>
      <c r="N212" s="104"/>
      <c r="O212" s="104"/>
      <c r="P212" s="104"/>
      <c r="Q212" s="104"/>
      <c r="R212" s="104"/>
      <c r="S212" s="104"/>
      <c r="T212" s="104"/>
      <c r="U212" s="104"/>
      <c r="V212" s="228"/>
      <c r="W212" s="366"/>
      <c r="X212" s="366"/>
      <c r="Y212" s="366"/>
      <c r="Z212" s="366"/>
      <c r="AA212" s="366"/>
      <c r="AB212" s="366"/>
      <c r="AC212" s="366"/>
      <c r="AD212" s="171"/>
      <c r="AE212" s="171"/>
      <c r="AF212" s="171"/>
      <c r="AG212" s="171"/>
      <c r="AH212" s="171"/>
      <c r="AI212" s="171"/>
      <c r="AJ212" s="171"/>
      <c r="AK212" s="171"/>
      <c r="AL212" s="171"/>
      <c r="AM212" s="171"/>
      <c r="AN212" s="171"/>
      <c r="AO212" s="171"/>
      <c r="AP212" s="171"/>
      <c r="AQ212" s="171"/>
      <c r="AR212" s="171"/>
      <c r="AS212" s="171"/>
    </row>
    <row r="213" spans="1:45" ht="151.80000000000001">
      <c r="A213" s="71" t="s">
        <v>1684</v>
      </c>
      <c r="B213" s="52" t="s">
        <v>420</v>
      </c>
      <c r="C213" s="150"/>
      <c r="D213" s="150"/>
      <c r="E213" s="104"/>
      <c r="F213" s="104"/>
      <c r="G213" s="104"/>
      <c r="H213" s="104"/>
      <c r="I213" s="104"/>
      <c r="J213" s="104"/>
      <c r="K213" s="104"/>
      <c r="L213" s="104"/>
      <c r="M213" s="104"/>
      <c r="N213" s="104"/>
      <c r="O213" s="104"/>
      <c r="P213" s="104"/>
      <c r="Q213" s="104"/>
      <c r="R213" s="104"/>
      <c r="S213" s="104"/>
      <c r="T213" s="104"/>
      <c r="U213" s="104"/>
      <c r="V213" s="23">
        <v>630</v>
      </c>
      <c r="W213" s="368">
        <f t="shared" si="21"/>
        <v>237.19499999999999</v>
      </c>
      <c r="X213" s="368">
        <f t="shared" si="22"/>
        <v>237.19499999999999</v>
      </c>
      <c r="Y213" s="368">
        <f t="shared" si="23"/>
        <v>284.76</v>
      </c>
      <c r="Z213" s="368">
        <f t="shared" si="24"/>
        <v>238.77</v>
      </c>
      <c r="AA213" s="368">
        <f t="shared" si="25"/>
        <v>314.37</v>
      </c>
      <c r="AB213" s="368">
        <f t="shared" si="26"/>
        <v>270.89999999999998</v>
      </c>
      <c r="AC213" s="368">
        <f t="shared" si="27"/>
        <v>304.28999999999996</v>
      </c>
      <c r="AD213" s="171"/>
      <c r="AE213" s="171"/>
      <c r="AF213" s="171"/>
      <c r="AG213" s="171"/>
      <c r="AH213" s="171"/>
      <c r="AI213" s="171"/>
      <c r="AJ213" s="171"/>
      <c r="AK213" s="171"/>
      <c r="AL213" s="171"/>
      <c r="AM213" s="171"/>
      <c r="AN213" s="171"/>
      <c r="AO213" s="171"/>
      <c r="AP213" s="171"/>
      <c r="AQ213" s="171"/>
      <c r="AR213" s="171"/>
      <c r="AS213" s="171"/>
    </row>
    <row r="214" spans="1:45">
      <c r="A214" s="71"/>
      <c r="B214" s="52"/>
      <c r="C214" s="150"/>
      <c r="D214" s="150"/>
      <c r="E214" s="104"/>
      <c r="F214" s="104"/>
      <c r="G214" s="104"/>
      <c r="H214" s="104"/>
      <c r="I214" s="104"/>
      <c r="J214" s="104"/>
      <c r="K214" s="104"/>
      <c r="L214" s="104"/>
      <c r="M214" s="104"/>
      <c r="N214" s="104"/>
      <c r="O214" s="104"/>
      <c r="P214" s="104"/>
      <c r="Q214" s="104"/>
      <c r="R214" s="104"/>
      <c r="S214" s="104"/>
      <c r="T214" s="104"/>
      <c r="U214" s="104"/>
      <c r="V214" s="181"/>
      <c r="W214" s="181"/>
      <c r="X214" s="181"/>
      <c r="Y214" s="181"/>
      <c r="Z214" s="181"/>
      <c r="AA214" s="181"/>
      <c r="AB214" s="181"/>
      <c r="AC214" s="181"/>
      <c r="AD214" s="171"/>
      <c r="AE214" s="171"/>
      <c r="AF214" s="171"/>
      <c r="AG214" s="171"/>
      <c r="AH214" s="171"/>
      <c r="AI214" s="171"/>
      <c r="AJ214" s="171"/>
      <c r="AK214" s="171"/>
      <c r="AL214" s="171"/>
      <c r="AM214" s="171"/>
      <c r="AN214" s="171"/>
      <c r="AO214" s="171"/>
      <c r="AP214" s="171"/>
      <c r="AQ214" s="171"/>
      <c r="AR214" s="171"/>
      <c r="AS214" s="171"/>
    </row>
    <row r="215" spans="1:45" ht="151.80000000000001">
      <c r="A215" s="71" t="s">
        <v>1685</v>
      </c>
      <c r="B215" s="52" t="s">
        <v>421</v>
      </c>
      <c r="C215" s="150"/>
      <c r="D215" s="150"/>
      <c r="E215" s="104"/>
      <c r="F215" s="104"/>
      <c r="G215" s="104"/>
      <c r="H215" s="104"/>
      <c r="I215" s="104"/>
      <c r="J215" s="104"/>
      <c r="K215" s="104"/>
      <c r="L215" s="104"/>
      <c r="M215" s="104"/>
      <c r="N215" s="104"/>
      <c r="O215" s="104"/>
      <c r="P215" s="104"/>
      <c r="Q215" s="104"/>
      <c r="R215" s="104"/>
      <c r="S215" s="104"/>
      <c r="T215" s="104"/>
      <c r="U215" s="104"/>
      <c r="V215" s="228">
        <v>550</v>
      </c>
      <c r="W215" s="366">
        <f t="shared" si="21"/>
        <v>207.07499999999999</v>
      </c>
      <c r="X215" s="366">
        <f t="shared" si="22"/>
        <v>207.07499999999999</v>
      </c>
      <c r="Y215" s="366">
        <f t="shared" si="23"/>
        <v>248.6</v>
      </c>
      <c r="Z215" s="366">
        <f t="shared" si="24"/>
        <v>208.45</v>
      </c>
      <c r="AA215" s="366">
        <f t="shared" si="25"/>
        <v>274.45</v>
      </c>
      <c r="AB215" s="366">
        <f t="shared" si="26"/>
        <v>236.5</v>
      </c>
      <c r="AC215" s="366">
        <f t="shared" si="27"/>
        <v>265.64999999999998</v>
      </c>
      <c r="AD215" s="171"/>
      <c r="AE215" s="171"/>
      <c r="AF215" s="171"/>
      <c r="AG215" s="171"/>
      <c r="AH215" s="171"/>
      <c r="AI215" s="171"/>
      <c r="AJ215" s="171"/>
      <c r="AK215" s="171"/>
      <c r="AL215" s="171"/>
      <c r="AM215" s="171"/>
      <c r="AN215" s="171"/>
      <c r="AO215" s="171"/>
      <c r="AP215" s="171"/>
      <c r="AQ215" s="171"/>
      <c r="AR215" s="171"/>
      <c r="AS215" s="171"/>
    </row>
    <row r="216" spans="1:45" ht="17.100000000000001" customHeight="1">
      <c r="A216" s="69"/>
      <c r="B216" s="69"/>
      <c r="C216" s="150"/>
      <c r="D216" s="150"/>
      <c r="E216" s="104"/>
      <c r="F216" s="104"/>
      <c r="G216" s="104"/>
      <c r="H216" s="104"/>
      <c r="I216" s="104"/>
      <c r="J216" s="104"/>
      <c r="K216" s="104"/>
      <c r="L216" s="104"/>
      <c r="M216" s="104"/>
      <c r="N216" s="104"/>
      <c r="O216" s="104"/>
      <c r="P216" s="104"/>
      <c r="Q216" s="104"/>
      <c r="R216" s="104"/>
      <c r="S216" s="104"/>
      <c r="T216" s="104"/>
      <c r="U216" s="104"/>
      <c r="V216" s="228"/>
      <c r="W216" s="366"/>
      <c r="X216" s="366"/>
      <c r="Y216" s="366"/>
      <c r="Z216" s="366"/>
      <c r="AA216" s="366"/>
      <c r="AB216" s="366"/>
      <c r="AC216" s="366"/>
      <c r="AD216" s="171"/>
      <c r="AE216" s="171"/>
      <c r="AF216" s="171"/>
      <c r="AG216" s="171"/>
      <c r="AH216" s="171"/>
      <c r="AI216" s="171"/>
      <c r="AJ216" s="171"/>
      <c r="AK216" s="171"/>
      <c r="AL216" s="171"/>
      <c r="AM216" s="171"/>
      <c r="AN216" s="171"/>
      <c r="AO216" s="171"/>
      <c r="AP216" s="171"/>
      <c r="AQ216" s="171"/>
      <c r="AR216" s="171"/>
      <c r="AS216" s="171"/>
    </row>
    <row r="217" spans="1:45" ht="151.80000000000001">
      <c r="A217" s="71" t="s">
        <v>1688</v>
      </c>
      <c r="B217" s="52" t="s">
        <v>422</v>
      </c>
      <c r="C217" s="150"/>
      <c r="D217" s="150"/>
      <c r="E217" s="104"/>
      <c r="F217" s="104"/>
      <c r="G217" s="104"/>
      <c r="H217" s="104"/>
      <c r="I217" s="104"/>
      <c r="J217" s="104"/>
      <c r="K217" s="104"/>
      <c r="L217" s="104"/>
      <c r="M217" s="104"/>
      <c r="N217" s="104"/>
      <c r="O217" s="104"/>
      <c r="P217" s="104"/>
      <c r="Q217" s="104"/>
      <c r="R217" s="104"/>
      <c r="S217" s="104"/>
      <c r="T217" s="104"/>
      <c r="U217" s="104"/>
      <c r="V217" s="23">
        <v>620</v>
      </c>
      <c r="W217" s="368">
        <f t="shared" si="21"/>
        <v>233.43</v>
      </c>
      <c r="X217" s="368">
        <f t="shared" si="22"/>
        <v>233.43</v>
      </c>
      <c r="Y217" s="368">
        <f t="shared" si="23"/>
        <v>280.24</v>
      </c>
      <c r="Z217" s="368">
        <f t="shared" si="24"/>
        <v>234.98</v>
      </c>
      <c r="AA217" s="368">
        <f t="shared" si="25"/>
        <v>309.38</v>
      </c>
      <c r="AB217" s="368">
        <f t="shared" si="26"/>
        <v>266.60000000000002</v>
      </c>
      <c r="AC217" s="368">
        <f t="shared" si="27"/>
        <v>299.45999999999998</v>
      </c>
      <c r="AD217" s="171"/>
      <c r="AE217" s="171"/>
      <c r="AF217" s="171"/>
      <c r="AG217" s="171"/>
      <c r="AH217" s="171"/>
      <c r="AI217" s="171"/>
      <c r="AJ217" s="171"/>
      <c r="AK217" s="171"/>
      <c r="AL217" s="171"/>
      <c r="AM217" s="171"/>
      <c r="AN217" s="171"/>
      <c r="AO217" s="171"/>
      <c r="AP217" s="171"/>
      <c r="AQ217" s="171"/>
      <c r="AR217" s="171"/>
      <c r="AS217" s="171"/>
    </row>
    <row r="218" spans="1:45" s="253" customFormat="1">
      <c r="A218" s="235"/>
      <c r="B218" s="140"/>
      <c r="C218" s="134"/>
      <c r="D218" s="134"/>
      <c r="E218" s="45"/>
      <c r="F218" s="45"/>
      <c r="G218" s="45"/>
      <c r="H218" s="45"/>
      <c r="I218" s="45"/>
      <c r="J218" s="45"/>
      <c r="K218" s="45"/>
      <c r="L218" s="45"/>
      <c r="M218" s="45"/>
      <c r="N218" s="45"/>
      <c r="O218" s="45"/>
      <c r="P218" s="45"/>
      <c r="Q218" s="45"/>
      <c r="R218" s="45"/>
      <c r="S218" s="45"/>
      <c r="T218" s="45"/>
      <c r="U218" s="45"/>
      <c r="V218" s="183"/>
      <c r="W218" s="183"/>
      <c r="X218" s="183"/>
      <c r="Y218" s="183"/>
      <c r="Z218" s="183"/>
      <c r="AA218" s="183"/>
      <c r="AB218" s="183"/>
      <c r="AC218" s="183"/>
    </row>
    <row r="219" spans="1:45" s="10" customFormat="1" ht="27.6">
      <c r="A219" s="154" t="s">
        <v>423</v>
      </c>
      <c r="B219" s="159" t="s">
        <v>305</v>
      </c>
      <c r="C219" s="159" t="s">
        <v>143</v>
      </c>
      <c r="D219" s="159" t="s">
        <v>144</v>
      </c>
      <c r="E219" s="159" t="s">
        <v>424</v>
      </c>
      <c r="F219" s="159" t="s">
        <v>425</v>
      </c>
      <c r="G219" s="159" t="s">
        <v>426</v>
      </c>
      <c r="H219" s="159" t="s">
        <v>427</v>
      </c>
      <c r="I219" s="159" t="s">
        <v>428</v>
      </c>
      <c r="J219" s="159" t="s">
        <v>429</v>
      </c>
      <c r="K219" s="159" t="s">
        <v>430</v>
      </c>
      <c r="L219" s="159" t="s">
        <v>431</v>
      </c>
      <c r="M219" s="159" t="s">
        <v>432</v>
      </c>
      <c r="N219" s="159" t="s">
        <v>433</v>
      </c>
      <c r="O219" s="159" t="s">
        <v>434</v>
      </c>
      <c r="P219" s="159" t="s">
        <v>435</v>
      </c>
      <c r="Q219" s="159" t="s">
        <v>436</v>
      </c>
      <c r="R219" s="159" t="s">
        <v>437</v>
      </c>
      <c r="S219" s="159" t="s">
        <v>438</v>
      </c>
      <c r="T219" s="159" t="s">
        <v>439</v>
      </c>
      <c r="U219" s="159" t="s">
        <v>440</v>
      </c>
      <c r="V219" s="12"/>
      <c r="W219" s="187"/>
      <c r="X219" s="187"/>
      <c r="Y219" s="187"/>
      <c r="Z219" s="187"/>
      <c r="AA219" s="187"/>
      <c r="AB219" s="187"/>
      <c r="AC219" s="187"/>
      <c r="AD219" s="9"/>
      <c r="AE219" s="9"/>
      <c r="AF219" s="9"/>
      <c r="AG219" s="9"/>
      <c r="AH219" s="9"/>
      <c r="AI219" s="9"/>
      <c r="AJ219" s="9"/>
      <c r="AK219" s="9"/>
      <c r="AL219" s="9"/>
      <c r="AM219" s="9"/>
      <c r="AN219" s="9"/>
      <c r="AO219" s="9"/>
      <c r="AP219" s="9"/>
      <c r="AQ219" s="9"/>
      <c r="AR219" s="9"/>
      <c r="AS219" s="9"/>
    </row>
    <row r="220" spans="1:45">
      <c r="A220" s="98" t="s">
        <v>441</v>
      </c>
      <c r="B220" s="108"/>
      <c r="C220" s="108"/>
      <c r="D220" s="108"/>
      <c r="E220" s="223"/>
      <c r="F220" s="223"/>
      <c r="G220" s="223"/>
      <c r="H220" s="223"/>
      <c r="I220" s="223"/>
      <c r="J220" s="223"/>
      <c r="K220" s="223"/>
      <c r="L220" s="223"/>
      <c r="M220" s="223"/>
      <c r="N220" s="223"/>
      <c r="O220" s="223"/>
      <c r="P220" s="223"/>
      <c r="Q220" s="223"/>
      <c r="R220" s="223"/>
      <c r="S220" s="226"/>
      <c r="T220" s="226"/>
      <c r="U220" s="226"/>
      <c r="V220" s="130"/>
      <c r="W220" s="130"/>
      <c r="X220" s="130"/>
      <c r="Y220" s="130"/>
      <c r="Z220" s="130"/>
      <c r="AA220" s="130"/>
      <c r="AB220" s="130"/>
      <c r="AC220" s="130"/>
    </row>
    <row r="221" spans="1:45" ht="28.8">
      <c r="A221" s="342" t="s">
        <v>1640</v>
      </c>
      <c r="B221" s="343" t="s">
        <v>1652</v>
      </c>
      <c r="C221" s="344" t="s">
        <v>312</v>
      </c>
      <c r="D221" s="191" t="s">
        <v>1639</v>
      </c>
      <c r="E221" s="104"/>
      <c r="F221" s="67"/>
      <c r="G221" s="104"/>
      <c r="H221" s="104"/>
      <c r="I221" s="104"/>
      <c r="J221" s="104"/>
      <c r="K221" s="339" t="s">
        <v>442</v>
      </c>
      <c r="L221" s="104"/>
      <c r="M221" s="104"/>
      <c r="N221" s="104"/>
      <c r="O221" s="104"/>
      <c r="P221" s="104"/>
      <c r="Q221" s="339" t="s">
        <v>443</v>
      </c>
      <c r="R221" s="104"/>
      <c r="S221" s="104"/>
      <c r="T221" s="104"/>
      <c r="U221" s="104"/>
      <c r="V221" s="23">
        <v>75</v>
      </c>
      <c r="W221" s="368">
        <f t="shared" si="21"/>
        <v>28.237500000000001</v>
      </c>
      <c r="X221" s="368">
        <f t="shared" si="22"/>
        <v>28.237500000000001</v>
      </c>
      <c r="Y221" s="368">
        <f t="shared" si="23"/>
        <v>33.9</v>
      </c>
      <c r="Z221" s="368">
        <f t="shared" si="24"/>
        <v>28.425000000000001</v>
      </c>
      <c r="AA221" s="368">
        <f t="shared" si="25"/>
        <v>37.424999999999997</v>
      </c>
      <c r="AB221" s="368">
        <f t="shared" si="26"/>
        <v>32.25</v>
      </c>
      <c r="AC221" s="368">
        <f t="shared" si="27"/>
        <v>36.225000000000001</v>
      </c>
    </row>
    <row r="222" spans="1:45" ht="28.8">
      <c r="A222" s="342" t="s">
        <v>1641</v>
      </c>
      <c r="B222" s="343" t="s">
        <v>1653</v>
      </c>
      <c r="C222" s="40" t="s">
        <v>312</v>
      </c>
      <c r="D222" s="191" t="s">
        <v>1639</v>
      </c>
      <c r="E222" s="104"/>
      <c r="F222" s="67"/>
      <c r="G222" s="104"/>
      <c r="H222" s="104"/>
      <c r="I222" s="104"/>
      <c r="J222" s="104"/>
      <c r="K222" s="339" t="s">
        <v>444</v>
      </c>
      <c r="L222" s="104"/>
      <c r="M222" s="104"/>
      <c r="N222" s="104"/>
      <c r="O222" s="104"/>
      <c r="P222" s="104"/>
      <c r="Q222" s="339" t="s">
        <v>445</v>
      </c>
      <c r="R222" s="104"/>
      <c r="S222" s="104"/>
      <c r="T222" s="104"/>
      <c r="U222" s="104"/>
      <c r="V222" s="23">
        <v>157</v>
      </c>
      <c r="W222" s="368">
        <f t="shared" si="21"/>
        <v>59.110500000000002</v>
      </c>
      <c r="X222" s="368">
        <f t="shared" si="22"/>
        <v>59.110500000000002</v>
      </c>
      <c r="Y222" s="368">
        <f t="shared" si="23"/>
        <v>70.963999999999999</v>
      </c>
      <c r="Z222" s="368">
        <f t="shared" si="24"/>
        <v>59.503</v>
      </c>
      <c r="AA222" s="368">
        <f t="shared" si="25"/>
        <v>78.343000000000004</v>
      </c>
      <c r="AB222" s="368">
        <f t="shared" si="26"/>
        <v>67.510000000000005</v>
      </c>
      <c r="AC222" s="368">
        <f t="shared" si="27"/>
        <v>75.831000000000003</v>
      </c>
    </row>
    <row r="223" spans="1:45" ht="28.8">
      <c r="A223" s="342" t="s">
        <v>1642</v>
      </c>
      <c r="B223" s="343" t="s">
        <v>1654</v>
      </c>
      <c r="C223" s="40" t="s">
        <v>312</v>
      </c>
      <c r="D223" s="191" t="s">
        <v>1639</v>
      </c>
      <c r="E223" s="104"/>
      <c r="F223" s="67"/>
      <c r="G223" s="104"/>
      <c r="H223" s="104"/>
      <c r="I223" s="104"/>
      <c r="J223" s="104"/>
      <c r="K223" s="339" t="s">
        <v>446</v>
      </c>
      <c r="L223" s="104"/>
      <c r="M223" s="104"/>
      <c r="N223" s="104"/>
      <c r="O223" s="104"/>
      <c r="P223" s="104"/>
      <c r="Q223" s="339" t="s">
        <v>447</v>
      </c>
      <c r="R223" s="104"/>
      <c r="S223" s="104"/>
      <c r="T223" s="104"/>
      <c r="U223" s="104"/>
      <c r="V223" s="23">
        <v>260</v>
      </c>
      <c r="W223" s="368">
        <f t="shared" si="21"/>
        <v>97.89</v>
      </c>
      <c r="X223" s="368">
        <f t="shared" si="22"/>
        <v>97.89</v>
      </c>
      <c r="Y223" s="368">
        <f t="shared" si="23"/>
        <v>117.52000000000001</v>
      </c>
      <c r="Z223" s="368">
        <f t="shared" si="24"/>
        <v>98.54</v>
      </c>
      <c r="AA223" s="368">
        <f t="shared" si="25"/>
        <v>129.74</v>
      </c>
      <c r="AB223" s="368">
        <f t="shared" si="26"/>
        <v>111.8</v>
      </c>
      <c r="AC223" s="368">
        <f t="shared" si="27"/>
        <v>125.58</v>
      </c>
    </row>
    <row r="224" spans="1:45" ht="14.4">
      <c r="A224" s="345" t="s">
        <v>1638</v>
      </c>
      <c r="B224" s="346" t="s">
        <v>1637</v>
      </c>
      <c r="C224" s="347" t="s">
        <v>312</v>
      </c>
      <c r="D224" s="191" t="s">
        <v>1639</v>
      </c>
      <c r="E224" s="104"/>
      <c r="F224" s="339" t="s">
        <v>448</v>
      </c>
      <c r="G224" s="104"/>
      <c r="H224" s="104"/>
      <c r="I224" s="104"/>
      <c r="J224" s="104"/>
      <c r="K224" s="104"/>
      <c r="L224" s="104"/>
      <c r="M224" s="104"/>
      <c r="N224" s="104"/>
      <c r="O224" s="104"/>
      <c r="P224" s="104"/>
      <c r="Q224" s="104"/>
      <c r="R224" s="104"/>
      <c r="S224" s="104"/>
      <c r="T224" s="104"/>
      <c r="U224" s="104"/>
      <c r="V224" s="23">
        <v>157</v>
      </c>
      <c r="W224" s="368">
        <f t="shared" si="21"/>
        <v>59.110500000000002</v>
      </c>
      <c r="X224" s="368">
        <f t="shared" si="22"/>
        <v>59.110500000000002</v>
      </c>
      <c r="Y224" s="368">
        <f t="shared" si="23"/>
        <v>70.963999999999999</v>
      </c>
      <c r="Z224" s="368">
        <f t="shared" si="24"/>
        <v>59.503</v>
      </c>
      <c r="AA224" s="368">
        <f t="shared" si="25"/>
        <v>78.343000000000004</v>
      </c>
      <c r="AB224" s="368">
        <f t="shared" si="26"/>
        <v>67.510000000000005</v>
      </c>
      <c r="AC224" s="368">
        <f t="shared" si="27"/>
        <v>75.831000000000003</v>
      </c>
    </row>
    <row r="225" spans="1:29" ht="14.4">
      <c r="A225" s="345" t="s">
        <v>1644</v>
      </c>
      <c r="B225" s="346" t="s">
        <v>1643</v>
      </c>
      <c r="C225" s="347" t="s">
        <v>312</v>
      </c>
      <c r="D225" s="191" t="s">
        <v>1639</v>
      </c>
      <c r="E225" s="104"/>
      <c r="F225" s="339" t="s">
        <v>449</v>
      </c>
      <c r="G225" s="104"/>
      <c r="H225" s="104"/>
      <c r="I225" s="104"/>
      <c r="J225" s="104"/>
      <c r="K225" s="104"/>
      <c r="L225" s="104"/>
      <c r="M225" s="104"/>
      <c r="N225" s="104"/>
      <c r="O225" s="104"/>
      <c r="P225" s="104"/>
      <c r="Q225" s="104"/>
      <c r="R225" s="104"/>
      <c r="S225" s="104"/>
      <c r="T225" s="104"/>
      <c r="U225" s="104"/>
      <c r="V225" s="23">
        <v>204</v>
      </c>
      <c r="W225" s="368">
        <f t="shared" si="21"/>
        <v>76.805999999999997</v>
      </c>
      <c r="X225" s="368">
        <f t="shared" si="22"/>
        <v>76.805999999999997</v>
      </c>
      <c r="Y225" s="368">
        <f t="shared" si="23"/>
        <v>92.207999999999998</v>
      </c>
      <c r="Z225" s="368">
        <f t="shared" si="24"/>
        <v>77.316000000000003</v>
      </c>
      <c r="AA225" s="368">
        <f t="shared" si="25"/>
        <v>101.79600000000001</v>
      </c>
      <c r="AB225" s="368">
        <f t="shared" si="26"/>
        <v>87.72</v>
      </c>
      <c r="AC225" s="368">
        <f t="shared" si="27"/>
        <v>98.531999999999996</v>
      </c>
    </row>
    <row r="226" spans="1:29" ht="28.8">
      <c r="A226" s="342" t="s">
        <v>1645</v>
      </c>
      <c r="B226" s="343" t="s">
        <v>1655</v>
      </c>
      <c r="C226" s="150"/>
      <c r="D226" s="40" t="s">
        <v>1633</v>
      </c>
      <c r="E226" s="104"/>
      <c r="F226" s="104"/>
      <c r="G226" s="104"/>
      <c r="H226" s="104"/>
      <c r="I226" s="104"/>
      <c r="J226" s="104"/>
      <c r="K226" s="104"/>
      <c r="L226" s="339" t="s">
        <v>450</v>
      </c>
      <c r="M226" s="104"/>
      <c r="N226" s="104"/>
      <c r="O226" s="104"/>
      <c r="P226" s="104"/>
      <c r="Q226" s="104"/>
      <c r="R226" s="339" t="s">
        <v>451</v>
      </c>
      <c r="S226" s="104"/>
      <c r="T226" s="104"/>
      <c r="U226" s="104"/>
      <c r="V226" s="23">
        <v>82</v>
      </c>
      <c r="W226" s="368">
        <f t="shared" si="21"/>
        <v>30.873000000000001</v>
      </c>
      <c r="X226" s="368">
        <f t="shared" si="22"/>
        <v>30.873000000000001</v>
      </c>
      <c r="Y226" s="368">
        <f t="shared" si="23"/>
        <v>37.064</v>
      </c>
      <c r="Z226" s="368">
        <f t="shared" si="24"/>
        <v>31.077999999999999</v>
      </c>
      <c r="AA226" s="368">
        <f t="shared" si="25"/>
        <v>40.917999999999999</v>
      </c>
      <c r="AB226" s="368">
        <f t="shared" si="26"/>
        <v>35.26</v>
      </c>
      <c r="AC226" s="368">
        <f t="shared" si="27"/>
        <v>39.606000000000002</v>
      </c>
    </row>
    <row r="227" spans="1:29" ht="28.8">
      <c r="A227" s="342" t="s">
        <v>1646</v>
      </c>
      <c r="B227" s="343" t="s">
        <v>1656</v>
      </c>
      <c r="C227" s="40" t="s">
        <v>312</v>
      </c>
      <c r="D227" s="40" t="s">
        <v>1633</v>
      </c>
      <c r="E227" s="104"/>
      <c r="F227" s="104"/>
      <c r="G227" s="104"/>
      <c r="H227" s="104"/>
      <c r="I227" s="104"/>
      <c r="J227" s="104"/>
      <c r="K227" s="104"/>
      <c r="L227" s="339" t="s">
        <v>452</v>
      </c>
      <c r="M227" s="104"/>
      <c r="N227" s="104"/>
      <c r="O227" s="104"/>
      <c r="P227" s="104"/>
      <c r="Q227" s="104"/>
      <c r="R227" s="339" t="s">
        <v>453</v>
      </c>
      <c r="S227" s="104"/>
      <c r="T227" s="104"/>
      <c r="U227" s="104"/>
      <c r="V227" s="23">
        <v>75</v>
      </c>
      <c r="W227" s="368">
        <f t="shared" si="21"/>
        <v>28.237500000000001</v>
      </c>
      <c r="X227" s="368">
        <f t="shared" si="22"/>
        <v>28.237500000000001</v>
      </c>
      <c r="Y227" s="368">
        <f t="shared" si="23"/>
        <v>33.9</v>
      </c>
      <c r="Z227" s="368">
        <f t="shared" si="24"/>
        <v>28.425000000000001</v>
      </c>
      <c r="AA227" s="368">
        <f t="shared" si="25"/>
        <v>37.424999999999997</v>
      </c>
      <c r="AB227" s="368">
        <f t="shared" si="26"/>
        <v>32.25</v>
      </c>
      <c r="AC227" s="368">
        <f t="shared" si="27"/>
        <v>36.225000000000001</v>
      </c>
    </row>
    <row r="228" spans="1:29" ht="28.8">
      <c r="A228" s="342" t="s">
        <v>1647</v>
      </c>
      <c r="B228" s="343" t="s">
        <v>1657</v>
      </c>
      <c r="C228" s="40" t="s">
        <v>312</v>
      </c>
      <c r="D228" s="40" t="s">
        <v>1633</v>
      </c>
      <c r="E228" s="104"/>
      <c r="F228" s="104"/>
      <c r="G228" s="104"/>
      <c r="H228" s="104"/>
      <c r="I228" s="104"/>
      <c r="J228" s="104"/>
      <c r="K228" s="104"/>
      <c r="L228" s="339" t="s">
        <v>454</v>
      </c>
      <c r="M228" s="104"/>
      <c r="N228" s="104"/>
      <c r="O228" s="104"/>
      <c r="P228" s="104"/>
      <c r="Q228" s="104"/>
      <c r="R228" s="339" t="s">
        <v>455</v>
      </c>
      <c r="S228" s="104"/>
      <c r="T228" s="104"/>
      <c r="U228" s="104"/>
      <c r="V228" s="23">
        <v>157</v>
      </c>
      <c r="W228" s="368">
        <f t="shared" si="21"/>
        <v>59.110500000000002</v>
      </c>
      <c r="X228" s="368">
        <f t="shared" si="22"/>
        <v>59.110500000000002</v>
      </c>
      <c r="Y228" s="368">
        <f t="shared" si="23"/>
        <v>70.963999999999999</v>
      </c>
      <c r="Z228" s="368">
        <f t="shared" si="24"/>
        <v>59.503</v>
      </c>
      <c r="AA228" s="368">
        <f t="shared" si="25"/>
        <v>78.343000000000004</v>
      </c>
      <c r="AB228" s="368">
        <f t="shared" si="26"/>
        <v>67.510000000000005</v>
      </c>
      <c r="AC228" s="368">
        <f t="shared" si="27"/>
        <v>75.831000000000003</v>
      </c>
    </row>
    <row r="229" spans="1:29" ht="28.8">
      <c r="A229" s="342" t="s">
        <v>1648</v>
      </c>
      <c r="B229" s="343" t="s">
        <v>1658</v>
      </c>
      <c r="C229" s="150"/>
      <c r="D229" s="40" t="s">
        <v>1625</v>
      </c>
      <c r="E229" s="104"/>
      <c r="F229" s="104"/>
      <c r="G229" s="104"/>
      <c r="H229" s="104"/>
      <c r="I229" s="104"/>
      <c r="J229" s="104"/>
      <c r="K229" s="104"/>
      <c r="L229" s="339" t="s">
        <v>456</v>
      </c>
      <c r="M229" s="104"/>
      <c r="N229" s="104"/>
      <c r="O229" s="104"/>
      <c r="P229" s="104"/>
      <c r="Q229" s="104"/>
      <c r="R229" s="339" t="s">
        <v>457</v>
      </c>
      <c r="S229" s="104"/>
      <c r="T229" s="104"/>
      <c r="U229" s="104"/>
      <c r="V229" s="23">
        <v>110</v>
      </c>
      <c r="W229" s="368">
        <f t="shared" si="21"/>
        <v>41.414999999999999</v>
      </c>
      <c r="X229" s="368">
        <f t="shared" si="22"/>
        <v>41.414999999999999</v>
      </c>
      <c r="Y229" s="368">
        <f t="shared" si="23"/>
        <v>49.72</v>
      </c>
      <c r="Z229" s="368">
        <f t="shared" si="24"/>
        <v>41.69</v>
      </c>
      <c r="AA229" s="368">
        <f t="shared" si="25"/>
        <v>54.89</v>
      </c>
      <c r="AB229" s="368">
        <f t="shared" si="26"/>
        <v>47.3</v>
      </c>
      <c r="AC229" s="368">
        <f t="shared" si="27"/>
        <v>53.129999999999995</v>
      </c>
    </row>
    <row r="230" spans="1:29" ht="28.8">
      <c r="A230" s="342" t="s">
        <v>1649</v>
      </c>
      <c r="B230" s="343" t="s">
        <v>1659</v>
      </c>
      <c r="C230" s="150"/>
      <c r="D230" s="40" t="s">
        <v>1625</v>
      </c>
      <c r="E230" s="104"/>
      <c r="F230" s="104"/>
      <c r="G230" s="104"/>
      <c r="H230" s="104"/>
      <c r="I230" s="104"/>
      <c r="J230" s="104"/>
      <c r="K230" s="104"/>
      <c r="L230" s="339" t="s">
        <v>458</v>
      </c>
      <c r="M230" s="104"/>
      <c r="N230" s="104"/>
      <c r="O230" s="104"/>
      <c r="P230" s="104"/>
      <c r="Q230" s="104"/>
      <c r="R230" s="339" t="s">
        <v>459</v>
      </c>
      <c r="S230" s="104"/>
      <c r="T230" s="104"/>
      <c r="U230" s="104"/>
      <c r="V230" s="23">
        <v>155</v>
      </c>
      <c r="W230" s="368">
        <f t="shared" si="21"/>
        <v>58.357500000000002</v>
      </c>
      <c r="X230" s="368">
        <f t="shared" si="22"/>
        <v>58.357500000000002</v>
      </c>
      <c r="Y230" s="368">
        <f t="shared" si="23"/>
        <v>70.06</v>
      </c>
      <c r="Z230" s="368">
        <f t="shared" si="24"/>
        <v>58.744999999999997</v>
      </c>
      <c r="AA230" s="368">
        <f t="shared" si="25"/>
        <v>77.344999999999999</v>
      </c>
      <c r="AB230" s="368">
        <f t="shared" si="26"/>
        <v>66.650000000000006</v>
      </c>
      <c r="AC230" s="368">
        <f t="shared" si="27"/>
        <v>74.864999999999995</v>
      </c>
    </row>
    <row r="231" spans="1:29" ht="28.8">
      <c r="A231" s="342" t="s">
        <v>1650</v>
      </c>
      <c r="B231" s="343" t="s">
        <v>1660</v>
      </c>
      <c r="C231" s="344" t="s">
        <v>312</v>
      </c>
      <c r="D231" s="40" t="s">
        <v>1630</v>
      </c>
      <c r="E231" s="104"/>
      <c r="F231" s="104"/>
      <c r="G231" s="104"/>
      <c r="H231" s="104"/>
      <c r="I231" s="104"/>
      <c r="J231" s="104"/>
      <c r="K231" s="104"/>
      <c r="L231" s="339" t="s">
        <v>460</v>
      </c>
      <c r="M231" s="104"/>
      <c r="N231" s="104"/>
      <c r="O231" s="104"/>
      <c r="P231" s="104"/>
      <c r="Q231" s="104"/>
      <c r="R231" s="339" t="s">
        <v>461</v>
      </c>
      <c r="S231" s="104"/>
      <c r="T231" s="104"/>
      <c r="U231" s="104"/>
      <c r="V231" s="23">
        <v>190</v>
      </c>
      <c r="W231" s="368">
        <f t="shared" si="21"/>
        <v>71.534999999999997</v>
      </c>
      <c r="X231" s="368">
        <f t="shared" si="22"/>
        <v>71.534999999999997</v>
      </c>
      <c r="Y231" s="368">
        <f t="shared" si="23"/>
        <v>85.88</v>
      </c>
      <c r="Z231" s="368">
        <f t="shared" si="24"/>
        <v>72.010000000000005</v>
      </c>
      <c r="AA231" s="368">
        <f t="shared" si="25"/>
        <v>94.81</v>
      </c>
      <c r="AB231" s="368">
        <f t="shared" si="26"/>
        <v>81.7</v>
      </c>
      <c r="AC231" s="368">
        <f t="shared" si="27"/>
        <v>91.77</v>
      </c>
    </row>
    <row r="232" spans="1:29" ht="28.8">
      <c r="A232" s="342" t="s">
        <v>1651</v>
      </c>
      <c r="B232" s="189" t="s">
        <v>1661</v>
      </c>
      <c r="C232" s="40" t="s">
        <v>312</v>
      </c>
      <c r="D232" s="40" t="s">
        <v>1630</v>
      </c>
      <c r="E232" s="104"/>
      <c r="F232" s="104"/>
      <c r="G232" s="104"/>
      <c r="H232" s="104"/>
      <c r="I232" s="104"/>
      <c r="J232" s="104"/>
      <c r="K232" s="104"/>
      <c r="L232" s="339" t="s">
        <v>462</v>
      </c>
      <c r="M232" s="104"/>
      <c r="N232" s="104"/>
      <c r="O232" s="104"/>
      <c r="P232" s="104"/>
      <c r="Q232" s="104"/>
      <c r="R232" s="339" t="s">
        <v>463</v>
      </c>
      <c r="S232" s="104"/>
      <c r="T232" s="104"/>
      <c r="U232" s="104"/>
      <c r="V232" s="23">
        <v>235</v>
      </c>
      <c r="W232" s="368">
        <f t="shared" si="21"/>
        <v>88.477500000000006</v>
      </c>
      <c r="X232" s="368">
        <f t="shared" si="22"/>
        <v>88.477500000000006</v>
      </c>
      <c r="Y232" s="368">
        <f t="shared" si="23"/>
        <v>106.22</v>
      </c>
      <c r="Z232" s="368">
        <f t="shared" si="24"/>
        <v>89.064999999999998</v>
      </c>
      <c r="AA232" s="368">
        <f t="shared" si="25"/>
        <v>117.265</v>
      </c>
      <c r="AB232" s="368">
        <f t="shared" si="26"/>
        <v>101.05</v>
      </c>
      <c r="AC232" s="368">
        <f t="shared" si="27"/>
        <v>113.505</v>
      </c>
    </row>
    <row r="233" spans="1:29">
      <c r="A233" s="235"/>
      <c r="B233" s="140"/>
      <c r="C233" s="134"/>
      <c r="D233" s="134"/>
      <c r="E233" s="45"/>
      <c r="F233" s="45"/>
      <c r="G233" s="45"/>
      <c r="H233" s="45"/>
      <c r="I233" s="45"/>
      <c r="J233" s="45"/>
      <c r="K233" s="45"/>
      <c r="L233" s="45"/>
      <c r="M233" s="45"/>
      <c r="N233" s="45"/>
      <c r="O233" s="45"/>
      <c r="P233" s="45"/>
      <c r="Q233" s="45"/>
      <c r="R233" s="45"/>
      <c r="S233" s="45"/>
      <c r="T233" s="45"/>
      <c r="U233" s="45"/>
      <c r="V233" s="28"/>
      <c r="W233" s="369"/>
      <c r="X233" s="369"/>
      <c r="Y233" s="369"/>
      <c r="Z233" s="369"/>
      <c r="AA233" s="369"/>
      <c r="AB233" s="369"/>
      <c r="AC233" s="369"/>
    </row>
    <row r="234" spans="1:29">
      <c r="A234" s="98" t="s">
        <v>464</v>
      </c>
      <c r="B234" s="108"/>
      <c r="C234" s="108"/>
      <c r="D234" s="108"/>
      <c r="E234" s="223"/>
      <c r="F234" s="223"/>
      <c r="G234" s="223"/>
      <c r="H234" s="223"/>
      <c r="I234" s="223"/>
      <c r="J234" s="223"/>
      <c r="K234" s="223"/>
      <c r="L234" s="223"/>
      <c r="M234" s="223"/>
      <c r="N234" s="223"/>
      <c r="O234" s="223"/>
      <c r="P234" s="223"/>
      <c r="Q234" s="223"/>
      <c r="R234" s="223"/>
      <c r="S234" s="226"/>
      <c r="T234" s="226"/>
      <c r="U234" s="226"/>
      <c r="V234" s="126"/>
      <c r="W234" s="126"/>
      <c r="X234" s="126"/>
      <c r="Y234" s="126"/>
      <c r="Z234" s="126"/>
      <c r="AA234" s="126"/>
      <c r="AB234" s="126"/>
      <c r="AC234" s="126"/>
    </row>
    <row r="235" spans="1:29" s="171" customFormat="1" ht="14.4">
      <c r="A235" s="346" t="s">
        <v>1991</v>
      </c>
      <c r="B235" s="346" t="s">
        <v>1663</v>
      </c>
      <c r="C235" s="191" t="s">
        <v>312</v>
      </c>
      <c r="D235" s="191" t="s">
        <v>1662</v>
      </c>
      <c r="E235" s="48"/>
      <c r="F235" s="48"/>
      <c r="G235" s="48"/>
      <c r="H235" s="339" t="s">
        <v>465</v>
      </c>
      <c r="I235" s="48"/>
      <c r="J235" s="48"/>
      <c r="K235" s="48"/>
      <c r="L235" s="48"/>
      <c r="M235" s="48"/>
      <c r="N235" s="48"/>
      <c r="O235" s="48"/>
      <c r="P235" s="48"/>
      <c r="Q235" s="48"/>
      <c r="R235" s="48"/>
      <c r="S235" s="48"/>
      <c r="T235" s="48"/>
      <c r="U235" s="48"/>
      <c r="V235" s="23">
        <v>82</v>
      </c>
      <c r="W235" s="368">
        <f t="shared" si="21"/>
        <v>30.873000000000001</v>
      </c>
      <c r="X235" s="368">
        <f t="shared" si="22"/>
        <v>30.873000000000001</v>
      </c>
      <c r="Y235" s="368">
        <f t="shared" si="23"/>
        <v>37.064</v>
      </c>
      <c r="Z235" s="368">
        <f t="shared" si="24"/>
        <v>31.077999999999999</v>
      </c>
      <c r="AA235" s="368">
        <f t="shared" si="25"/>
        <v>40.917999999999999</v>
      </c>
      <c r="AB235" s="368">
        <f t="shared" si="26"/>
        <v>35.26</v>
      </c>
      <c r="AC235" s="368">
        <f t="shared" si="27"/>
        <v>39.606000000000002</v>
      </c>
    </row>
    <row r="236" spans="1:29" s="171" customFormat="1" ht="14.4">
      <c r="A236" s="346" t="s">
        <v>1992</v>
      </c>
      <c r="B236" s="346" t="s">
        <v>1664</v>
      </c>
      <c r="C236" s="191" t="s">
        <v>312</v>
      </c>
      <c r="D236" s="191" t="s">
        <v>1662</v>
      </c>
      <c r="E236" s="48"/>
      <c r="F236" s="48"/>
      <c r="G236" s="48"/>
      <c r="H236" s="339" t="s">
        <v>466</v>
      </c>
      <c r="I236" s="48"/>
      <c r="J236" s="48"/>
      <c r="K236" s="48"/>
      <c r="L236" s="48"/>
      <c r="M236" s="48"/>
      <c r="N236" s="48"/>
      <c r="O236" s="48"/>
      <c r="P236" s="48"/>
      <c r="Q236" s="48"/>
      <c r="R236" s="48"/>
      <c r="S236" s="48"/>
      <c r="T236" s="48"/>
      <c r="U236" s="48"/>
      <c r="V236" s="23">
        <v>179</v>
      </c>
      <c r="W236" s="368">
        <f t="shared" si="21"/>
        <v>67.393500000000003</v>
      </c>
      <c r="X236" s="368">
        <f t="shared" si="22"/>
        <v>67.393500000000003</v>
      </c>
      <c r="Y236" s="368">
        <f t="shared" si="23"/>
        <v>80.908000000000001</v>
      </c>
      <c r="Z236" s="368">
        <f t="shared" si="24"/>
        <v>67.840999999999994</v>
      </c>
      <c r="AA236" s="368">
        <f t="shared" si="25"/>
        <v>89.320999999999998</v>
      </c>
      <c r="AB236" s="368">
        <f t="shared" si="26"/>
        <v>76.97</v>
      </c>
      <c r="AC236" s="368">
        <f t="shared" si="27"/>
        <v>86.456999999999994</v>
      </c>
    </row>
    <row r="237" spans="1:29" s="171" customFormat="1" ht="28.8">
      <c r="A237" s="342" t="s">
        <v>1989</v>
      </c>
      <c r="B237" s="343" t="s">
        <v>1665</v>
      </c>
      <c r="C237" s="40" t="s">
        <v>312</v>
      </c>
      <c r="D237" s="191" t="s">
        <v>1662</v>
      </c>
      <c r="E237" s="48"/>
      <c r="F237" s="48"/>
      <c r="G237" s="48"/>
      <c r="H237" s="48"/>
      <c r="I237" s="48"/>
      <c r="J237" s="48"/>
      <c r="K237" s="48"/>
      <c r="L237" s="48"/>
      <c r="M237" s="48"/>
      <c r="N237" s="339" t="s">
        <v>467</v>
      </c>
      <c r="O237" s="48"/>
      <c r="P237" s="48"/>
      <c r="Q237" s="48"/>
      <c r="R237" s="48"/>
      <c r="S237" s="48"/>
      <c r="T237" s="339" t="s">
        <v>468</v>
      </c>
      <c r="U237" s="48"/>
      <c r="V237" s="23">
        <v>97</v>
      </c>
      <c r="W237" s="368">
        <f t="shared" si="21"/>
        <v>36.520499999999998</v>
      </c>
      <c r="X237" s="368">
        <f t="shared" si="22"/>
        <v>36.520499999999998</v>
      </c>
      <c r="Y237" s="368">
        <f t="shared" si="23"/>
        <v>43.844000000000001</v>
      </c>
      <c r="Z237" s="368">
        <f t="shared" si="24"/>
        <v>36.762999999999998</v>
      </c>
      <c r="AA237" s="368">
        <f t="shared" si="25"/>
        <v>48.402999999999999</v>
      </c>
      <c r="AB237" s="368">
        <f t="shared" si="26"/>
        <v>41.71</v>
      </c>
      <c r="AC237" s="368">
        <f t="shared" si="27"/>
        <v>46.850999999999999</v>
      </c>
    </row>
    <row r="238" spans="1:29" s="171" customFormat="1" ht="28.8">
      <c r="A238" s="342" t="s">
        <v>1667</v>
      </c>
      <c r="B238" s="343" t="s">
        <v>1669</v>
      </c>
      <c r="C238" s="40"/>
      <c r="D238" s="40" t="s">
        <v>1666</v>
      </c>
      <c r="E238" s="48"/>
      <c r="F238" s="48"/>
      <c r="G238" s="48"/>
      <c r="H238" s="48"/>
      <c r="I238" s="48"/>
      <c r="J238" s="48"/>
      <c r="K238" s="48"/>
      <c r="L238" s="48"/>
      <c r="M238" s="48"/>
      <c r="N238" s="48"/>
      <c r="O238" s="339" t="s">
        <v>469</v>
      </c>
      <c r="P238" s="48"/>
      <c r="Q238" s="48"/>
      <c r="R238" s="339"/>
      <c r="S238" s="48"/>
      <c r="T238" s="48"/>
      <c r="U238" s="339" t="s">
        <v>470</v>
      </c>
      <c r="V238" s="23">
        <v>75</v>
      </c>
      <c r="W238" s="368">
        <f t="shared" si="21"/>
        <v>28.237500000000001</v>
      </c>
      <c r="X238" s="368">
        <f t="shared" si="22"/>
        <v>28.237500000000001</v>
      </c>
      <c r="Y238" s="368">
        <f t="shared" si="23"/>
        <v>33.9</v>
      </c>
      <c r="Z238" s="368">
        <f t="shared" si="24"/>
        <v>28.425000000000001</v>
      </c>
      <c r="AA238" s="368">
        <f t="shared" si="25"/>
        <v>37.424999999999997</v>
      </c>
      <c r="AB238" s="368">
        <f t="shared" si="26"/>
        <v>32.25</v>
      </c>
      <c r="AC238" s="368">
        <f t="shared" si="27"/>
        <v>36.225000000000001</v>
      </c>
    </row>
    <row r="239" spans="1:29" s="171" customFormat="1" ht="28.8">
      <c r="A239" s="342" t="s">
        <v>1990</v>
      </c>
      <c r="B239" s="343" t="s">
        <v>1670</v>
      </c>
      <c r="C239" s="40" t="s">
        <v>312</v>
      </c>
      <c r="D239" s="40" t="s">
        <v>1666</v>
      </c>
      <c r="E239" s="48"/>
      <c r="F239" s="48"/>
      <c r="G239" s="48"/>
      <c r="H239" s="48"/>
      <c r="I239" s="48"/>
      <c r="J239" s="48"/>
      <c r="K239" s="48"/>
      <c r="L239" s="48"/>
      <c r="M239" s="48"/>
      <c r="N239" s="48"/>
      <c r="O239" s="339" t="s">
        <v>471</v>
      </c>
      <c r="P239" s="48"/>
      <c r="Q239" s="48"/>
      <c r="R239" s="339"/>
      <c r="S239" s="48"/>
      <c r="T239" s="48"/>
      <c r="U239" s="339" t="s">
        <v>472</v>
      </c>
      <c r="V239" s="23">
        <v>35</v>
      </c>
      <c r="W239" s="368">
        <f t="shared" si="21"/>
        <v>13.1775</v>
      </c>
      <c r="X239" s="368">
        <f t="shared" si="22"/>
        <v>13.1775</v>
      </c>
      <c r="Y239" s="368">
        <f t="shared" si="23"/>
        <v>15.82</v>
      </c>
      <c r="Z239" s="368">
        <f t="shared" si="24"/>
        <v>13.265000000000001</v>
      </c>
      <c r="AA239" s="368">
        <f t="shared" si="25"/>
        <v>17.465</v>
      </c>
      <c r="AB239" s="368">
        <f t="shared" si="26"/>
        <v>15.049999999999999</v>
      </c>
      <c r="AC239" s="368">
        <f t="shared" si="27"/>
        <v>16.905000000000001</v>
      </c>
    </row>
    <row r="240" spans="1:29" s="171" customFormat="1" ht="14.4">
      <c r="A240" s="339" t="s">
        <v>2004</v>
      </c>
      <c r="B240" s="343" t="s">
        <v>2011</v>
      </c>
      <c r="C240" s="40"/>
      <c r="D240" s="40" t="s">
        <v>1666</v>
      </c>
      <c r="E240" s="48"/>
      <c r="F240" s="48"/>
      <c r="G240" s="48"/>
      <c r="H240" s="48"/>
      <c r="I240" s="48" t="s">
        <v>2006</v>
      </c>
      <c r="J240" s="48"/>
      <c r="K240" s="48"/>
      <c r="L240" s="48"/>
      <c r="M240" s="48"/>
      <c r="N240" s="48"/>
      <c r="O240" s="339"/>
      <c r="P240" s="48"/>
      <c r="Q240" s="48"/>
      <c r="R240" s="339"/>
      <c r="S240" s="48"/>
      <c r="T240" s="48"/>
      <c r="U240" s="339"/>
      <c r="V240" s="23">
        <v>80</v>
      </c>
      <c r="W240" s="368">
        <f t="shared" si="21"/>
        <v>30.12</v>
      </c>
      <c r="X240" s="368">
        <f t="shared" si="22"/>
        <v>30.12</v>
      </c>
      <c r="Y240" s="368">
        <f t="shared" si="23"/>
        <v>36.160000000000004</v>
      </c>
      <c r="Z240" s="368">
        <f t="shared" si="24"/>
        <v>30.32</v>
      </c>
      <c r="AA240" s="368">
        <f t="shared" si="25"/>
        <v>39.92</v>
      </c>
      <c r="AB240" s="368">
        <f t="shared" si="26"/>
        <v>34.4</v>
      </c>
      <c r="AC240" s="368">
        <f t="shared" si="27"/>
        <v>38.64</v>
      </c>
    </row>
    <row r="241" spans="1:29" s="171" customFormat="1" ht="14.4">
      <c r="A241" s="339" t="s">
        <v>2005</v>
      </c>
      <c r="B241" s="343" t="s">
        <v>2012</v>
      </c>
      <c r="C241" s="40"/>
      <c r="D241" s="40" t="s">
        <v>1666</v>
      </c>
      <c r="E241" s="48"/>
      <c r="F241" s="48"/>
      <c r="G241" s="48"/>
      <c r="H241" s="48"/>
      <c r="I241" s="48" t="s">
        <v>2007</v>
      </c>
      <c r="J241" s="48"/>
      <c r="K241" s="48"/>
      <c r="L241" s="48"/>
      <c r="M241" s="48"/>
      <c r="N241" s="48"/>
      <c r="O241" s="339"/>
      <c r="P241" s="48"/>
      <c r="Q241" s="48"/>
      <c r="R241" s="339"/>
      <c r="S241" s="48"/>
      <c r="T241" s="48"/>
      <c r="U241" s="339"/>
      <c r="V241" s="23">
        <v>260</v>
      </c>
      <c r="W241" s="368">
        <f t="shared" si="21"/>
        <v>97.89</v>
      </c>
      <c r="X241" s="368">
        <f t="shared" si="22"/>
        <v>97.89</v>
      </c>
      <c r="Y241" s="368">
        <f t="shared" si="23"/>
        <v>117.52000000000001</v>
      </c>
      <c r="Z241" s="368">
        <f t="shared" si="24"/>
        <v>98.54</v>
      </c>
      <c r="AA241" s="368">
        <f t="shared" si="25"/>
        <v>129.74</v>
      </c>
      <c r="AB241" s="368">
        <f t="shared" si="26"/>
        <v>111.8</v>
      </c>
      <c r="AC241" s="368">
        <f t="shared" si="27"/>
        <v>125.58</v>
      </c>
    </row>
    <row r="242" spans="1:29" s="171" customFormat="1" ht="14.4">
      <c r="A242" s="339" t="s">
        <v>1668</v>
      </c>
      <c r="B242" s="339" t="s">
        <v>473</v>
      </c>
      <c r="C242" s="40"/>
      <c r="D242" s="40" t="s">
        <v>1666</v>
      </c>
      <c r="E242" s="48"/>
      <c r="F242" s="48"/>
      <c r="G242" s="48"/>
      <c r="H242" s="48"/>
      <c r="I242" s="339" t="s">
        <v>474</v>
      </c>
      <c r="J242" s="48"/>
      <c r="K242" s="48"/>
      <c r="L242" s="48"/>
      <c r="M242" s="48"/>
      <c r="N242" s="48"/>
      <c r="O242" s="339"/>
      <c r="P242" s="48"/>
      <c r="Q242" s="48"/>
      <c r="R242" s="339"/>
      <c r="S242" s="48"/>
      <c r="T242" s="48"/>
      <c r="U242" s="339"/>
      <c r="V242" s="23">
        <v>155</v>
      </c>
      <c r="W242" s="368">
        <f t="shared" si="21"/>
        <v>58.357500000000002</v>
      </c>
      <c r="X242" s="368">
        <f t="shared" si="22"/>
        <v>58.357500000000002</v>
      </c>
      <c r="Y242" s="368">
        <f t="shared" si="23"/>
        <v>70.06</v>
      </c>
      <c r="Z242" s="368">
        <f t="shared" si="24"/>
        <v>58.744999999999997</v>
      </c>
      <c r="AA242" s="368">
        <f t="shared" si="25"/>
        <v>77.344999999999999</v>
      </c>
      <c r="AB242" s="368">
        <f t="shared" si="26"/>
        <v>66.650000000000006</v>
      </c>
      <c r="AC242" s="368">
        <f t="shared" si="27"/>
        <v>74.864999999999995</v>
      </c>
    </row>
    <row r="243" spans="1:29" s="171" customFormat="1" ht="14.4">
      <c r="A243" s="339" t="s">
        <v>1993</v>
      </c>
      <c r="B243" s="339" t="s">
        <v>475</v>
      </c>
      <c r="C243" s="40" t="s">
        <v>312</v>
      </c>
      <c r="D243" s="40" t="s">
        <v>1666</v>
      </c>
      <c r="E243" s="48"/>
      <c r="F243" s="48"/>
      <c r="G243" s="48"/>
      <c r="H243" s="48"/>
      <c r="I243" s="339" t="s">
        <v>476</v>
      </c>
      <c r="J243" s="48"/>
      <c r="K243" s="48"/>
      <c r="L243" s="48"/>
      <c r="M243" s="48"/>
      <c r="N243" s="48"/>
      <c r="O243" s="339"/>
      <c r="P243" s="48"/>
      <c r="Q243" s="48"/>
      <c r="R243" s="339"/>
      <c r="S243" s="48"/>
      <c r="T243" s="48"/>
      <c r="U243" s="339"/>
      <c r="V243" s="23">
        <v>190</v>
      </c>
      <c r="W243" s="368">
        <f t="shared" si="21"/>
        <v>71.534999999999997</v>
      </c>
      <c r="X243" s="368">
        <f t="shared" si="22"/>
        <v>71.534999999999997</v>
      </c>
      <c r="Y243" s="368">
        <f t="shared" si="23"/>
        <v>85.88</v>
      </c>
      <c r="Z243" s="368">
        <f t="shared" si="24"/>
        <v>72.010000000000005</v>
      </c>
      <c r="AA243" s="368">
        <f t="shared" si="25"/>
        <v>94.81</v>
      </c>
      <c r="AB243" s="368">
        <f t="shared" si="26"/>
        <v>81.7</v>
      </c>
      <c r="AC243" s="368">
        <f t="shared" si="27"/>
        <v>91.77</v>
      </c>
    </row>
    <row r="244" spans="1:29" s="171" customFormat="1" ht="14.4">
      <c r="A244" s="339" t="s">
        <v>2014</v>
      </c>
      <c r="B244" s="339" t="s">
        <v>2008</v>
      </c>
      <c r="C244" s="40"/>
      <c r="D244" s="40" t="s">
        <v>1666</v>
      </c>
      <c r="E244" s="48"/>
      <c r="F244" s="48"/>
      <c r="G244" s="48"/>
      <c r="H244" s="48"/>
      <c r="I244" s="339" t="s">
        <v>2009</v>
      </c>
      <c r="J244" s="48"/>
      <c r="K244" s="48"/>
      <c r="L244" s="48"/>
      <c r="M244" s="48"/>
      <c r="N244" s="48"/>
      <c r="O244" s="339"/>
      <c r="P244" s="48"/>
      <c r="Q244" s="48"/>
      <c r="R244" s="339"/>
      <c r="S244" s="48"/>
      <c r="T244" s="48"/>
      <c r="U244" s="339"/>
      <c r="V244" s="23">
        <v>335</v>
      </c>
      <c r="W244" s="368">
        <f t="shared" si="21"/>
        <v>126.1275</v>
      </c>
      <c r="X244" s="368">
        <f t="shared" si="22"/>
        <v>126.1275</v>
      </c>
      <c r="Y244" s="368">
        <f t="shared" si="23"/>
        <v>151.42000000000002</v>
      </c>
      <c r="Z244" s="368">
        <f t="shared" si="24"/>
        <v>126.965</v>
      </c>
      <c r="AA244" s="368">
        <f t="shared" si="25"/>
        <v>167.16499999999999</v>
      </c>
      <c r="AB244" s="368">
        <f t="shared" si="26"/>
        <v>144.05000000000001</v>
      </c>
      <c r="AC244" s="368">
        <f t="shared" si="27"/>
        <v>161.80500000000001</v>
      </c>
    </row>
    <row r="245" spans="1:29" s="171" customFormat="1" ht="14.4">
      <c r="A245" s="339" t="s">
        <v>2003</v>
      </c>
      <c r="B245" s="339" t="s">
        <v>2013</v>
      </c>
      <c r="C245" s="40" t="s">
        <v>312</v>
      </c>
      <c r="D245" s="40" t="s">
        <v>1666</v>
      </c>
      <c r="E245" s="48"/>
      <c r="F245" s="48"/>
      <c r="G245" s="48"/>
      <c r="H245" s="48"/>
      <c r="I245" s="339" t="s">
        <v>2010</v>
      </c>
      <c r="J245" s="48"/>
      <c r="K245" s="48"/>
      <c r="L245" s="48"/>
      <c r="M245" s="48"/>
      <c r="N245" s="48"/>
      <c r="O245" s="339"/>
      <c r="P245" s="48"/>
      <c r="Q245" s="48"/>
      <c r="R245" s="339"/>
      <c r="S245" s="48"/>
      <c r="T245" s="48"/>
      <c r="U245" s="339"/>
      <c r="V245" s="23">
        <v>370</v>
      </c>
      <c r="W245" s="368">
        <f t="shared" si="21"/>
        <v>139.30500000000001</v>
      </c>
      <c r="X245" s="368">
        <f t="shared" si="22"/>
        <v>139.30500000000001</v>
      </c>
      <c r="Y245" s="368">
        <f t="shared" si="23"/>
        <v>167.24</v>
      </c>
      <c r="Z245" s="368">
        <f t="shared" si="24"/>
        <v>140.22999999999999</v>
      </c>
      <c r="AA245" s="368">
        <f t="shared" si="25"/>
        <v>184.63</v>
      </c>
      <c r="AB245" s="368">
        <f t="shared" si="26"/>
        <v>159.1</v>
      </c>
      <c r="AC245" s="368">
        <f t="shared" si="27"/>
        <v>178.71</v>
      </c>
    </row>
    <row r="246" spans="1:29" s="253" customFormat="1" ht="14.4">
      <c r="A246" s="297"/>
      <c r="B246" s="307"/>
      <c r="C246" s="107"/>
      <c r="D246" s="330"/>
      <c r="E246" s="331"/>
      <c r="F246" s="331"/>
      <c r="G246" s="331"/>
      <c r="H246" s="331"/>
      <c r="I246" s="331"/>
      <c r="J246" s="331"/>
      <c r="K246" s="331"/>
      <c r="L246" s="331"/>
      <c r="M246" s="331"/>
      <c r="N246" s="298"/>
      <c r="O246" s="297"/>
      <c r="P246" s="331"/>
      <c r="Q246" s="298"/>
      <c r="R246" s="297"/>
      <c r="S246" s="331"/>
      <c r="T246" s="298"/>
      <c r="U246" s="297"/>
      <c r="V246" s="257"/>
      <c r="W246" s="372"/>
      <c r="X246" s="372"/>
      <c r="Y246" s="372"/>
      <c r="Z246" s="372"/>
      <c r="AA246" s="372"/>
      <c r="AB246" s="372"/>
      <c r="AC246" s="372"/>
    </row>
    <row r="247" spans="1:29">
      <c r="A247" s="98" t="s">
        <v>313</v>
      </c>
      <c r="B247" s="108"/>
      <c r="C247" s="108"/>
      <c r="D247" s="108"/>
      <c r="E247" s="223"/>
      <c r="F247" s="223"/>
      <c r="G247" s="223"/>
      <c r="H247" s="223"/>
      <c r="I247" s="223"/>
      <c r="J247" s="223"/>
      <c r="K247" s="223"/>
      <c r="L247" s="223"/>
      <c r="M247" s="223"/>
      <c r="N247" s="223"/>
      <c r="O247" s="223"/>
      <c r="P247" s="223"/>
      <c r="Q247" s="223"/>
      <c r="R247" s="223"/>
      <c r="S247" s="223"/>
      <c r="T247" s="223"/>
      <c r="U247" s="223"/>
      <c r="V247" s="126"/>
      <c r="W247" s="126"/>
      <c r="X247" s="126"/>
      <c r="Y247" s="126"/>
      <c r="Z247" s="126"/>
      <c r="AA247" s="126"/>
      <c r="AB247" s="126"/>
      <c r="AC247" s="126"/>
    </row>
    <row r="248" spans="1:29" s="171" customFormat="1" ht="14.4">
      <c r="A248" s="69" t="s">
        <v>477</v>
      </c>
      <c r="B248" s="69" t="s">
        <v>478</v>
      </c>
      <c r="C248" s="40"/>
      <c r="D248" s="40"/>
      <c r="E248" s="48"/>
      <c r="F248" s="48"/>
      <c r="G248" s="48"/>
      <c r="H248" s="48"/>
      <c r="I248" s="48"/>
      <c r="J248" s="48"/>
      <c r="K248" s="339" t="s">
        <v>479</v>
      </c>
      <c r="L248" s="48"/>
      <c r="M248" s="48"/>
      <c r="N248" s="339" t="s">
        <v>480</v>
      </c>
      <c r="O248" s="339" t="s">
        <v>481</v>
      </c>
      <c r="P248" s="48"/>
      <c r="Q248" s="339" t="s">
        <v>482</v>
      </c>
      <c r="R248" s="339"/>
      <c r="S248" s="48"/>
      <c r="T248" s="339" t="s">
        <v>484</v>
      </c>
      <c r="U248" s="339" t="s">
        <v>483</v>
      </c>
      <c r="V248" s="23">
        <v>3</v>
      </c>
      <c r="W248" s="368">
        <f t="shared" si="21"/>
        <v>1.1294999999999999</v>
      </c>
      <c r="X248" s="368">
        <f t="shared" si="22"/>
        <v>1.1294999999999999</v>
      </c>
      <c r="Y248" s="368">
        <f t="shared" si="23"/>
        <v>1.3560000000000001</v>
      </c>
      <c r="Z248" s="368">
        <f t="shared" si="24"/>
        <v>1.137</v>
      </c>
      <c r="AA248" s="368">
        <f t="shared" si="25"/>
        <v>1.4969999999999999</v>
      </c>
      <c r="AB248" s="368">
        <f t="shared" si="26"/>
        <v>1.29</v>
      </c>
      <c r="AC248" s="368">
        <f t="shared" si="27"/>
        <v>1.4489999999999998</v>
      </c>
    </row>
    <row r="249" spans="1:29" s="171" customFormat="1" ht="14.4">
      <c r="A249" s="69" t="s">
        <v>485</v>
      </c>
      <c r="B249" s="69" t="s">
        <v>314</v>
      </c>
      <c r="C249" s="40"/>
      <c r="D249" s="40"/>
      <c r="E249" s="48"/>
      <c r="F249" s="48"/>
      <c r="G249" s="48"/>
      <c r="H249" s="48"/>
      <c r="I249" s="48"/>
      <c r="J249" s="48"/>
      <c r="K249" s="339" t="s">
        <v>486</v>
      </c>
      <c r="L249" s="48"/>
      <c r="M249" s="48"/>
      <c r="N249" s="339" t="s">
        <v>487</v>
      </c>
      <c r="O249" s="339" t="s">
        <v>488</v>
      </c>
      <c r="P249" s="48"/>
      <c r="Q249" s="339" t="s">
        <v>489</v>
      </c>
      <c r="R249" s="339"/>
      <c r="S249" s="48"/>
      <c r="T249" s="339" t="s">
        <v>491</v>
      </c>
      <c r="U249" s="339" t="s">
        <v>490</v>
      </c>
      <c r="V249" s="23">
        <v>82</v>
      </c>
      <c r="W249" s="368">
        <f t="shared" si="21"/>
        <v>30.873000000000001</v>
      </c>
      <c r="X249" s="368">
        <f t="shared" si="22"/>
        <v>30.873000000000001</v>
      </c>
      <c r="Y249" s="368">
        <f t="shared" si="23"/>
        <v>37.064</v>
      </c>
      <c r="Z249" s="368">
        <f t="shared" si="24"/>
        <v>31.077999999999999</v>
      </c>
      <c r="AA249" s="368">
        <f t="shared" si="25"/>
        <v>40.917999999999999</v>
      </c>
      <c r="AB249" s="368">
        <f t="shared" si="26"/>
        <v>35.26</v>
      </c>
      <c r="AC249" s="368">
        <f t="shared" si="27"/>
        <v>39.606000000000002</v>
      </c>
    </row>
    <row r="250" spans="1:29" s="177" customFormat="1" ht="14.4">
      <c r="A250" s="69" t="s">
        <v>492</v>
      </c>
      <c r="B250" s="69" t="s">
        <v>315</v>
      </c>
      <c r="C250" s="40"/>
      <c r="D250" s="40"/>
      <c r="E250" s="48"/>
      <c r="F250" s="48"/>
      <c r="G250" s="48"/>
      <c r="H250" s="48"/>
      <c r="I250" s="48"/>
      <c r="J250" s="48"/>
      <c r="K250" s="339" t="s">
        <v>493</v>
      </c>
      <c r="L250" s="48"/>
      <c r="M250" s="48"/>
      <c r="N250" s="339" t="s">
        <v>494</v>
      </c>
      <c r="O250" s="339" t="s">
        <v>495</v>
      </c>
      <c r="P250" s="48"/>
      <c r="Q250" s="339" t="s">
        <v>496</v>
      </c>
      <c r="R250" s="339"/>
      <c r="S250" s="48"/>
      <c r="T250" s="339" t="s">
        <v>498</v>
      </c>
      <c r="U250" s="339" t="s">
        <v>497</v>
      </c>
      <c r="V250" s="23">
        <v>82</v>
      </c>
      <c r="W250" s="368">
        <f t="shared" si="21"/>
        <v>30.873000000000001</v>
      </c>
      <c r="X250" s="368">
        <f t="shared" si="22"/>
        <v>30.873000000000001</v>
      </c>
      <c r="Y250" s="368">
        <f t="shared" si="23"/>
        <v>37.064</v>
      </c>
      <c r="Z250" s="368">
        <f t="shared" si="24"/>
        <v>31.077999999999999</v>
      </c>
      <c r="AA250" s="368">
        <f t="shared" si="25"/>
        <v>40.917999999999999</v>
      </c>
      <c r="AB250" s="368">
        <f t="shared" si="26"/>
        <v>35.26</v>
      </c>
      <c r="AC250" s="368">
        <f t="shared" si="27"/>
        <v>39.606000000000002</v>
      </c>
    </row>
    <row r="251" spans="1:29" s="171" customFormat="1" ht="14.4">
      <c r="A251" s="69" t="s">
        <v>499</v>
      </c>
      <c r="B251" s="69" t="s">
        <v>316</v>
      </c>
      <c r="C251" s="40"/>
      <c r="D251" s="40"/>
      <c r="E251" s="48"/>
      <c r="F251" s="48"/>
      <c r="G251" s="48"/>
      <c r="H251" s="48"/>
      <c r="I251" s="48"/>
      <c r="J251" s="48"/>
      <c r="K251" s="339" t="s">
        <v>500</v>
      </c>
      <c r="L251" s="48"/>
      <c r="M251" s="48"/>
      <c r="N251" s="339" t="s">
        <v>501</v>
      </c>
      <c r="O251" s="339" t="s">
        <v>502</v>
      </c>
      <c r="P251" s="48"/>
      <c r="Q251" s="339" t="s">
        <v>503</v>
      </c>
      <c r="R251" s="339"/>
      <c r="S251" s="48"/>
      <c r="T251" s="339" t="s">
        <v>505</v>
      </c>
      <c r="U251" s="339" t="s">
        <v>504</v>
      </c>
      <c r="V251" s="23">
        <v>183</v>
      </c>
      <c r="W251" s="368">
        <f t="shared" si="21"/>
        <v>68.899500000000003</v>
      </c>
      <c r="X251" s="368">
        <f t="shared" si="22"/>
        <v>68.899500000000003</v>
      </c>
      <c r="Y251" s="368">
        <f t="shared" si="23"/>
        <v>82.716000000000008</v>
      </c>
      <c r="Z251" s="368">
        <f t="shared" si="24"/>
        <v>69.356999999999999</v>
      </c>
      <c r="AA251" s="368">
        <f t="shared" si="25"/>
        <v>91.316999999999993</v>
      </c>
      <c r="AB251" s="368">
        <f t="shared" si="26"/>
        <v>78.69</v>
      </c>
      <c r="AC251" s="368">
        <f t="shared" si="27"/>
        <v>88.388999999999996</v>
      </c>
    </row>
    <row r="252" spans="1:29" s="171" customFormat="1">
      <c r="A252" s="71"/>
      <c r="B252" s="52"/>
      <c r="C252" s="150"/>
      <c r="D252" s="150"/>
      <c r="E252" s="104"/>
      <c r="F252" s="104"/>
      <c r="G252" s="104"/>
      <c r="H252" s="104"/>
      <c r="I252" s="104"/>
      <c r="J252" s="104"/>
      <c r="K252" s="104"/>
      <c r="L252" s="104"/>
      <c r="M252" s="104"/>
      <c r="N252" s="104"/>
      <c r="O252" s="104"/>
      <c r="P252" s="104"/>
      <c r="Q252" s="104"/>
      <c r="R252" s="104"/>
      <c r="S252" s="104"/>
      <c r="T252" s="104"/>
      <c r="U252" s="104"/>
      <c r="V252" s="23"/>
      <c r="W252" s="368"/>
      <c r="X252" s="368"/>
      <c r="Y252" s="368"/>
      <c r="Z252" s="368"/>
      <c r="AA252" s="368"/>
      <c r="AB252" s="368"/>
      <c r="AC252" s="368"/>
    </row>
    <row r="253" spans="1:29">
      <c r="A253" s="98" t="s">
        <v>317</v>
      </c>
      <c r="B253" s="108"/>
      <c r="C253" s="108"/>
      <c r="D253" s="108"/>
      <c r="E253" s="223"/>
      <c r="F253" s="223"/>
      <c r="G253" s="223"/>
      <c r="H253" s="223"/>
      <c r="I253" s="223"/>
      <c r="J253" s="223"/>
      <c r="K253" s="223"/>
      <c r="L253" s="223"/>
      <c r="M253" s="223"/>
      <c r="N253" s="223"/>
      <c r="O253" s="223"/>
      <c r="P253" s="223"/>
      <c r="Q253" s="223"/>
      <c r="R253" s="223"/>
      <c r="S253" s="226"/>
      <c r="T253" s="226"/>
      <c r="U253" s="226"/>
      <c r="V253" s="126"/>
      <c r="W253" s="126"/>
      <c r="X253" s="126"/>
      <c r="Y253" s="126"/>
      <c r="Z253" s="126"/>
      <c r="AA253" s="126"/>
      <c r="AB253" s="126"/>
      <c r="AC253" s="126"/>
    </row>
    <row r="254" spans="1:29" s="166" customFormat="1"/>
    <row r="255" spans="1:29" s="163" customFormat="1">
      <c r="A255" s="348" t="s">
        <v>1696</v>
      </c>
      <c r="B255" s="69" t="s">
        <v>506</v>
      </c>
      <c r="C255" s="69"/>
      <c r="D255" s="69"/>
      <c r="E255" s="69"/>
      <c r="F255" s="69" t="s">
        <v>539</v>
      </c>
      <c r="G255" s="69"/>
      <c r="H255" s="69" t="s">
        <v>507</v>
      </c>
      <c r="I255" s="69" t="s">
        <v>508</v>
      </c>
      <c r="J255" s="69"/>
      <c r="K255" s="69"/>
      <c r="L255" s="69"/>
      <c r="M255" s="69"/>
      <c r="N255" s="69"/>
      <c r="O255" s="69"/>
      <c r="P255" s="69"/>
      <c r="Q255" s="69"/>
      <c r="R255" s="69"/>
      <c r="S255" s="69"/>
      <c r="T255" s="69"/>
      <c r="U255" s="69"/>
      <c r="V255" s="23">
        <v>0</v>
      </c>
      <c r="W255" s="368">
        <f t="shared" si="21"/>
        <v>0</v>
      </c>
      <c r="X255" s="368">
        <f t="shared" si="22"/>
        <v>0</v>
      </c>
      <c r="Y255" s="368">
        <f t="shared" si="23"/>
        <v>0</v>
      </c>
      <c r="Z255" s="368">
        <f t="shared" si="24"/>
        <v>0</v>
      </c>
      <c r="AA255" s="368">
        <f t="shared" si="25"/>
        <v>0</v>
      </c>
      <c r="AB255" s="368">
        <f t="shared" si="26"/>
        <v>0</v>
      </c>
      <c r="AC255" s="368">
        <f t="shared" si="27"/>
        <v>0</v>
      </c>
    </row>
    <row r="256" spans="1:29" s="163" customFormat="1">
      <c r="A256" s="348" t="s">
        <v>1697</v>
      </c>
      <c r="B256" s="69" t="s">
        <v>509</v>
      </c>
      <c r="C256" s="69"/>
      <c r="D256" s="69"/>
      <c r="E256" s="69"/>
      <c r="F256" s="69" t="s">
        <v>540</v>
      </c>
      <c r="G256" s="69"/>
      <c r="H256" s="69" t="s">
        <v>510</v>
      </c>
      <c r="I256" s="69" t="s">
        <v>511</v>
      </c>
      <c r="J256" s="69"/>
      <c r="K256" s="69"/>
      <c r="L256" s="69"/>
      <c r="M256" s="69"/>
      <c r="N256" s="69"/>
      <c r="O256" s="69"/>
      <c r="P256" s="69"/>
      <c r="Q256" s="69"/>
      <c r="R256" s="69"/>
      <c r="S256" s="69"/>
      <c r="T256" s="69"/>
      <c r="U256" s="69"/>
      <c r="V256" s="23">
        <v>25</v>
      </c>
      <c r="W256" s="368">
        <f t="shared" si="21"/>
        <v>9.4124999999999996</v>
      </c>
      <c r="X256" s="368">
        <f t="shared" si="22"/>
        <v>9.4124999999999996</v>
      </c>
      <c r="Y256" s="368">
        <f t="shared" si="23"/>
        <v>11.3</v>
      </c>
      <c r="Z256" s="368">
        <f t="shared" si="24"/>
        <v>9.4749999999999996</v>
      </c>
      <c r="AA256" s="368">
        <f t="shared" si="25"/>
        <v>12.475</v>
      </c>
      <c r="AB256" s="368">
        <f t="shared" si="26"/>
        <v>10.75</v>
      </c>
      <c r="AC256" s="368">
        <f t="shared" si="27"/>
        <v>12.074999999999999</v>
      </c>
    </row>
    <row r="257" spans="1:45" s="163" customFormat="1">
      <c r="A257" s="348" t="s">
        <v>1960</v>
      </c>
      <c r="B257" s="69" t="s">
        <v>512</v>
      </c>
      <c r="C257" s="69"/>
      <c r="D257" s="69"/>
      <c r="E257" s="69"/>
      <c r="F257" s="69" t="s">
        <v>541</v>
      </c>
      <c r="G257" s="69"/>
      <c r="H257" s="69" t="s">
        <v>513</v>
      </c>
      <c r="I257" s="69" t="s">
        <v>514</v>
      </c>
      <c r="J257" s="69"/>
      <c r="K257" s="69"/>
      <c r="L257" s="69"/>
      <c r="M257" s="69"/>
      <c r="N257" s="69"/>
      <c r="O257" s="69"/>
      <c r="P257" s="69"/>
      <c r="Q257" s="69"/>
      <c r="R257" s="69"/>
      <c r="S257" s="69"/>
      <c r="T257" s="69"/>
      <c r="U257" s="69"/>
      <c r="V257" s="23">
        <v>0</v>
      </c>
      <c r="W257" s="368">
        <f t="shared" si="21"/>
        <v>0</v>
      </c>
      <c r="X257" s="368">
        <f t="shared" si="22"/>
        <v>0</v>
      </c>
      <c r="Y257" s="368">
        <f t="shared" si="23"/>
        <v>0</v>
      </c>
      <c r="Z257" s="368">
        <f t="shared" si="24"/>
        <v>0</v>
      </c>
      <c r="AA257" s="368">
        <f t="shared" si="25"/>
        <v>0</v>
      </c>
      <c r="AB257" s="368">
        <f t="shared" si="26"/>
        <v>0</v>
      </c>
      <c r="AC257" s="368">
        <f t="shared" si="27"/>
        <v>0</v>
      </c>
    </row>
    <row r="258" spans="1:45" s="163" customFormat="1">
      <c r="A258" s="348" t="s">
        <v>1961</v>
      </c>
      <c r="B258" s="69" t="s">
        <v>515</v>
      </c>
      <c r="C258" s="69"/>
      <c r="D258" s="69"/>
      <c r="E258" s="69"/>
      <c r="F258" s="69" t="s">
        <v>548</v>
      </c>
      <c r="G258" s="69"/>
      <c r="H258" s="69" t="s">
        <v>516</v>
      </c>
      <c r="I258" s="69" t="s">
        <v>517</v>
      </c>
      <c r="J258" s="69"/>
      <c r="K258" s="69"/>
      <c r="L258" s="69"/>
      <c r="M258" s="69"/>
      <c r="N258" s="69"/>
      <c r="O258" s="69"/>
      <c r="P258" s="69"/>
      <c r="Q258" s="69"/>
      <c r="R258" s="69"/>
      <c r="S258" s="69"/>
      <c r="T258" s="69"/>
      <c r="U258" s="69"/>
      <c r="V258" s="23">
        <v>8</v>
      </c>
      <c r="W258" s="368">
        <f t="shared" si="21"/>
        <v>3.012</v>
      </c>
      <c r="X258" s="368">
        <f t="shared" si="22"/>
        <v>3.012</v>
      </c>
      <c r="Y258" s="368">
        <f t="shared" si="23"/>
        <v>3.6160000000000001</v>
      </c>
      <c r="Z258" s="368">
        <f t="shared" si="24"/>
        <v>3.032</v>
      </c>
      <c r="AA258" s="368">
        <f t="shared" si="25"/>
        <v>3.992</v>
      </c>
      <c r="AB258" s="368">
        <f t="shared" si="26"/>
        <v>3.44</v>
      </c>
      <c r="AC258" s="368">
        <f t="shared" si="27"/>
        <v>3.8639999999999999</v>
      </c>
    </row>
    <row r="259" spans="1:45" s="163" customFormat="1">
      <c r="A259" s="348" t="s">
        <v>1962</v>
      </c>
      <c r="B259" s="69" t="s">
        <v>518</v>
      </c>
      <c r="C259" s="69"/>
      <c r="D259" s="69"/>
      <c r="E259" s="69"/>
      <c r="F259" s="69" t="s">
        <v>549</v>
      </c>
      <c r="G259" s="69"/>
      <c r="H259" s="69" t="s">
        <v>519</v>
      </c>
      <c r="I259" s="69" t="s">
        <v>520</v>
      </c>
      <c r="J259" s="69"/>
      <c r="K259" s="69"/>
      <c r="L259" s="69"/>
      <c r="M259" s="69"/>
      <c r="N259" s="69"/>
      <c r="O259" s="69"/>
      <c r="P259" s="69"/>
      <c r="Q259" s="69"/>
      <c r="R259" s="69"/>
      <c r="S259" s="69"/>
      <c r="T259" s="69"/>
      <c r="U259" s="69"/>
      <c r="V259" s="23">
        <v>33</v>
      </c>
      <c r="W259" s="368">
        <f t="shared" si="21"/>
        <v>12.4245</v>
      </c>
      <c r="X259" s="368">
        <f t="shared" si="22"/>
        <v>12.4245</v>
      </c>
      <c r="Y259" s="368">
        <f t="shared" si="23"/>
        <v>14.916</v>
      </c>
      <c r="Z259" s="368">
        <f t="shared" si="24"/>
        <v>12.507</v>
      </c>
      <c r="AA259" s="368">
        <f t="shared" si="25"/>
        <v>16.466999999999999</v>
      </c>
      <c r="AB259" s="368">
        <f t="shared" si="26"/>
        <v>14.19</v>
      </c>
      <c r="AC259" s="368">
        <f t="shared" si="27"/>
        <v>15.939</v>
      </c>
    </row>
    <row r="260" spans="1:45" s="163" customFormat="1" ht="27.6">
      <c r="A260" s="142" t="s">
        <v>1706</v>
      </c>
      <c r="B260" s="69" t="s">
        <v>533</v>
      </c>
      <c r="C260" s="69"/>
      <c r="D260" s="69"/>
      <c r="E260" s="69"/>
      <c r="F260" s="69" t="s">
        <v>546</v>
      </c>
      <c r="G260" s="69"/>
      <c r="H260" s="69" t="s">
        <v>534</v>
      </c>
      <c r="I260" s="69" t="s">
        <v>535</v>
      </c>
      <c r="J260" s="69"/>
      <c r="K260" s="69"/>
      <c r="L260" s="69"/>
      <c r="M260" s="69"/>
      <c r="N260" s="69"/>
      <c r="O260" s="69"/>
      <c r="P260" s="69"/>
      <c r="Q260" s="69"/>
      <c r="R260" s="69"/>
      <c r="S260" s="69"/>
      <c r="T260" s="69"/>
      <c r="U260" s="69"/>
      <c r="V260" s="23">
        <v>33</v>
      </c>
      <c r="W260" s="368">
        <f t="shared" si="21"/>
        <v>12.4245</v>
      </c>
      <c r="X260" s="368">
        <f t="shared" si="22"/>
        <v>12.4245</v>
      </c>
      <c r="Y260" s="368">
        <f t="shared" si="23"/>
        <v>14.916</v>
      </c>
      <c r="Z260" s="368">
        <f t="shared" si="24"/>
        <v>12.507</v>
      </c>
      <c r="AA260" s="368">
        <f t="shared" si="25"/>
        <v>16.466999999999999</v>
      </c>
      <c r="AB260" s="368">
        <f t="shared" si="26"/>
        <v>14.19</v>
      </c>
      <c r="AC260" s="368">
        <f t="shared" si="27"/>
        <v>15.939</v>
      </c>
    </row>
    <row r="261" spans="1:45" s="163" customFormat="1" ht="27.6">
      <c r="A261" s="142" t="s">
        <v>1705</v>
      </c>
      <c r="B261" s="69" t="s">
        <v>530</v>
      </c>
      <c r="C261" s="69"/>
      <c r="D261" s="69"/>
      <c r="E261" s="69"/>
      <c r="F261" s="69" t="s">
        <v>545</v>
      </c>
      <c r="G261" s="69"/>
      <c r="H261" s="69" t="s">
        <v>531</v>
      </c>
      <c r="I261" s="69" t="s">
        <v>532</v>
      </c>
      <c r="J261" s="69"/>
      <c r="K261" s="69"/>
      <c r="L261" s="69"/>
      <c r="M261" s="69"/>
      <c r="N261" s="69"/>
      <c r="O261" s="69"/>
      <c r="P261" s="69"/>
      <c r="Q261" s="69"/>
      <c r="R261" s="69"/>
      <c r="S261" s="69"/>
      <c r="T261" s="69"/>
      <c r="U261" s="69"/>
      <c r="V261" s="23">
        <v>33</v>
      </c>
      <c r="W261" s="368">
        <f t="shared" si="21"/>
        <v>12.4245</v>
      </c>
      <c r="X261" s="368">
        <f t="shared" si="22"/>
        <v>12.4245</v>
      </c>
      <c r="Y261" s="368">
        <f t="shared" si="23"/>
        <v>14.916</v>
      </c>
      <c r="Z261" s="368">
        <f t="shared" si="24"/>
        <v>12.507</v>
      </c>
      <c r="AA261" s="368">
        <f t="shared" si="25"/>
        <v>16.466999999999999</v>
      </c>
      <c r="AB261" s="368">
        <f t="shared" si="26"/>
        <v>14.19</v>
      </c>
      <c r="AC261" s="368">
        <f t="shared" si="27"/>
        <v>15.939</v>
      </c>
    </row>
    <row r="262" spans="1:45" s="163" customFormat="1" ht="27.6">
      <c r="A262" s="142" t="s">
        <v>1964</v>
      </c>
      <c r="B262" s="69" t="s">
        <v>536</v>
      </c>
      <c r="C262" s="69"/>
      <c r="D262" s="69"/>
      <c r="E262" s="69"/>
      <c r="F262" s="69" t="s">
        <v>547</v>
      </c>
      <c r="G262" s="69"/>
      <c r="H262" s="69" t="s">
        <v>537</v>
      </c>
      <c r="I262" s="69" t="s">
        <v>538</v>
      </c>
      <c r="J262" s="69"/>
      <c r="K262" s="69"/>
      <c r="L262" s="69"/>
      <c r="M262" s="69"/>
      <c r="N262" s="69"/>
      <c r="O262" s="69"/>
      <c r="P262" s="69"/>
      <c r="Q262" s="69"/>
      <c r="R262" s="69"/>
      <c r="S262" s="69"/>
      <c r="T262" s="69"/>
      <c r="U262" s="69"/>
      <c r="V262" s="23">
        <v>41</v>
      </c>
      <c r="W262" s="368">
        <f t="shared" si="21"/>
        <v>15.436500000000001</v>
      </c>
      <c r="X262" s="368">
        <f t="shared" si="22"/>
        <v>15.436500000000001</v>
      </c>
      <c r="Y262" s="368">
        <f t="shared" si="23"/>
        <v>18.532</v>
      </c>
      <c r="Z262" s="368">
        <f t="shared" si="24"/>
        <v>15.539</v>
      </c>
      <c r="AA262" s="368">
        <f t="shared" si="25"/>
        <v>20.459</v>
      </c>
      <c r="AB262" s="368">
        <f t="shared" si="26"/>
        <v>17.63</v>
      </c>
      <c r="AC262" s="368">
        <f t="shared" si="27"/>
        <v>19.803000000000001</v>
      </c>
    </row>
    <row r="263" spans="1:45" s="163" customFormat="1" ht="27.6">
      <c r="A263" s="142" t="s">
        <v>1703</v>
      </c>
      <c r="B263" s="69" t="s">
        <v>521</v>
      </c>
      <c r="C263" s="69"/>
      <c r="D263" s="69"/>
      <c r="E263" s="69"/>
      <c r="F263" s="69" t="s">
        <v>543</v>
      </c>
      <c r="G263" s="69"/>
      <c r="H263" s="69" t="s">
        <v>522</v>
      </c>
      <c r="I263" s="69" t="s">
        <v>523</v>
      </c>
      <c r="J263" s="69"/>
      <c r="K263" s="69"/>
      <c r="L263" s="69"/>
      <c r="M263" s="69"/>
      <c r="N263" s="69"/>
      <c r="O263" s="69"/>
      <c r="P263" s="69"/>
      <c r="Q263" s="69"/>
      <c r="R263" s="69"/>
      <c r="S263" s="69"/>
      <c r="T263" s="69"/>
      <c r="U263" s="69"/>
      <c r="V263" s="23">
        <v>91</v>
      </c>
      <c r="W263" s="368">
        <f t="shared" si="21"/>
        <v>34.261499999999998</v>
      </c>
      <c r="X263" s="368">
        <f t="shared" si="22"/>
        <v>34.261499999999998</v>
      </c>
      <c r="Y263" s="368">
        <f t="shared" si="23"/>
        <v>41.131999999999998</v>
      </c>
      <c r="Z263" s="368">
        <f t="shared" si="24"/>
        <v>34.488999999999997</v>
      </c>
      <c r="AA263" s="368">
        <f t="shared" si="25"/>
        <v>45.408999999999999</v>
      </c>
      <c r="AB263" s="368">
        <f t="shared" si="26"/>
        <v>39.130000000000003</v>
      </c>
      <c r="AC263" s="368">
        <f t="shared" si="27"/>
        <v>43.952999999999996</v>
      </c>
    </row>
    <row r="264" spans="1:45" s="163" customFormat="1" ht="27.6">
      <c r="A264" s="142" t="s">
        <v>1704</v>
      </c>
      <c r="B264" s="69" t="s">
        <v>524</v>
      </c>
      <c r="C264" s="69"/>
      <c r="D264" s="69"/>
      <c r="E264" s="69"/>
      <c r="F264" s="69" t="s">
        <v>542</v>
      </c>
      <c r="G264" s="69"/>
      <c r="H264" s="69" t="s">
        <v>525</v>
      </c>
      <c r="I264" s="69" t="s">
        <v>526</v>
      </c>
      <c r="J264" s="69"/>
      <c r="K264" s="69"/>
      <c r="L264" s="69"/>
      <c r="M264" s="69"/>
      <c r="N264" s="69"/>
      <c r="O264" s="69"/>
      <c r="P264" s="69"/>
      <c r="Q264" s="69"/>
      <c r="R264" s="69"/>
      <c r="S264" s="69"/>
      <c r="T264" s="69"/>
      <c r="U264" s="69"/>
      <c r="V264" s="23">
        <v>91</v>
      </c>
      <c r="W264" s="368">
        <f t="shared" si="21"/>
        <v>34.261499999999998</v>
      </c>
      <c r="X264" s="368">
        <f t="shared" si="22"/>
        <v>34.261499999999998</v>
      </c>
      <c r="Y264" s="368">
        <f t="shared" si="23"/>
        <v>41.131999999999998</v>
      </c>
      <c r="Z264" s="368">
        <f t="shared" si="24"/>
        <v>34.488999999999997</v>
      </c>
      <c r="AA264" s="368">
        <f t="shared" si="25"/>
        <v>45.408999999999999</v>
      </c>
      <c r="AB264" s="368">
        <f t="shared" si="26"/>
        <v>39.130000000000003</v>
      </c>
      <c r="AC264" s="368">
        <f t="shared" si="27"/>
        <v>43.952999999999996</v>
      </c>
    </row>
    <row r="265" spans="1:45" s="163" customFormat="1" ht="27.6">
      <c r="A265" s="142" t="s">
        <v>1963</v>
      </c>
      <c r="B265" s="69" t="s">
        <v>527</v>
      </c>
      <c r="C265" s="69"/>
      <c r="D265" s="69"/>
      <c r="E265" s="69"/>
      <c r="F265" s="69" t="s">
        <v>544</v>
      </c>
      <c r="G265" s="69"/>
      <c r="H265" s="69" t="s">
        <v>528</v>
      </c>
      <c r="I265" s="69" t="s">
        <v>529</v>
      </c>
      <c r="J265" s="69"/>
      <c r="K265" s="69"/>
      <c r="L265" s="69"/>
      <c r="M265" s="69"/>
      <c r="N265" s="69"/>
      <c r="O265" s="69"/>
      <c r="P265" s="69"/>
      <c r="Q265" s="69"/>
      <c r="R265" s="69"/>
      <c r="S265" s="69"/>
      <c r="T265" s="69"/>
      <c r="U265" s="69"/>
      <c r="V265" s="349">
        <v>99</v>
      </c>
      <c r="W265" s="373">
        <f t="shared" si="21"/>
        <v>37.273499999999999</v>
      </c>
      <c r="X265" s="373">
        <f t="shared" si="22"/>
        <v>37.273499999999999</v>
      </c>
      <c r="Y265" s="373">
        <f t="shared" si="23"/>
        <v>44.748000000000005</v>
      </c>
      <c r="Z265" s="373">
        <f t="shared" si="24"/>
        <v>37.521000000000001</v>
      </c>
      <c r="AA265" s="373">
        <f t="shared" si="25"/>
        <v>49.401000000000003</v>
      </c>
      <c r="AB265" s="373">
        <f t="shared" si="26"/>
        <v>42.57</v>
      </c>
      <c r="AC265" s="373">
        <f t="shared" si="27"/>
        <v>47.817</v>
      </c>
    </row>
    <row r="266" spans="1:45" s="166" customFormat="1">
      <c r="A266" s="308"/>
      <c r="B266" s="142"/>
      <c r="C266" s="142"/>
      <c r="D266" s="142"/>
      <c r="E266" s="142"/>
      <c r="F266" s="142"/>
      <c r="G266" s="142"/>
      <c r="H266" s="142"/>
      <c r="I266" s="142"/>
      <c r="J266" s="142"/>
      <c r="K266" s="142"/>
      <c r="L266" s="142"/>
      <c r="M266" s="142"/>
      <c r="N266" s="142"/>
      <c r="O266" s="142"/>
      <c r="P266" s="142"/>
      <c r="Q266" s="142"/>
      <c r="R266" s="142"/>
      <c r="S266" s="142"/>
      <c r="T266" s="142"/>
      <c r="U266" s="142"/>
      <c r="V266" s="71"/>
      <c r="W266" s="71"/>
      <c r="X266" s="71"/>
      <c r="Y266" s="71"/>
      <c r="Z266" s="71"/>
      <c r="AA266" s="71"/>
      <c r="AB266" s="71"/>
      <c r="AC266" s="71"/>
    </row>
    <row r="267" spans="1:45">
      <c r="A267" s="98" t="s">
        <v>197</v>
      </c>
      <c r="B267" s="103"/>
      <c r="C267" s="103"/>
      <c r="D267" s="103"/>
      <c r="E267" s="226"/>
      <c r="F267" s="226"/>
      <c r="G267" s="226"/>
      <c r="H267" s="226"/>
      <c r="I267" s="226"/>
      <c r="J267" s="226"/>
      <c r="K267" s="226"/>
      <c r="L267" s="226"/>
      <c r="M267" s="226"/>
      <c r="N267" s="226"/>
      <c r="O267" s="226"/>
      <c r="P267" s="226"/>
      <c r="Q267" s="226"/>
      <c r="R267" s="226"/>
      <c r="S267" s="226"/>
      <c r="T267" s="226"/>
      <c r="U267" s="226"/>
      <c r="V267" s="126"/>
      <c r="W267" s="126"/>
      <c r="X267" s="126"/>
      <c r="Y267" s="126"/>
      <c r="Z267" s="126"/>
      <c r="AA267" s="126"/>
      <c r="AB267" s="126"/>
      <c r="AC267" s="126"/>
    </row>
    <row r="268" spans="1:45" s="33" customFormat="1">
      <c r="A268" s="69"/>
      <c r="B268" s="69"/>
      <c r="C268" s="150"/>
      <c r="D268" s="150"/>
      <c r="E268" s="104"/>
      <c r="F268" s="104"/>
      <c r="G268" s="104"/>
      <c r="H268" s="104"/>
      <c r="I268" s="104"/>
      <c r="J268" s="138"/>
      <c r="K268" s="138"/>
      <c r="L268" s="138"/>
      <c r="M268" s="138"/>
      <c r="N268" s="138"/>
      <c r="O268" s="138"/>
      <c r="P268" s="104"/>
      <c r="Q268" s="104"/>
      <c r="R268" s="104"/>
      <c r="S268" s="104"/>
      <c r="T268" s="104"/>
      <c r="U268" s="104"/>
      <c r="V268" s="23"/>
      <c r="W268" s="368">
        <f t="shared" si="21"/>
        <v>0</v>
      </c>
      <c r="X268" s="368">
        <f t="shared" si="22"/>
        <v>0</v>
      </c>
      <c r="Y268" s="368">
        <f t="shared" si="23"/>
        <v>0</v>
      </c>
      <c r="Z268" s="368">
        <f t="shared" si="24"/>
        <v>0</v>
      </c>
      <c r="AA268" s="368">
        <f t="shared" si="25"/>
        <v>0</v>
      </c>
      <c r="AB268" s="368">
        <f t="shared" si="26"/>
        <v>0</v>
      </c>
      <c r="AC268" s="368">
        <f t="shared" si="27"/>
        <v>0</v>
      </c>
      <c r="AD268" s="166"/>
      <c r="AE268" s="166"/>
      <c r="AF268" s="166"/>
      <c r="AG268" s="166"/>
      <c r="AH268" s="166"/>
      <c r="AI268" s="166"/>
      <c r="AJ268" s="166"/>
      <c r="AK268" s="166"/>
      <c r="AL268" s="166"/>
      <c r="AM268" s="166"/>
      <c r="AN268" s="166"/>
      <c r="AO268" s="166"/>
      <c r="AP268" s="166"/>
      <c r="AQ268" s="166"/>
      <c r="AR268" s="166"/>
      <c r="AS268" s="166"/>
    </row>
    <row r="269" spans="1:45" s="163" customFormat="1" ht="31.5" customHeight="1">
      <c r="A269" s="69" t="s">
        <v>1698</v>
      </c>
      <c r="B269" s="69" t="s">
        <v>550</v>
      </c>
      <c r="C269" s="69"/>
      <c r="D269" s="69"/>
      <c r="E269" s="69"/>
      <c r="F269" s="69"/>
      <c r="G269" s="69"/>
      <c r="H269" s="69"/>
      <c r="I269" s="69"/>
      <c r="J269" s="69"/>
      <c r="K269" s="69" t="s">
        <v>551</v>
      </c>
      <c r="L269" s="69" t="s">
        <v>580</v>
      </c>
      <c r="M269" s="69"/>
      <c r="N269" s="69" t="s">
        <v>592</v>
      </c>
      <c r="O269" s="69" t="s">
        <v>607</v>
      </c>
      <c r="P269" s="69"/>
      <c r="Q269" s="69"/>
      <c r="R269" s="69"/>
      <c r="S269" s="69"/>
      <c r="T269" s="69"/>
      <c r="U269" s="69"/>
      <c r="V269" s="23">
        <v>0</v>
      </c>
      <c r="W269" s="368">
        <f t="shared" ref="W269:W332" si="28">V269*$W$9</f>
        <v>0</v>
      </c>
      <c r="X269" s="368">
        <f t="shared" ref="X269:X332" si="29">V269*$X$9</f>
        <v>0</v>
      </c>
      <c r="Y269" s="368">
        <f t="shared" ref="Y269:Y332" si="30">V269*$Y$9</f>
        <v>0</v>
      </c>
      <c r="Z269" s="368">
        <f t="shared" ref="Z269:Z332" si="31">V269*$Z$9</f>
        <v>0</v>
      </c>
      <c r="AA269" s="368">
        <f t="shared" ref="AA269:AA332" si="32">V269*$AA$9</f>
        <v>0</v>
      </c>
      <c r="AB269" s="368">
        <f t="shared" ref="AB269:AB332" si="33">V269*$AB$9</f>
        <v>0</v>
      </c>
      <c r="AC269" s="368">
        <f t="shared" ref="AC269:AC332" si="34">V269*$AC$9</f>
        <v>0</v>
      </c>
    </row>
    <row r="270" spans="1:45" s="163" customFormat="1" ht="31.5" customHeight="1">
      <c r="A270" s="69" t="s">
        <v>1965</v>
      </c>
      <c r="B270" s="69" t="s">
        <v>554</v>
      </c>
      <c r="C270" s="69"/>
      <c r="D270" s="69"/>
      <c r="E270" s="69"/>
      <c r="F270" s="69"/>
      <c r="G270" s="69"/>
      <c r="H270" s="69"/>
      <c r="I270" s="69"/>
      <c r="J270" s="69"/>
      <c r="K270" s="69" t="s">
        <v>555</v>
      </c>
      <c r="L270" s="69" t="s">
        <v>583</v>
      </c>
      <c r="M270" s="69"/>
      <c r="N270" s="69" t="s">
        <v>595</v>
      </c>
      <c r="O270" s="69" t="s">
        <v>610</v>
      </c>
      <c r="P270" s="69"/>
      <c r="Q270" s="69"/>
      <c r="R270" s="69"/>
      <c r="S270" s="69"/>
      <c r="T270" s="69"/>
      <c r="U270" s="69"/>
      <c r="V270" s="23">
        <v>8</v>
      </c>
      <c r="W270" s="368">
        <f t="shared" si="28"/>
        <v>3.012</v>
      </c>
      <c r="X270" s="368">
        <f t="shared" si="29"/>
        <v>3.012</v>
      </c>
      <c r="Y270" s="368">
        <f t="shared" si="30"/>
        <v>3.6160000000000001</v>
      </c>
      <c r="Z270" s="368">
        <f t="shared" si="31"/>
        <v>3.032</v>
      </c>
      <c r="AA270" s="368">
        <f t="shared" si="32"/>
        <v>3.992</v>
      </c>
      <c r="AB270" s="368">
        <f t="shared" si="33"/>
        <v>3.44</v>
      </c>
      <c r="AC270" s="368">
        <f t="shared" si="34"/>
        <v>3.8639999999999999</v>
      </c>
    </row>
    <row r="271" spans="1:45" s="163" customFormat="1" ht="31.5" customHeight="1">
      <c r="A271" s="69" t="s">
        <v>1966</v>
      </c>
      <c r="B271" s="69" t="s">
        <v>568</v>
      </c>
      <c r="C271" s="69"/>
      <c r="D271" s="69"/>
      <c r="E271" s="69"/>
      <c r="F271" s="69"/>
      <c r="G271" s="69"/>
      <c r="H271" s="69"/>
      <c r="I271" s="69"/>
      <c r="J271" s="69"/>
      <c r="K271" s="69" t="s">
        <v>569</v>
      </c>
      <c r="L271" s="69" t="s">
        <v>582</v>
      </c>
      <c r="M271" s="69"/>
      <c r="N271" s="69" t="s">
        <v>594</v>
      </c>
      <c r="O271" s="69" t="s">
        <v>609</v>
      </c>
      <c r="P271" s="69"/>
      <c r="Q271" s="69"/>
      <c r="R271" s="69"/>
      <c r="S271" s="69"/>
      <c r="T271" s="69"/>
      <c r="U271" s="69"/>
      <c r="V271" s="23">
        <v>8</v>
      </c>
      <c r="W271" s="368">
        <f t="shared" si="28"/>
        <v>3.012</v>
      </c>
      <c r="X271" s="368">
        <f t="shared" si="29"/>
        <v>3.012</v>
      </c>
      <c r="Y271" s="368">
        <f t="shared" si="30"/>
        <v>3.6160000000000001</v>
      </c>
      <c r="Z271" s="368">
        <f t="shared" si="31"/>
        <v>3.032</v>
      </c>
      <c r="AA271" s="368">
        <f t="shared" si="32"/>
        <v>3.992</v>
      </c>
      <c r="AB271" s="368">
        <f t="shared" si="33"/>
        <v>3.44</v>
      </c>
      <c r="AC271" s="368">
        <f t="shared" si="34"/>
        <v>3.8639999999999999</v>
      </c>
    </row>
    <row r="272" spans="1:45" s="163" customFormat="1" ht="31.5" customHeight="1">
      <c r="A272" s="69" t="s">
        <v>1699</v>
      </c>
      <c r="B272" s="69" t="s">
        <v>552</v>
      </c>
      <c r="C272" s="69"/>
      <c r="D272" s="69"/>
      <c r="E272" s="69"/>
      <c r="F272" s="69"/>
      <c r="G272" s="69"/>
      <c r="H272" s="69"/>
      <c r="I272" s="69"/>
      <c r="J272" s="69"/>
      <c r="K272" s="69" t="s">
        <v>553</v>
      </c>
      <c r="L272" s="69" t="s">
        <v>581</v>
      </c>
      <c r="M272" s="69"/>
      <c r="N272" s="69" t="s">
        <v>593</v>
      </c>
      <c r="O272" s="69" t="s">
        <v>608</v>
      </c>
      <c r="P272" s="69"/>
      <c r="Q272" s="69"/>
      <c r="R272" s="69"/>
      <c r="S272" s="69"/>
      <c r="T272" s="69"/>
      <c r="U272" s="69"/>
      <c r="V272" s="23">
        <v>28</v>
      </c>
      <c r="W272" s="368">
        <f t="shared" si="28"/>
        <v>10.542</v>
      </c>
      <c r="X272" s="368">
        <f t="shared" si="29"/>
        <v>10.542</v>
      </c>
      <c r="Y272" s="368">
        <f t="shared" si="30"/>
        <v>12.656000000000001</v>
      </c>
      <c r="Z272" s="368">
        <f t="shared" si="31"/>
        <v>10.612</v>
      </c>
      <c r="AA272" s="368">
        <f t="shared" si="32"/>
        <v>13.972</v>
      </c>
      <c r="AB272" s="368">
        <f t="shared" si="33"/>
        <v>12.04</v>
      </c>
      <c r="AC272" s="368">
        <f t="shared" si="34"/>
        <v>13.523999999999999</v>
      </c>
    </row>
    <row r="273" spans="1:45" s="163" customFormat="1" ht="31.5" customHeight="1">
      <c r="A273" s="69" t="s">
        <v>1967</v>
      </c>
      <c r="B273" s="69" t="s">
        <v>570</v>
      </c>
      <c r="C273" s="69"/>
      <c r="D273" s="69"/>
      <c r="E273" s="69"/>
      <c r="F273" s="69"/>
      <c r="G273" s="69"/>
      <c r="H273" s="69"/>
      <c r="I273" s="69"/>
      <c r="J273" s="69"/>
      <c r="K273" s="69" t="s">
        <v>571</v>
      </c>
      <c r="L273" s="69" t="s">
        <v>584</v>
      </c>
      <c r="M273" s="69"/>
      <c r="N273" s="69" t="s">
        <v>596</v>
      </c>
      <c r="O273" s="69" t="s">
        <v>611</v>
      </c>
      <c r="P273" s="69"/>
      <c r="Q273" s="69"/>
      <c r="R273" s="69"/>
      <c r="S273" s="69"/>
      <c r="T273" s="69"/>
      <c r="U273" s="69"/>
      <c r="V273" s="23">
        <v>36</v>
      </c>
      <c r="W273" s="368">
        <f t="shared" si="28"/>
        <v>13.554</v>
      </c>
      <c r="X273" s="368">
        <f t="shared" si="29"/>
        <v>13.554</v>
      </c>
      <c r="Y273" s="368">
        <f t="shared" si="30"/>
        <v>16.272000000000002</v>
      </c>
      <c r="Z273" s="368">
        <f t="shared" si="31"/>
        <v>13.644</v>
      </c>
      <c r="AA273" s="368">
        <f t="shared" si="32"/>
        <v>17.963999999999999</v>
      </c>
      <c r="AB273" s="368">
        <f t="shared" si="33"/>
        <v>15.48</v>
      </c>
      <c r="AC273" s="368">
        <f t="shared" si="34"/>
        <v>17.387999999999998</v>
      </c>
    </row>
    <row r="274" spans="1:45" s="163" customFormat="1" ht="31.5" customHeight="1">
      <c r="A274" s="69" t="s">
        <v>1925</v>
      </c>
      <c r="B274" s="69" t="s">
        <v>564</v>
      </c>
      <c r="C274" s="69"/>
      <c r="D274" s="69"/>
      <c r="E274" s="69"/>
      <c r="F274" s="69"/>
      <c r="G274" s="69"/>
      <c r="H274" s="69"/>
      <c r="I274" s="69"/>
      <c r="J274" s="69"/>
      <c r="K274" s="69" t="s">
        <v>565</v>
      </c>
      <c r="L274" s="69" t="s">
        <v>591</v>
      </c>
      <c r="M274" s="69"/>
      <c r="N274" s="69" t="s">
        <v>603</v>
      </c>
      <c r="O274" s="69" t="s">
        <v>617</v>
      </c>
      <c r="P274" s="69"/>
      <c r="Q274" s="69"/>
      <c r="R274" s="69"/>
      <c r="S274" s="69"/>
      <c r="T274" s="69"/>
      <c r="U274" s="69"/>
      <c r="V274" s="23">
        <v>71</v>
      </c>
      <c r="W274" s="368">
        <f t="shared" si="28"/>
        <v>26.7315</v>
      </c>
      <c r="X274" s="368">
        <f t="shared" si="29"/>
        <v>26.7315</v>
      </c>
      <c r="Y274" s="368">
        <f t="shared" si="30"/>
        <v>32.091999999999999</v>
      </c>
      <c r="Z274" s="368">
        <f t="shared" si="31"/>
        <v>26.908999999999999</v>
      </c>
      <c r="AA274" s="368">
        <f t="shared" si="32"/>
        <v>35.429000000000002</v>
      </c>
      <c r="AB274" s="368">
        <f t="shared" si="33"/>
        <v>30.53</v>
      </c>
      <c r="AC274" s="368">
        <f t="shared" si="34"/>
        <v>34.292999999999999</v>
      </c>
    </row>
    <row r="275" spans="1:45" s="163" customFormat="1" ht="31.5" customHeight="1">
      <c r="A275" s="69" t="s">
        <v>1926</v>
      </c>
      <c r="B275" s="69" t="s">
        <v>562</v>
      </c>
      <c r="C275" s="69"/>
      <c r="D275" s="69"/>
      <c r="E275" s="69"/>
      <c r="F275" s="69"/>
      <c r="G275" s="69"/>
      <c r="H275" s="69"/>
      <c r="I275" s="69"/>
      <c r="J275" s="69"/>
      <c r="K275" s="69" t="s">
        <v>563</v>
      </c>
      <c r="L275" s="69" t="s">
        <v>590</v>
      </c>
      <c r="M275" s="69"/>
      <c r="N275" s="69" t="s">
        <v>602</v>
      </c>
      <c r="O275" s="69"/>
      <c r="P275" s="69"/>
      <c r="Q275" s="69"/>
      <c r="R275" s="69"/>
      <c r="S275" s="69"/>
      <c r="T275" s="69"/>
      <c r="U275" s="69"/>
      <c r="V275" s="23">
        <v>71</v>
      </c>
      <c r="W275" s="368">
        <f t="shared" si="28"/>
        <v>26.7315</v>
      </c>
      <c r="X275" s="368">
        <f t="shared" si="29"/>
        <v>26.7315</v>
      </c>
      <c r="Y275" s="368">
        <f t="shared" si="30"/>
        <v>32.091999999999999</v>
      </c>
      <c r="Z275" s="368">
        <f t="shared" si="31"/>
        <v>26.908999999999999</v>
      </c>
      <c r="AA275" s="368">
        <f t="shared" si="32"/>
        <v>35.429000000000002</v>
      </c>
      <c r="AB275" s="368">
        <f t="shared" si="33"/>
        <v>30.53</v>
      </c>
      <c r="AC275" s="368">
        <f t="shared" si="34"/>
        <v>34.292999999999999</v>
      </c>
    </row>
    <row r="276" spans="1:45" s="163" customFormat="1" ht="31.5" customHeight="1">
      <c r="A276" s="69" t="s">
        <v>1968</v>
      </c>
      <c r="B276" s="69" t="s">
        <v>566</v>
      </c>
      <c r="C276" s="69"/>
      <c r="D276" s="69"/>
      <c r="E276" s="69"/>
      <c r="F276" s="69"/>
      <c r="G276" s="69"/>
      <c r="H276" s="69"/>
      <c r="I276" s="69"/>
      <c r="J276" s="69"/>
      <c r="K276" s="69" t="s">
        <v>567</v>
      </c>
      <c r="L276" s="69"/>
      <c r="M276" s="69"/>
      <c r="N276" s="69" t="s">
        <v>604</v>
      </c>
      <c r="O276" s="69"/>
      <c r="P276" s="69"/>
      <c r="Q276" s="69"/>
      <c r="R276" s="69"/>
      <c r="S276" s="69"/>
      <c r="T276" s="69"/>
      <c r="U276" s="69"/>
      <c r="V276" s="23">
        <v>79</v>
      </c>
      <c r="W276" s="368">
        <f t="shared" si="28"/>
        <v>29.743500000000001</v>
      </c>
      <c r="X276" s="368">
        <f t="shared" si="29"/>
        <v>29.743500000000001</v>
      </c>
      <c r="Y276" s="368">
        <f t="shared" si="30"/>
        <v>35.707999999999998</v>
      </c>
      <c r="Z276" s="368">
        <f t="shared" si="31"/>
        <v>29.940999999999999</v>
      </c>
      <c r="AA276" s="368">
        <f t="shared" si="32"/>
        <v>39.420999999999999</v>
      </c>
      <c r="AB276" s="368">
        <f t="shared" si="33"/>
        <v>33.97</v>
      </c>
      <c r="AC276" s="368">
        <f t="shared" si="34"/>
        <v>38.156999999999996</v>
      </c>
    </row>
    <row r="277" spans="1:45" s="163" customFormat="1" ht="31.5" customHeight="1">
      <c r="A277" s="142" t="s">
        <v>1702</v>
      </c>
      <c r="B277" s="69" t="s">
        <v>560</v>
      </c>
      <c r="C277" s="69"/>
      <c r="D277" s="69"/>
      <c r="E277" s="69"/>
      <c r="F277" s="69"/>
      <c r="G277" s="69"/>
      <c r="H277" s="69"/>
      <c r="I277" s="69"/>
      <c r="J277" s="69"/>
      <c r="K277" s="69" t="s">
        <v>561</v>
      </c>
      <c r="L277" s="69" t="s">
        <v>587</v>
      </c>
      <c r="M277" s="69"/>
      <c r="N277" s="69" t="s">
        <v>599</v>
      </c>
      <c r="O277" s="69" t="s">
        <v>614</v>
      </c>
      <c r="P277" s="69"/>
      <c r="Q277" s="69"/>
      <c r="R277" s="69"/>
      <c r="S277" s="69"/>
      <c r="T277" s="69"/>
      <c r="U277" s="69"/>
      <c r="V277" s="23">
        <v>117</v>
      </c>
      <c r="W277" s="368">
        <f t="shared" si="28"/>
        <v>44.0505</v>
      </c>
      <c r="X277" s="368">
        <f t="shared" si="29"/>
        <v>44.0505</v>
      </c>
      <c r="Y277" s="368">
        <f t="shared" si="30"/>
        <v>52.884</v>
      </c>
      <c r="Z277" s="368">
        <f t="shared" si="31"/>
        <v>44.343000000000004</v>
      </c>
      <c r="AA277" s="368">
        <f t="shared" si="32"/>
        <v>58.383000000000003</v>
      </c>
      <c r="AB277" s="368">
        <f t="shared" si="33"/>
        <v>50.31</v>
      </c>
      <c r="AC277" s="368">
        <f t="shared" si="34"/>
        <v>56.510999999999996</v>
      </c>
    </row>
    <row r="278" spans="1:45" s="163" customFormat="1" ht="31.5" customHeight="1">
      <c r="A278" s="142" t="s">
        <v>1900</v>
      </c>
      <c r="B278" s="69" t="s">
        <v>556</v>
      </c>
      <c r="C278" s="69"/>
      <c r="D278" s="69"/>
      <c r="E278" s="69"/>
      <c r="F278" s="69"/>
      <c r="G278" s="69"/>
      <c r="H278" s="69"/>
      <c r="I278" s="69"/>
      <c r="J278" s="69"/>
      <c r="K278" s="69" t="s">
        <v>557</v>
      </c>
      <c r="L278" s="69" t="s">
        <v>585</v>
      </c>
      <c r="M278" s="69"/>
      <c r="N278" s="69" t="s">
        <v>597</v>
      </c>
      <c r="O278" s="69" t="s">
        <v>612</v>
      </c>
      <c r="P278" s="69"/>
      <c r="Q278" s="69"/>
      <c r="R278" s="69"/>
      <c r="S278" s="69"/>
      <c r="T278" s="69"/>
      <c r="U278" s="69"/>
      <c r="V278" s="23">
        <v>117</v>
      </c>
      <c r="W278" s="368">
        <f t="shared" si="28"/>
        <v>44.0505</v>
      </c>
      <c r="X278" s="368">
        <f t="shared" si="29"/>
        <v>44.0505</v>
      </c>
      <c r="Y278" s="368">
        <f t="shared" si="30"/>
        <v>52.884</v>
      </c>
      <c r="Z278" s="368">
        <f t="shared" si="31"/>
        <v>44.343000000000004</v>
      </c>
      <c r="AA278" s="368">
        <f t="shared" si="32"/>
        <v>58.383000000000003</v>
      </c>
      <c r="AB278" s="368">
        <f t="shared" si="33"/>
        <v>50.31</v>
      </c>
      <c r="AC278" s="368">
        <f t="shared" si="34"/>
        <v>56.510999999999996</v>
      </c>
    </row>
    <row r="279" spans="1:45" s="163" customFormat="1" ht="31.5" customHeight="1">
      <c r="A279" s="69" t="s">
        <v>1969</v>
      </c>
      <c r="B279" s="69" t="s">
        <v>572</v>
      </c>
      <c r="C279" s="69"/>
      <c r="D279" s="69"/>
      <c r="E279" s="69"/>
      <c r="F279" s="69"/>
      <c r="G279" s="69"/>
      <c r="H279" s="69"/>
      <c r="I279" s="69"/>
      <c r="J279" s="69"/>
      <c r="K279" s="69" t="s">
        <v>573</v>
      </c>
      <c r="L279" s="69" t="s">
        <v>588</v>
      </c>
      <c r="M279" s="69"/>
      <c r="N279" s="69" t="s">
        <v>600</v>
      </c>
      <c r="O279" s="69" t="s">
        <v>615</v>
      </c>
      <c r="P279" s="69"/>
      <c r="Q279" s="69"/>
      <c r="R279" s="69"/>
      <c r="S279" s="69"/>
      <c r="T279" s="69"/>
      <c r="U279" s="69"/>
      <c r="V279" s="23">
        <v>125</v>
      </c>
      <c r="W279" s="368">
        <f t="shared" si="28"/>
        <v>47.0625</v>
      </c>
      <c r="X279" s="368">
        <f t="shared" si="29"/>
        <v>47.0625</v>
      </c>
      <c r="Y279" s="368">
        <f t="shared" si="30"/>
        <v>56.5</v>
      </c>
      <c r="Z279" s="368">
        <f t="shared" si="31"/>
        <v>47.375</v>
      </c>
      <c r="AA279" s="368">
        <f t="shared" si="32"/>
        <v>62.375</v>
      </c>
      <c r="AB279" s="368">
        <f t="shared" si="33"/>
        <v>53.75</v>
      </c>
      <c r="AC279" s="368">
        <f t="shared" si="34"/>
        <v>60.375</v>
      </c>
    </row>
    <row r="280" spans="1:45" s="163" customFormat="1" ht="31.5" customHeight="1">
      <c r="A280" s="142" t="s">
        <v>1927</v>
      </c>
      <c r="B280" s="69" t="s">
        <v>558</v>
      </c>
      <c r="C280" s="69"/>
      <c r="D280" s="69"/>
      <c r="E280" s="69"/>
      <c r="F280" s="69"/>
      <c r="G280" s="69"/>
      <c r="H280" s="69"/>
      <c r="I280" s="69"/>
      <c r="J280" s="69"/>
      <c r="K280" s="69" t="s">
        <v>559</v>
      </c>
      <c r="L280" s="69" t="s">
        <v>586</v>
      </c>
      <c r="M280" s="69"/>
      <c r="N280" s="69" t="s">
        <v>598</v>
      </c>
      <c r="O280" s="69" t="s">
        <v>613</v>
      </c>
      <c r="P280" s="69"/>
      <c r="Q280" s="69"/>
      <c r="R280" s="69"/>
      <c r="S280" s="69"/>
      <c r="T280" s="69"/>
      <c r="U280" s="69"/>
      <c r="V280" s="23">
        <v>150</v>
      </c>
      <c r="W280" s="368">
        <f t="shared" si="28"/>
        <v>56.475000000000001</v>
      </c>
      <c r="X280" s="368">
        <f t="shared" si="29"/>
        <v>56.475000000000001</v>
      </c>
      <c r="Y280" s="368">
        <f t="shared" si="30"/>
        <v>67.8</v>
      </c>
      <c r="Z280" s="368">
        <f t="shared" si="31"/>
        <v>56.85</v>
      </c>
      <c r="AA280" s="368">
        <f t="shared" si="32"/>
        <v>74.849999999999994</v>
      </c>
      <c r="AB280" s="368">
        <f t="shared" si="33"/>
        <v>64.5</v>
      </c>
      <c r="AC280" s="368">
        <f t="shared" si="34"/>
        <v>72.45</v>
      </c>
    </row>
    <row r="281" spans="1:45" s="163" customFormat="1" ht="31.5" customHeight="1">
      <c r="A281" s="69" t="s">
        <v>1928</v>
      </c>
      <c r="B281" s="69" t="s">
        <v>574</v>
      </c>
      <c r="C281" s="69"/>
      <c r="D281" s="69"/>
      <c r="E281" s="69"/>
      <c r="F281" s="69"/>
      <c r="G281" s="69"/>
      <c r="H281" s="69"/>
      <c r="I281" s="69"/>
      <c r="J281" s="69"/>
      <c r="K281" s="69" t="s">
        <v>575</v>
      </c>
      <c r="L281" s="69" t="s">
        <v>589</v>
      </c>
      <c r="M281" s="69"/>
      <c r="N281" s="69" t="s">
        <v>601</v>
      </c>
      <c r="O281" s="69" t="s">
        <v>616</v>
      </c>
      <c r="P281" s="69"/>
      <c r="Q281" s="69"/>
      <c r="R281" s="69"/>
      <c r="S281" s="69"/>
      <c r="T281" s="69"/>
      <c r="U281" s="69"/>
      <c r="V281" s="23">
        <v>158</v>
      </c>
      <c r="W281" s="368">
        <f t="shared" si="28"/>
        <v>59.487000000000002</v>
      </c>
      <c r="X281" s="368">
        <f t="shared" si="29"/>
        <v>59.487000000000002</v>
      </c>
      <c r="Y281" s="368">
        <f t="shared" si="30"/>
        <v>71.415999999999997</v>
      </c>
      <c r="Z281" s="368">
        <f t="shared" si="31"/>
        <v>59.881999999999998</v>
      </c>
      <c r="AA281" s="368">
        <f t="shared" si="32"/>
        <v>78.841999999999999</v>
      </c>
      <c r="AB281" s="368">
        <f t="shared" si="33"/>
        <v>67.94</v>
      </c>
      <c r="AC281" s="368">
        <f t="shared" si="34"/>
        <v>76.313999999999993</v>
      </c>
    </row>
    <row r="282" spans="1:45" s="163" customFormat="1" ht="31.5" customHeight="1">
      <c r="A282" s="69" t="s">
        <v>1929</v>
      </c>
      <c r="B282" s="69" t="s">
        <v>576</v>
      </c>
      <c r="C282" s="69"/>
      <c r="D282" s="69"/>
      <c r="E282" s="69"/>
      <c r="F282" s="69"/>
      <c r="G282" s="69"/>
      <c r="H282" s="69"/>
      <c r="I282" s="69"/>
      <c r="J282" s="69"/>
      <c r="K282" s="69"/>
      <c r="L282" s="69" t="s">
        <v>577</v>
      </c>
      <c r="M282" s="69"/>
      <c r="N282" s="69"/>
      <c r="O282" s="69" t="s">
        <v>605</v>
      </c>
      <c r="P282" s="69"/>
      <c r="Q282" s="69"/>
      <c r="R282" s="69"/>
      <c r="S282" s="69"/>
      <c r="T282" s="69"/>
      <c r="U282" s="69"/>
      <c r="V282" s="23">
        <v>62</v>
      </c>
      <c r="W282" s="368">
        <f t="shared" si="28"/>
        <v>23.343</v>
      </c>
      <c r="X282" s="368">
        <f t="shared" si="29"/>
        <v>23.343</v>
      </c>
      <c r="Y282" s="368">
        <f t="shared" si="30"/>
        <v>28.024000000000001</v>
      </c>
      <c r="Z282" s="368">
        <f t="shared" si="31"/>
        <v>23.498000000000001</v>
      </c>
      <c r="AA282" s="368">
        <f t="shared" si="32"/>
        <v>30.937999999999999</v>
      </c>
      <c r="AB282" s="368">
        <f t="shared" si="33"/>
        <v>26.66</v>
      </c>
      <c r="AC282" s="368">
        <f t="shared" si="34"/>
        <v>29.945999999999998</v>
      </c>
    </row>
    <row r="283" spans="1:45" s="163" customFormat="1" ht="31.5" customHeight="1">
      <c r="A283" s="69" t="s">
        <v>1970</v>
      </c>
      <c r="B283" s="69" t="s">
        <v>578</v>
      </c>
      <c r="C283" s="69"/>
      <c r="D283" s="69"/>
      <c r="E283" s="69"/>
      <c r="F283" s="69"/>
      <c r="G283" s="69"/>
      <c r="H283" s="69"/>
      <c r="I283" s="69"/>
      <c r="J283" s="69"/>
      <c r="K283" s="69"/>
      <c r="L283" s="69" t="s">
        <v>579</v>
      </c>
      <c r="M283" s="69"/>
      <c r="N283" s="69"/>
      <c r="O283" s="69" t="s">
        <v>606</v>
      </c>
      <c r="P283" s="69"/>
      <c r="Q283" s="69"/>
      <c r="R283" s="69"/>
      <c r="S283" s="69"/>
      <c r="T283" s="69"/>
      <c r="U283" s="69"/>
      <c r="V283" s="23">
        <v>70</v>
      </c>
      <c r="W283" s="368">
        <f t="shared" si="28"/>
        <v>26.355</v>
      </c>
      <c r="X283" s="368">
        <f t="shared" si="29"/>
        <v>26.355</v>
      </c>
      <c r="Y283" s="368">
        <f t="shared" si="30"/>
        <v>31.64</v>
      </c>
      <c r="Z283" s="368">
        <f t="shared" si="31"/>
        <v>26.53</v>
      </c>
      <c r="AA283" s="368">
        <f t="shared" si="32"/>
        <v>34.93</v>
      </c>
      <c r="AB283" s="368">
        <f t="shared" si="33"/>
        <v>30.099999999999998</v>
      </c>
      <c r="AC283" s="368">
        <f t="shared" si="34"/>
        <v>33.81</v>
      </c>
    </row>
    <row r="284" spans="1:45" s="163" customFormat="1">
      <c r="A284" s="29"/>
      <c r="B284" s="29"/>
      <c r="C284" s="29"/>
      <c r="D284" s="29"/>
      <c r="E284" s="29"/>
      <c r="F284" s="29"/>
      <c r="G284" s="29"/>
      <c r="H284" s="29"/>
      <c r="I284" s="29"/>
      <c r="J284" s="29"/>
      <c r="K284" s="29"/>
      <c r="L284" s="29"/>
      <c r="M284" s="29"/>
      <c r="N284" s="29"/>
      <c r="O284" s="29"/>
      <c r="P284" s="29"/>
      <c r="Q284" s="29"/>
      <c r="R284" s="29"/>
      <c r="S284" s="29"/>
      <c r="T284" s="29"/>
      <c r="U284" s="29"/>
      <c r="V284" s="29"/>
      <c r="W284" s="29"/>
      <c r="X284" s="29"/>
      <c r="Y284" s="29"/>
      <c r="Z284" s="29"/>
      <c r="AA284" s="29"/>
      <c r="AB284" s="29"/>
      <c r="AC284" s="29"/>
    </row>
    <row r="285" spans="1:45" s="163" customFormat="1">
      <c r="A285" s="98" t="s">
        <v>618</v>
      </c>
      <c r="B285" s="103"/>
      <c r="C285" s="103"/>
      <c r="D285" s="103"/>
      <c r="E285" s="226"/>
      <c r="F285" s="226"/>
      <c r="G285" s="226"/>
      <c r="H285" s="226"/>
      <c r="I285" s="226"/>
      <c r="J285" s="226"/>
      <c r="K285" s="226"/>
      <c r="L285" s="226"/>
      <c r="M285" s="226"/>
      <c r="N285" s="226"/>
      <c r="O285" s="226"/>
      <c r="P285" s="226"/>
      <c r="Q285" s="226"/>
      <c r="R285" s="226"/>
      <c r="S285" s="226"/>
      <c r="T285" s="226"/>
      <c r="U285" s="226"/>
      <c r="V285" s="126"/>
      <c r="W285" s="126"/>
      <c r="X285" s="126"/>
      <c r="Y285" s="126"/>
      <c r="Z285" s="126"/>
      <c r="AA285" s="126"/>
      <c r="AB285" s="126"/>
      <c r="AC285" s="126"/>
      <c r="AD285" s="166"/>
      <c r="AE285" s="166"/>
      <c r="AF285" s="166"/>
      <c r="AG285" s="166"/>
      <c r="AH285" s="166"/>
      <c r="AI285" s="166"/>
      <c r="AJ285" s="166"/>
      <c r="AK285" s="166"/>
      <c r="AL285" s="166"/>
      <c r="AM285" s="166"/>
      <c r="AN285" s="166"/>
      <c r="AO285" s="166"/>
      <c r="AP285" s="166"/>
      <c r="AQ285" s="166"/>
      <c r="AR285" s="166"/>
      <c r="AS285" s="166"/>
    </row>
    <row r="286" spans="1:45" s="177" customFormat="1">
      <c r="A286" s="69"/>
      <c r="B286" s="69"/>
      <c r="C286" s="40"/>
      <c r="D286" s="40"/>
      <c r="E286" s="48"/>
      <c r="F286" s="48"/>
      <c r="G286" s="48"/>
      <c r="H286" s="48"/>
      <c r="I286" s="48"/>
      <c r="J286" s="48"/>
      <c r="K286" s="48"/>
      <c r="L286" s="48"/>
      <c r="M286" s="48"/>
      <c r="N286" s="48"/>
      <c r="O286" s="48"/>
      <c r="P286" s="48"/>
      <c r="Q286" s="48"/>
      <c r="R286" s="48"/>
      <c r="S286" s="48"/>
      <c r="T286" s="48"/>
      <c r="U286" s="48"/>
      <c r="V286" s="28"/>
      <c r="W286" s="369"/>
      <c r="X286" s="369"/>
      <c r="Y286" s="369"/>
      <c r="Z286" s="369"/>
      <c r="AA286" s="369"/>
      <c r="AB286" s="369"/>
      <c r="AC286" s="369"/>
      <c r="AD286" s="172"/>
      <c r="AE286" s="172"/>
      <c r="AF286" s="172"/>
      <c r="AG286" s="172"/>
      <c r="AH286" s="172"/>
      <c r="AI286" s="172"/>
      <c r="AJ286" s="172"/>
      <c r="AK286" s="172"/>
      <c r="AL286" s="172"/>
      <c r="AM286" s="172"/>
      <c r="AN286" s="172"/>
      <c r="AO286" s="172"/>
      <c r="AP286" s="172"/>
      <c r="AQ286" s="172"/>
      <c r="AR286" s="172"/>
      <c r="AS286" s="172"/>
    </row>
    <row r="287" spans="1:45" s="177" customFormat="1" ht="31.5" customHeight="1">
      <c r="A287" s="69" t="s">
        <v>1700</v>
      </c>
      <c r="B287" s="69" t="s">
        <v>619</v>
      </c>
      <c r="C287" s="69"/>
      <c r="D287" s="69"/>
      <c r="E287" s="69"/>
      <c r="F287" s="69"/>
      <c r="G287" s="69"/>
      <c r="H287" s="69"/>
      <c r="I287" s="69"/>
      <c r="J287" s="69"/>
      <c r="K287" s="69"/>
      <c r="L287" s="69"/>
      <c r="M287" s="69"/>
      <c r="N287" s="69"/>
      <c r="O287" s="69"/>
      <c r="P287" s="69"/>
      <c r="Q287" s="69" t="s">
        <v>653</v>
      </c>
      <c r="R287" s="69" t="s">
        <v>665</v>
      </c>
      <c r="S287" s="69"/>
      <c r="T287" s="69" t="s">
        <v>620</v>
      </c>
      <c r="U287" s="69" t="s">
        <v>643</v>
      </c>
      <c r="V287" s="23">
        <v>0</v>
      </c>
      <c r="W287" s="368">
        <f t="shared" si="28"/>
        <v>0</v>
      </c>
      <c r="X287" s="368">
        <f t="shared" si="29"/>
        <v>0</v>
      </c>
      <c r="Y287" s="368">
        <f t="shared" si="30"/>
        <v>0</v>
      </c>
      <c r="Z287" s="368">
        <f t="shared" si="31"/>
        <v>0</v>
      </c>
      <c r="AA287" s="368">
        <f t="shared" si="32"/>
        <v>0</v>
      </c>
      <c r="AB287" s="368">
        <f t="shared" si="33"/>
        <v>0</v>
      </c>
      <c r="AC287" s="368">
        <f t="shared" si="34"/>
        <v>0</v>
      </c>
    </row>
    <row r="288" spans="1:45" s="177" customFormat="1" ht="31.5" customHeight="1">
      <c r="A288" s="69" t="s">
        <v>1932</v>
      </c>
      <c r="B288" s="69" t="s">
        <v>623</v>
      </c>
      <c r="C288" s="69"/>
      <c r="D288" s="69"/>
      <c r="E288" s="69"/>
      <c r="F288" s="69"/>
      <c r="G288" s="69"/>
      <c r="H288" s="69"/>
      <c r="I288" s="69"/>
      <c r="J288" s="69"/>
      <c r="K288" s="69"/>
      <c r="L288" s="69"/>
      <c r="M288" s="69"/>
      <c r="N288" s="69"/>
      <c r="O288" s="69"/>
      <c r="P288" s="69"/>
      <c r="Q288" s="69" t="s">
        <v>655</v>
      </c>
      <c r="R288" s="69" t="s">
        <v>667</v>
      </c>
      <c r="S288" s="69"/>
      <c r="T288" s="69" t="s">
        <v>624</v>
      </c>
      <c r="U288" s="69" t="s">
        <v>645</v>
      </c>
      <c r="V288" s="23">
        <v>8</v>
      </c>
      <c r="W288" s="368">
        <f t="shared" si="28"/>
        <v>3.012</v>
      </c>
      <c r="X288" s="368">
        <f t="shared" si="29"/>
        <v>3.012</v>
      </c>
      <c r="Y288" s="368">
        <f t="shared" si="30"/>
        <v>3.6160000000000001</v>
      </c>
      <c r="Z288" s="368">
        <f t="shared" si="31"/>
        <v>3.032</v>
      </c>
      <c r="AA288" s="368">
        <f t="shared" si="32"/>
        <v>3.992</v>
      </c>
      <c r="AB288" s="368">
        <f t="shared" si="33"/>
        <v>3.44</v>
      </c>
      <c r="AC288" s="368">
        <f t="shared" si="34"/>
        <v>3.8639999999999999</v>
      </c>
    </row>
    <row r="289" spans="1:45" s="177" customFormat="1" ht="31.5" customHeight="1">
      <c r="A289" s="69" t="s">
        <v>1933</v>
      </c>
      <c r="B289" s="69" t="s">
        <v>625</v>
      </c>
      <c r="C289" s="69"/>
      <c r="D289" s="69"/>
      <c r="E289" s="69"/>
      <c r="F289" s="69"/>
      <c r="G289" s="69"/>
      <c r="H289" s="69"/>
      <c r="I289" s="69"/>
      <c r="J289" s="69"/>
      <c r="K289" s="69"/>
      <c r="L289" s="69"/>
      <c r="M289" s="69"/>
      <c r="N289" s="69"/>
      <c r="O289" s="69"/>
      <c r="P289" s="69"/>
      <c r="Q289" s="69" t="s">
        <v>661</v>
      </c>
      <c r="R289" s="69" t="s">
        <v>668</v>
      </c>
      <c r="S289" s="69"/>
      <c r="T289" s="69" t="s">
        <v>626</v>
      </c>
      <c r="U289" s="69" t="s">
        <v>646</v>
      </c>
      <c r="V289" s="23">
        <v>0</v>
      </c>
      <c r="W289" s="368">
        <f t="shared" si="28"/>
        <v>0</v>
      </c>
      <c r="X289" s="368">
        <f t="shared" si="29"/>
        <v>0</v>
      </c>
      <c r="Y289" s="368">
        <f t="shared" si="30"/>
        <v>0</v>
      </c>
      <c r="Z289" s="368">
        <f t="shared" si="31"/>
        <v>0</v>
      </c>
      <c r="AA289" s="368">
        <f t="shared" si="32"/>
        <v>0</v>
      </c>
      <c r="AB289" s="368">
        <f t="shared" si="33"/>
        <v>0</v>
      </c>
      <c r="AC289" s="368">
        <f t="shared" si="34"/>
        <v>0</v>
      </c>
    </row>
    <row r="290" spans="1:45" s="177" customFormat="1" ht="31.5" customHeight="1">
      <c r="A290" s="69" t="s">
        <v>1931</v>
      </c>
      <c r="B290" s="69" t="s">
        <v>621</v>
      </c>
      <c r="C290" s="69"/>
      <c r="D290" s="69"/>
      <c r="E290" s="69"/>
      <c r="F290" s="69"/>
      <c r="G290" s="69"/>
      <c r="H290" s="69"/>
      <c r="I290" s="69"/>
      <c r="J290" s="69"/>
      <c r="K290" s="69"/>
      <c r="L290" s="69"/>
      <c r="M290" s="69"/>
      <c r="N290" s="69"/>
      <c r="O290" s="69"/>
      <c r="P290" s="69"/>
      <c r="Q290" s="69" t="s">
        <v>654</v>
      </c>
      <c r="R290" s="69" t="s">
        <v>666</v>
      </c>
      <c r="S290" s="69"/>
      <c r="T290" s="69" t="s">
        <v>622</v>
      </c>
      <c r="U290" s="69" t="s">
        <v>644</v>
      </c>
      <c r="V290" s="23">
        <v>30</v>
      </c>
      <c r="W290" s="368">
        <f t="shared" si="28"/>
        <v>11.295</v>
      </c>
      <c r="X290" s="368">
        <f t="shared" si="29"/>
        <v>11.295</v>
      </c>
      <c r="Y290" s="368">
        <f t="shared" si="30"/>
        <v>13.56</v>
      </c>
      <c r="Z290" s="368">
        <f t="shared" si="31"/>
        <v>11.370000000000001</v>
      </c>
      <c r="AA290" s="368">
        <f t="shared" si="32"/>
        <v>14.97</v>
      </c>
      <c r="AB290" s="368">
        <f t="shared" si="33"/>
        <v>12.9</v>
      </c>
      <c r="AC290" s="368">
        <f t="shared" si="34"/>
        <v>14.49</v>
      </c>
    </row>
    <row r="291" spans="1:45" s="177" customFormat="1" ht="31.5" customHeight="1">
      <c r="A291" s="69" t="s">
        <v>1930</v>
      </c>
      <c r="B291" s="69" t="s">
        <v>627</v>
      </c>
      <c r="C291" s="69"/>
      <c r="D291" s="69"/>
      <c r="E291" s="69"/>
      <c r="F291" s="69"/>
      <c r="G291" s="69"/>
      <c r="H291" s="69"/>
      <c r="I291" s="69"/>
      <c r="J291" s="69"/>
      <c r="K291" s="69"/>
      <c r="L291" s="69"/>
      <c r="M291" s="69"/>
      <c r="N291" s="69"/>
      <c r="O291" s="69"/>
      <c r="P291" s="69"/>
      <c r="Q291" s="69" t="s">
        <v>662</v>
      </c>
      <c r="R291" s="69" t="s">
        <v>669</v>
      </c>
      <c r="S291" s="69"/>
      <c r="T291" s="69" t="s">
        <v>628</v>
      </c>
      <c r="U291" s="69" t="s">
        <v>647</v>
      </c>
      <c r="V291" s="23">
        <v>38</v>
      </c>
      <c r="W291" s="368">
        <f t="shared" si="28"/>
        <v>14.307</v>
      </c>
      <c r="X291" s="368">
        <f t="shared" si="29"/>
        <v>14.307</v>
      </c>
      <c r="Y291" s="368">
        <f t="shared" si="30"/>
        <v>17.176000000000002</v>
      </c>
      <c r="Z291" s="368">
        <f t="shared" si="31"/>
        <v>14.402000000000001</v>
      </c>
      <c r="AA291" s="368">
        <f t="shared" si="32"/>
        <v>18.962</v>
      </c>
      <c r="AB291" s="368">
        <f t="shared" si="33"/>
        <v>16.34</v>
      </c>
      <c r="AC291" s="368">
        <f t="shared" si="34"/>
        <v>18.353999999999999</v>
      </c>
    </row>
    <row r="292" spans="1:45" s="177" customFormat="1" ht="31.5" customHeight="1">
      <c r="A292" s="69" t="s">
        <v>1934</v>
      </c>
      <c r="B292" s="69" t="s">
        <v>635</v>
      </c>
      <c r="C292" s="69"/>
      <c r="D292" s="69"/>
      <c r="E292" s="69"/>
      <c r="F292" s="69"/>
      <c r="G292" s="69"/>
      <c r="H292" s="69"/>
      <c r="I292" s="69"/>
      <c r="J292" s="69"/>
      <c r="K292" s="69"/>
      <c r="L292" s="69"/>
      <c r="M292" s="69"/>
      <c r="N292" s="69"/>
      <c r="O292" s="69"/>
      <c r="P292" s="69"/>
      <c r="Q292" s="69" t="s">
        <v>659</v>
      </c>
      <c r="R292" s="69" t="s">
        <v>673</v>
      </c>
      <c r="S292" s="69"/>
      <c r="T292" s="69" t="s">
        <v>636</v>
      </c>
      <c r="U292" s="69" t="s">
        <v>651</v>
      </c>
      <c r="V292" s="23">
        <v>74</v>
      </c>
      <c r="W292" s="368">
        <f t="shared" si="28"/>
        <v>27.861000000000001</v>
      </c>
      <c r="X292" s="368">
        <f t="shared" si="29"/>
        <v>27.861000000000001</v>
      </c>
      <c r="Y292" s="368">
        <f t="shared" si="30"/>
        <v>33.448</v>
      </c>
      <c r="Z292" s="368">
        <f t="shared" si="31"/>
        <v>28.045999999999999</v>
      </c>
      <c r="AA292" s="368">
        <f t="shared" si="32"/>
        <v>36.926000000000002</v>
      </c>
      <c r="AB292" s="368">
        <f t="shared" si="33"/>
        <v>31.82</v>
      </c>
      <c r="AC292" s="368">
        <f t="shared" si="34"/>
        <v>35.741999999999997</v>
      </c>
    </row>
    <row r="293" spans="1:45" s="177" customFormat="1" ht="31.5" customHeight="1">
      <c r="A293" s="69" t="s">
        <v>1971</v>
      </c>
      <c r="B293" s="69" t="s">
        <v>637</v>
      </c>
      <c r="C293" s="69"/>
      <c r="D293" s="69"/>
      <c r="E293" s="69"/>
      <c r="F293" s="69"/>
      <c r="G293" s="69"/>
      <c r="H293" s="69"/>
      <c r="I293" s="69"/>
      <c r="J293" s="69"/>
      <c r="K293" s="69"/>
      <c r="L293" s="69"/>
      <c r="M293" s="69"/>
      <c r="N293" s="69"/>
      <c r="O293" s="69"/>
      <c r="P293" s="69"/>
      <c r="Q293" s="69" t="s">
        <v>660</v>
      </c>
      <c r="R293" s="69" t="s">
        <v>674</v>
      </c>
      <c r="S293" s="69"/>
      <c r="T293" s="69" t="s">
        <v>638</v>
      </c>
      <c r="U293" s="69" t="s">
        <v>652</v>
      </c>
      <c r="V293" s="23">
        <v>82</v>
      </c>
      <c r="W293" s="368">
        <f t="shared" si="28"/>
        <v>30.873000000000001</v>
      </c>
      <c r="X293" s="368">
        <f t="shared" si="29"/>
        <v>30.873000000000001</v>
      </c>
      <c r="Y293" s="368">
        <f t="shared" si="30"/>
        <v>37.064</v>
      </c>
      <c r="Z293" s="368">
        <f t="shared" si="31"/>
        <v>31.077999999999999</v>
      </c>
      <c r="AA293" s="368">
        <f t="shared" si="32"/>
        <v>40.917999999999999</v>
      </c>
      <c r="AB293" s="368">
        <f t="shared" si="33"/>
        <v>35.26</v>
      </c>
      <c r="AC293" s="368">
        <f t="shared" si="34"/>
        <v>39.606000000000002</v>
      </c>
    </row>
    <row r="294" spans="1:45" s="177" customFormat="1" ht="31.5" customHeight="1">
      <c r="A294" s="69" t="s">
        <v>1935</v>
      </c>
      <c r="B294" s="69" t="s">
        <v>631</v>
      </c>
      <c r="C294" s="69"/>
      <c r="D294" s="69"/>
      <c r="E294" s="69"/>
      <c r="F294" s="69"/>
      <c r="G294" s="69"/>
      <c r="H294" s="69"/>
      <c r="I294" s="69"/>
      <c r="J294" s="69"/>
      <c r="K294" s="69"/>
      <c r="L294" s="69"/>
      <c r="M294" s="69"/>
      <c r="N294" s="69"/>
      <c r="O294" s="69"/>
      <c r="P294" s="69"/>
      <c r="Q294" s="69" t="s">
        <v>657</v>
      </c>
      <c r="R294" s="69" t="s">
        <v>671</v>
      </c>
      <c r="S294" s="69"/>
      <c r="T294" s="69" t="s">
        <v>632</v>
      </c>
      <c r="U294" s="69" t="s">
        <v>649</v>
      </c>
      <c r="V294" s="23">
        <v>143</v>
      </c>
      <c r="W294" s="368">
        <f t="shared" si="28"/>
        <v>53.839500000000001</v>
      </c>
      <c r="X294" s="368">
        <f t="shared" si="29"/>
        <v>53.839500000000001</v>
      </c>
      <c r="Y294" s="368">
        <f t="shared" si="30"/>
        <v>64.635999999999996</v>
      </c>
      <c r="Z294" s="368">
        <f t="shared" si="31"/>
        <v>54.197000000000003</v>
      </c>
      <c r="AA294" s="368">
        <f t="shared" si="32"/>
        <v>71.356999999999999</v>
      </c>
      <c r="AB294" s="368">
        <f t="shared" si="33"/>
        <v>61.49</v>
      </c>
      <c r="AC294" s="368">
        <f t="shared" si="34"/>
        <v>69.069000000000003</v>
      </c>
    </row>
    <row r="295" spans="1:45" s="177" customFormat="1" ht="31.5" customHeight="1">
      <c r="A295" s="69" t="s">
        <v>1936</v>
      </c>
      <c r="B295" s="69" t="s">
        <v>629</v>
      </c>
      <c r="C295" s="69"/>
      <c r="D295" s="69"/>
      <c r="E295" s="69"/>
      <c r="F295" s="69"/>
      <c r="G295" s="69"/>
      <c r="H295" s="69"/>
      <c r="I295" s="69"/>
      <c r="J295" s="69"/>
      <c r="K295" s="69"/>
      <c r="L295" s="69"/>
      <c r="M295" s="69"/>
      <c r="N295" s="69"/>
      <c r="O295" s="69"/>
      <c r="P295" s="69"/>
      <c r="Q295" s="69" t="s">
        <v>656</v>
      </c>
      <c r="R295" s="69" t="s">
        <v>670</v>
      </c>
      <c r="S295" s="69"/>
      <c r="T295" s="69" t="s">
        <v>630</v>
      </c>
      <c r="U295" s="69" t="s">
        <v>648</v>
      </c>
      <c r="V295" s="23">
        <v>143</v>
      </c>
      <c r="W295" s="368">
        <f t="shared" si="28"/>
        <v>53.839500000000001</v>
      </c>
      <c r="X295" s="368">
        <f t="shared" si="29"/>
        <v>53.839500000000001</v>
      </c>
      <c r="Y295" s="368">
        <f t="shared" si="30"/>
        <v>64.635999999999996</v>
      </c>
      <c r="Z295" s="368">
        <f t="shared" si="31"/>
        <v>54.197000000000003</v>
      </c>
      <c r="AA295" s="368">
        <f t="shared" si="32"/>
        <v>71.356999999999999</v>
      </c>
      <c r="AB295" s="368">
        <f t="shared" si="33"/>
        <v>61.49</v>
      </c>
      <c r="AC295" s="368">
        <f t="shared" si="34"/>
        <v>69.069000000000003</v>
      </c>
    </row>
    <row r="296" spans="1:45" s="177" customFormat="1" ht="31.5" customHeight="1">
      <c r="A296" s="69" t="s">
        <v>1937</v>
      </c>
      <c r="B296" s="69" t="s">
        <v>633</v>
      </c>
      <c r="C296" s="69"/>
      <c r="D296" s="69"/>
      <c r="E296" s="69"/>
      <c r="F296" s="69"/>
      <c r="G296" s="69"/>
      <c r="H296" s="69"/>
      <c r="I296" s="69"/>
      <c r="J296" s="69"/>
      <c r="K296" s="69"/>
      <c r="L296" s="69"/>
      <c r="M296" s="69"/>
      <c r="N296" s="69"/>
      <c r="O296" s="69"/>
      <c r="P296" s="69"/>
      <c r="Q296" s="69" t="s">
        <v>658</v>
      </c>
      <c r="R296" s="69" t="s">
        <v>672</v>
      </c>
      <c r="S296" s="69"/>
      <c r="T296" s="69" t="s">
        <v>634</v>
      </c>
      <c r="U296" s="69" t="s">
        <v>650</v>
      </c>
      <c r="V296" s="23">
        <v>151</v>
      </c>
      <c r="W296" s="368">
        <f t="shared" si="28"/>
        <v>56.851500000000001</v>
      </c>
      <c r="X296" s="368">
        <f t="shared" si="29"/>
        <v>56.851500000000001</v>
      </c>
      <c r="Y296" s="368">
        <f t="shared" si="30"/>
        <v>68.251999999999995</v>
      </c>
      <c r="Z296" s="368">
        <f t="shared" si="31"/>
        <v>57.228999999999999</v>
      </c>
      <c r="AA296" s="368">
        <f t="shared" si="32"/>
        <v>75.349000000000004</v>
      </c>
      <c r="AB296" s="368">
        <f t="shared" si="33"/>
        <v>64.929999999999993</v>
      </c>
      <c r="AC296" s="368">
        <f t="shared" si="34"/>
        <v>72.932999999999993</v>
      </c>
    </row>
    <row r="297" spans="1:45" s="177" customFormat="1" ht="31.5" customHeight="1">
      <c r="A297" s="69" t="s">
        <v>1701</v>
      </c>
      <c r="B297" s="69" t="s">
        <v>639</v>
      </c>
      <c r="C297" s="69"/>
      <c r="D297" s="69"/>
      <c r="E297" s="69"/>
      <c r="F297" s="69"/>
      <c r="G297" s="69"/>
      <c r="H297" s="69"/>
      <c r="I297" s="69"/>
      <c r="J297" s="69"/>
      <c r="K297" s="69"/>
      <c r="L297" s="69"/>
      <c r="M297" s="69"/>
      <c r="N297" s="69"/>
      <c r="O297" s="69"/>
      <c r="P297" s="69"/>
      <c r="Q297" s="69"/>
      <c r="R297" s="69" t="s">
        <v>663</v>
      </c>
      <c r="S297" s="69"/>
      <c r="T297" s="69"/>
      <c r="U297" s="69" t="s">
        <v>640</v>
      </c>
      <c r="V297" s="23">
        <v>105</v>
      </c>
      <c r="W297" s="368">
        <f t="shared" si="28"/>
        <v>39.532499999999999</v>
      </c>
      <c r="X297" s="368">
        <f t="shared" si="29"/>
        <v>39.532499999999999</v>
      </c>
      <c r="Y297" s="368">
        <f t="shared" si="30"/>
        <v>47.46</v>
      </c>
      <c r="Z297" s="368">
        <f t="shared" si="31"/>
        <v>39.795000000000002</v>
      </c>
      <c r="AA297" s="368">
        <f t="shared" si="32"/>
        <v>52.395000000000003</v>
      </c>
      <c r="AB297" s="368">
        <f t="shared" si="33"/>
        <v>45.15</v>
      </c>
      <c r="AC297" s="368">
        <f t="shared" si="34"/>
        <v>50.714999999999996</v>
      </c>
    </row>
    <row r="298" spans="1:45" s="177" customFormat="1" ht="31.5" customHeight="1">
      <c r="A298" s="69" t="s">
        <v>1938</v>
      </c>
      <c r="B298" s="69" t="s">
        <v>641</v>
      </c>
      <c r="C298" s="69"/>
      <c r="D298" s="69"/>
      <c r="E298" s="69"/>
      <c r="F298" s="69"/>
      <c r="G298" s="69"/>
      <c r="H298" s="69"/>
      <c r="I298" s="69"/>
      <c r="J298" s="69"/>
      <c r="K298" s="69"/>
      <c r="L298" s="69"/>
      <c r="M298" s="69"/>
      <c r="N298" s="69"/>
      <c r="O298" s="69"/>
      <c r="P298" s="69"/>
      <c r="Q298" s="69"/>
      <c r="R298" s="69" t="s">
        <v>664</v>
      </c>
      <c r="S298" s="69"/>
      <c r="T298" s="69"/>
      <c r="U298" s="69" t="s">
        <v>642</v>
      </c>
      <c r="V298" s="23">
        <v>113</v>
      </c>
      <c r="W298" s="368">
        <f t="shared" si="28"/>
        <v>42.544499999999999</v>
      </c>
      <c r="X298" s="368">
        <f t="shared" si="29"/>
        <v>42.544499999999999</v>
      </c>
      <c r="Y298" s="368">
        <f t="shared" si="30"/>
        <v>51.076000000000001</v>
      </c>
      <c r="Z298" s="368">
        <f t="shared" si="31"/>
        <v>42.826999999999998</v>
      </c>
      <c r="AA298" s="368">
        <f t="shared" si="32"/>
        <v>56.387</v>
      </c>
      <c r="AB298" s="368">
        <f t="shared" si="33"/>
        <v>48.589999999999996</v>
      </c>
      <c r="AC298" s="368">
        <f t="shared" si="34"/>
        <v>54.579000000000001</v>
      </c>
    </row>
    <row r="299" spans="1:45" s="177" customFormat="1">
      <c r="A299" s="69"/>
      <c r="B299" s="69"/>
      <c r="C299" s="40"/>
      <c r="D299" s="40"/>
      <c r="E299" s="48"/>
      <c r="F299" s="48"/>
      <c r="G299" s="48"/>
      <c r="H299" s="48"/>
      <c r="I299" s="48"/>
      <c r="J299" s="48"/>
      <c r="K299" s="48"/>
      <c r="L299" s="48"/>
      <c r="M299" s="48"/>
      <c r="N299" s="48"/>
      <c r="O299" s="48"/>
      <c r="P299" s="48"/>
      <c r="Q299" s="48"/>
      <c r="R299" s="48"/>
      <c r="S299" s="48"/>
      <c r="T299" s="48"/>
      <c r="U299" s="48"/>
      <c r="V299" s="28"/>
      <c r="W299" s="369"/>
      <c r="X299" s="369"/>
      <c r="Y299" s="369"/>
      <c r="Z299" s="369"/>
      <c r="AA299" s="369"/>
      <c r="AB299" s="369"/>
      <c r="AC299" s="369"/>
      <c r="AD299" s="172"/>
      <c r="AE299" s="172"/>
      <c r="AF299" s="172"/>
      <c r="AG299" s="172"/>
      <c r="AH299" s="172"/>
      <c r="AI299" s="172"/>
      <c r="AJ299" s="172"/>
      <c r="AK299" s="172"/>
      <c r="AL299" s="172"/>
      <c r="AM299" s="172"/>
      <c r="AN299" s="172"/>
      <c r="AO299" s="172"/>
      <c r="AP299" s="172"/>
      <c r="AQ299" s="172"/>
      <c r="AR299" s="172"/>
      <c r="AS299" s="172"/>
    </row>
    <row r="300" spans="1:45" s="177" customFormat="1">
      <c r="A300" s="98" t="s">
        <v>228</v>
      </c>
      <c r="B300" s="103"/>
      <c r="C300" s="103"/>
      <c r="D300" s="103"/>
      <c r="E300" s="226"/>
      <c r="F300" s="226"/>
      <c r="G300" s="226"/>
      <c r="H300" s="226"/>
      <c r="I300" s="226"/>
      <c r="J300" s="226"/>
      <c r="K300" s="226"/>
      <c r="L300" s="226"/>
      <c r="M300" s="226"/>
      <c r="N300" s="226"/>
      <c r="O300" s="226"/>
      <c r="P300" s="226"/>
      <c r="Q300" s="226"/>
      <c r="R300" s="226"/>
      <c r="S300" s="223"/>
      <c r="T300" s="223"/>
      <c r="U300" s="223"/>
      <c r="V300" s="126"/>
      <c r="W300" s="126"/>
      <c r="X300" s="126"/>
      <c r="Y300" s="126"/>
      <c r="Z300" s="126"/>
      <c r="AA300" s="126"/>
      <c r="AB300" s="126"/>
      <c r="AC300" s="126"/>
      <c r="AD300" s="172"/>
      <c r="AE300" s="172"/>
      <c r="AF300" s="172"/>
      <c r="AG300" s="172"/>
      <c r="AH300" s="172"/>
      <c r="AI300" s="172"/>
      <c r="AJ300" s="172"/>
      <c r="AK300" s="172"/>
      <c r="AL300" s="172"/>
      <c r="AM300" s="172"/>
      <c r="AN300" s="172"/>
      <c r="AO300" s="172"/>
      <c r="AP300" s="172"/>
      <c r="AQ300" s="172"/>
      <c r="AR300" s="172"/>
      <c r="AS300" s="172"/>
    </row>
    <row r="301" spans="1:45" s="163" customFormat="1" ht="14.4">
      <c r="A301" s="69" t="s">
        <v>675</v>
      </c>
      <c r="B301" s="69" t="s">
        <v>676</v>
      </c>
      <c r="C301" s="40"/>
      <c r="D301" s="40"/>
      <c r="E301" s="48"/>
      <c r="F301" s="339" t="s">
        <v>677</v>
      </c>
      <c r="G301" s="48"/>
      <c r="H301" s="339" t="s">
        <v>678</v>
      </c>
      <c r="I301" s="339" t="s">
        <v>679</v>
      </c>
      <c r="J301" s="48"/>
      <c r="K301" s="339" t="s">
        <v>680</v>
      </c>
      <c r="L301" s="339" t="s">
        <v>681</v>
      </c>
      <c r="M301" s="48"/>
      <c r="N301" s="339"/>
      <c r="O301" s="339" t="s">
        <v>682</v>
      </c>
      <c r="P301" s="48"/>
      <c r="Q301" s="339" t="s">
        <v>683</v>
      </c>
      <c r="R301" s="339" t="s">
        <v>684</v>
      </c>
      <c r="S301" s="48"/>
      <c r="T301" s="339" t="s">
        <v>685</v>
      </c>
      <c r="U301" s="339" t="s">
        <v>686</v>
      </c>
      <c r="V301" s="28">
        <v>82</v>
      </c>
      <c r="W301" s="369">
        <f t="shared" si="28"/>
        <v>30.873000000000001</v>
      </c>
      <c r="X301" s="369">
        <f t="shared" si="29"/>
        <v>30.873000000000001</v>
      </c>
      <c r="Y301" s="369">
        <f t="shared" si="30"/>
        <v>37.064</v>
      </c>
      <c r="Z301" s="369">
        <f t="shared" si="31"/>
        <v>31.077999999999999</v>
      </c>
      <c r="AA301" s="369">
        <f t="shared" si="32"/>
        <v>40.917999999999999</v>
      </c>
      <c r="AB301" s="369">
        <f t="shared" si="33"/>
        <v>35.26</v>
      </c>
      <c r="AC301" s="369">
        <f t="shared" si="34"/>
        <v>39.606000000000002</v>
      </c>
      <c r="AD301" s="166"/>
      <c r="AE301" s="166"/>
      <c r="AF301" s="166"/>
      <c r="AG301" s="166"/>
      <c r="AH301" s="166"/>
      <c r="AI301" s="166"/>
      <c r="AJ301" s="166"/>
      <c r="AK301" s="166"/>
      <c r="AL301" s="166"/>
      <c r="AM301" s="166"/>
      <c r="AN301" s="166"/>
      <c r="AO301" s="166"/>
      <c r="AP301" s="166"/>
      <c r="AQ301" s="166"/>
      <c r="AR301" s="166"/>
      <c r="AS301" s="166"/>
    </row>
    <row r="302" spans="1:45" s="163" customFormat="1">
      <c r="A302" s="22"/>
      <c r="B302" s="22"/>
      <c r="C302" s="22"/>
      <c r="D302" s="22"/>
      <c r="E302" s="155"/>
      <c r="F302" s="155"/>
      <c r="G302" s="155"/>
      <c r="H302" s="155"/>
      <c r="I302" s="155"/>
      <c r="J302" s="155"/>
      <c r="K302" s="155"/>
      <c r="L302" s="155"/>
      <c r="M302" s="155"/>
      <c r="N302" s="155"/>
      <c r="O302" s="155"/>
      <c r="P302" s="155"/>
      <c r="Q302" s="155"/>
      <c r="R302" s="155"/>
      <c r="S302" s="155"/>
      <c r="T302" s="155"/>
      <c r="U302" s="155"/>
      <c r="V302" s="28"/>
      <c r="W302" s="369">
        <f t="shared" si="28"/>
        <v>0</v>
      </c>
      <c r="X302" s="369">
        <f t="shared" si="29"/>
        <v>0</v>
      </c>
      <c r="Y302" s="369">
        <f t="shared" si="30"/>
        <v>0</v>
      </c>
      <c r="Z302" s="369">
        <f t="shared" si="31"/>
        <v>0</v>
      </c>
      <c r="AA302" s="369">
        <f t="shared" si="32"/>
        <v>0</v>
      </c>
      <c r="AB302" s="369">
        <f t="shared" si="33"/>
        <v>0</v>
      </c>
      <c r="AC302" s="369">
        <f t="shared" si="34"/>
        <v>0</v>
      </c>
      <c r="AD302" s="166"/>
      <c r="AE302" s="166"/>
      <c r="AF302" s="166"/>
      <c r="AG302" s="166"/>
      <c r="AH302" s="166"/>
      <c r="AI302" s="166"/>
      <c r="AJ302" s="166"/>
      <c r="AK302" s="166"/>
      <c r="AL302" s="166"/>
      <c r="AM302" s="166"/>
      <c r="AN302" s="166"/>
      <c r="AO302" s="166"/>
      <c r="AP302" s="166"/>
      <c r="AQ302" s="166"/>
      <c r="AR302" s="166"/>
      <c r="AS302" s="166"/>
    </row>
    <row r="303" spans="1:45" s="177" customFormat="1">
      <c r="A303" s="98" t="s">
        <v>688</v>
      </c>
      <c r="B303" s="103"/>
      <c r="C303" s="103"/>
      <c r="D303" s="103"/>
      <c r="E303" s="226"/>
      <c r="F303" s="226"/>
      <c r="G303" s="226"/>
      <c r="H303" s="226"/>
      <c r="I303" s="226"/>
      <c r="J303" s="226"/>
      <c r="K303" s="226"/>
      <c r="L303" s="226"/>
      <c r="M303" s="226"/>
      <c r="N303" s="226"/>
      <c r="O303" s="226"/>
      <c r="P303" s="226"/>
      <c r="Q303" s="226"/>
      <c r="R303" s="226"/>
      <c r="S303" s="223"/>
      <c r="T303" s="223"/>
      <c r="U303" s="226"/>
      <c r="V303" s="126"/>
      <c r="W303" s="126"/>
      <c r="X303" s="126"/>
      <c r="Y303" s="126"/>
      <c r="Z303" s="126"/>
      <c r="AA303" s="126"/>
      <c r="AB303" s="126"/>
      <c r="AC303" s="126"/>
      <c r="AD303" s="172"/>
      <c r="AE303" s="172"/>
      <c r="AF303" s="172"/>
      <c r="AG303" s="172"/>
      <c r="AH303" s="172"/>
      <c r="AI303" s="172"/>
      <c r="AJ303" s="172"/>
      <c r="AK303" s="172"/>
      <c r="AL303" s="172"/>
      <c r="AM303" s="172"/>
      <c r="AN303" s="172"/>
      <c r="AO303" s="172"/>
      <c r="AP303" s="172"/>
      <c r="AQ303" s="172"/>
      <c r="AR303" s="172"/>
      <c r="AS303" s="172"/>
    </row>
    <row r="304" spans="1:45" s="177" customFormat="1" ht="14.4">
      <c r="A304" s="69" t="s">
        <v>247</v>
      </c>
      <c r="B304" s="69" t="s">
        <v>369</v>
      </c>
      <c r="C304" s="40"/>
      <c r="D304" s="40"/>
      <c r="E304" s="48"/>
      <c r="F304" s="339" t="s">
        <v>689</v>
      </c>
      <c r="G304" s="48"/>
      <c r="H304" s="339" t="s">
        <v>690</v>
      </c>
      <c r="I304" s="339" t="s">
        <v>691</v>
      </c>
      <c r="J304" s="48"/>
      <c r="K304" s="339" t="s">
        <v>692</v>
      </c>
      <c r="L304" s="339" t="s">
        <v>693</v>
      </c>
      <c r="M304" s="48"/>
      <c r="N304" s="339" t="s">
        <v>694</v>
      </c>
      <c r="O304" s="339" t="s">
        <v>695</v>
      </c>
      <c r="P304" s="48"/>
      <c r="Q304" s="339" t="s">
        <v>696</v>
      </c>
      <c r="R304" s="339" t="s">
        <v>697</v>
      </c>
      <c r="S304" s="48"/>
      <c r="T304" s="339" t="s">
        <v>698</v>
      </c>
      <c r="U304" s="339" t="s">
        <v>699</v>
      </c>
      <c r="V304" s="23">
        <v>5</v>
      </c>
      <c r="W304" s="368">
        <f t="shared" si="28"/>
        <v>1.8825000000000001</v>
      </c>
      <c r="X304" s="368">
        <f t="shared" si="29"/>
        <v>1.8825000000000001</v>
      </c>
      <c r="Y304" s="368">
        <f t="shared" si="30"/>
        <v>2.2600000000000002</v>
      </c>
      <c r="Z304" s="368">
        <f t="shared" si="31"/>
        <v>1.895</v>
      </c>
      <c r="AA304" s="368">
        <f t="shared" si="32"/>
        <v>2.4950000000000001</v>
      </c>
      <c r="AB304" s="368">
        <f t="shared" si="33"/>
        <v>2.15</v>
      </c>
      <c r="AC304" s="368">
        <f t="shared" si="34"/>
        <v>2.415</v>
      </c>
    </row>
    <row r="305" spans="1:45" s="177" customFormat="1">
      <c r="A305" s="235"/>
      <c r="B305" s="140"/>
      <c r="C305" s="134"/>
      <c r="D305" s="134"/>
      <c r="E305" s="45"/>
      <c r="F305" s="45"/>
      <c r="G305" s="45"/>
      <c r="H305" s="45"/>
      <c r="I305" s="45"/>
      <c r="J305" s="45"/>
      <c r="K305" s="45"/>
      <c r="L305" s="45"/>
      <c r="M305" s="45"/>
      <c r="N305" s="45"/>
      <c r="O305" s="45"/>
      <c r="P305" s="45"/>
      <c r="Q305" s="45"/>
      <c r="R305" s="45"/>
      <c r="S305" s="53"/>
      <c r="T305" s="53"/>
      <c r="U305" s="45"/>
      <c r="V305" s="28"/>
      <c r="W305" s="369">
        <f t="shared" si="28"/>
        <v>0</v>
      </c>
      <c r="X305" s="369">
        <f t="shared" si="29"/>
        <v>0</v>
      </c>
      <c r="Y305" s="369">
        <f t="shared" si="30"/>
        <v>0</v>
      </c>
      <c r="Z305" s="369">
        <f t="shared" si="31"/>
        <v>0</v>
      </c>
      <c r="AA305" s="369">
        <f t="shared" si="32"/>
        <v>0</v>
      </c>
      <c r="AB305" s="369">
        <f t="shared" si="33"/>
        <v>0</v>
      </c>
      <c r="AC305" s="369">
        <f t="shared" si="34"/>
        <v>0</v>
      </c>
      <c r="AD305" s="172"/>
      <c r="AE305" s="172"/>
      <c r="AF305" s="172"/>
      <c r="AG305" s="172"/>
      <c r="AH305" s="172"/>
      <c r="AI305" s="172"/>
      <c r="AJ305" s="172"/>
      <c r="AK305" s="172"/>
      <c r="AL305" s="172"/>
      <c r="AM305" s="172"/>
      <c r="AN305" s="172"/>
      <c r="AO305" s="172"/>
      <c r="AP305" s="172"/>
      <c r="AQ305" s="172"/>
      <c r="AR305" s="172"/>
      <c r="AS305" s="172"/>
    </row>
    <row r="306" spans="1:45">
      <c r="A306" s="98" t="s">
        <v>253</v>
      </c>
      <c r="B306" s="103"/>
      <c r="C306" s="103"/>
      <c r="D306" s="103"/>
      <c r="E306" s="226"/>
      <c r="F306" s="226"/>
      <c r="G306" s="226"/>
      <c r="H306" s="226"/>
      <c r="I306" s="226"/>
      <c r="J306" s="226"/>
      <c r="K306" s="226"/>
      <c r="L306" s="226"/>
      <c r="M306" s="226"/>
      <c r="N306" s="226"/>
      <c r="O306" s="226"/>
      <c r="P306" s="226"/>
      <c r="Q306" s="226"/>
      <c r="R306" s="226"/>
      <c r="S306" s="223"/>
      <c r="T306" s="223"/>
      <c r="U306" s="226"/>
      <c r="V306" s="126"/>
      <c r="W306" s="126"/>
      <c r="X306" s="126"/>
      <c r="Y306" s="126"/>
      <c r="Z306" s="126"/>
      <c r="AA306" s="126"/>
      <c r="AB306" s="126"/>
      <c r="AC306" s="126"/>
    </row>
    <row r="307" spans="1:45" ht="14.4">
      <c r="A307" s="69" t="s">
        <v>700</v>
      </c>
      <c r="B307" s="69" t="s">
        <v>701</v>
      </c>
      <c r="C307" s="40"/>
      <c r="D307" s="40"/>
      <c r="E307" s="48"/>
      <c r="F307" s="339" t="s">
        <v>1671</v>
      </c>
      <c r="G307" s="48"/>
      <c r="H307" s="339" t="s">
        <v>1672</v>
      </c>
      <c r="I307" s="339" t="s">
        <v>1673</v>
      </c>
      <c r="J307" s="48"/>
      <c r="K307" s="339" t="s">
        <v>1674</v>
      </c>
      <c r="L307" s="339" t="s">
        <v>1675</v>
      </c>
      <c r="M307" s="48"/>
      <c r="N307" s="339" t="s">
        <v>1676</v>
      </c>
      <c r="O307" s="339" t="s">
        <v>1677</v>
      </c>
      <c r="P307" s="48"/>
      <c r="Q307" s="48"/>
      <c r="R307" s="95"/>
      <c r="S307" s="48"/>
      <c r="T307" s="48"/>
      <c r="U307" s="95"/>
      <c r="V307" s="28">
        <v>0</v>
      </c>
      <c r="W307" s="369">
        <f t="shared" si="28"/>
        <v>0</v>
      </c>
      <c r="X307" s="369">
        <f t="shared" si="29"/>
        <v>0</v>
      </c>
      <c r="Y307" s="369">
        <f t="shared" si="30"/>
        <v>0</v>
      </c>
      <c r="Z307" s="369">
        <f t="shared" si="31"/>
        <v>0</v>
      </c>
      <c r="AA307" s="369">
        <f t="shared" si="32"/>
        <v>0</v>
      </c>
      <c r="AB307" s="369">
        <f t="shared" si="33"/>
        <v>0</v>
      </c>
      <c r="AC307" s="369">
        <f t="shared" si="34"/>
        <v>0</v>
      </c>
    </row>
    <row r="308" spans="1:45" ht="14.4">
      <c r="A308" s="69" t="s">
        <v>702</v>
      </c>
      <c r="B308" s="69" t="s">
        <v>701</v>
      </c>
      <c r="C308" s="40"/>
      <c r="D308" s="40"/>
      <c r="E308" s="48"/>
      <c r="F308" s="48"/>
      <c r="G308" s="48"/>
      <c r="H308" s="48"/>
      <c r="I308" s="48"/>
      <c r="J308" s="48"/>
      <c r="K308" s="48"/>
      <c r="L308" s="48"/>
      <c r="M308" s="48"/>
      <c r="N308" s="48"/>
      <c r="O308" s="48"/>
      <c r="P308" s="48"/>
      <c r="Q308" s="339" t="s">
        <v>1678</v>
      </c>
      <c r="R308" s="339" t="s">
        <v>1679</v>
      </c>
      <c r="S308" s="48"/>
      <c r="T308" s="339" t="s">
        <v>1680</v>
      </c>
      <c r="U308" s="339" t="s">
        <v>1681</v>
      </c>
      <c r="V308" s="28">
        <v>0</v>
      </c>
      <c r="W308" s="369">
        <f t="shared" si="28"/>
        <v>0</v>
      </c>
      <c r="X308" s="369">
        <f t="shared" si="29"/>
        <v>0</v>
      </c>
      <c r="Y308" s="369">
        <f t="shared" si="30"/>
        <v>0</v>
      </c>
      <c r="Z308" s="369">
        <f t="shared" si="31"/>
        <v>0</v>
      </c>
      <c r="AA308" s="369">
        <f t="shared" si="32"/>
        <v>0</v>
      </c>
      <c r="AB308" s="369">
        <f t="shared" si="33"/>
        <v>0</v>
      </c>
      <c r="AC308" s="369">
        <f t="shared" si="34"/>
        <v>0</v>
      </c>
    </row>
    <row r="309" spans="1:45">
      <c r="A309" s="235"/>
      <c r="B309" s="140"/>
      <c r="C309" s="134"/>
      <c r="D309" s="134"/>
      <c r="E309" s="45"/>
      <c r="F309" s="45"/>
      <c r="G309" s="45"/>
      <c r="H309" s="45"/>
      <c r="I309" s="45"/>
      <c r="J309" s="45"/>
      <c r="K309" s="45"/>
      <c r="L309" s="45"/>
      <c r="M309" s="45"/>
      <c r="N309" s="45"/>
      <c r="O309" s="45"/>
      <c r="P309" s="45"/>
      <c r="Q309" s="45"/>
      <c r="R309" s="45"/>
      <c r="S309" s="53"/>
      <c r="T309" s="53"/>
      <c r="U309" s="45"/>
      <c r="V309" s="28"/>
      <c r="W309" s="369">
        <f t="shared" si="28"/>
        <v>0</v>
      </c>
      <c r="X309" s="369">
        <f t="shared" si="29"/>
        <v>0</v>
      </c>
      <c r="Y309" s="369">
        <f t="shared" si="30"/>
        <v>0</v>
      </c>
      <c r="Z309" s="369">
        <f t="shared" si="31"/>
        <v>0</v>
      </c>
      <c r="AA309" s="369">
        <f t="shared" si="32"/>
        <v>0</v>
      </c>
      <c r="AB309" s="369">
        <f t="shared" si="33"/>
        <v>0</v>
      </c>
      <c r="AC309" s="369">
        <f t="shared" si="34"/>
        <v>0</v>
      </c>
    </row>
    <row r="310" spans="1:45">
      <c r="A310" s="98" t="s">
        <v>263</v>
      </c>
      <c r="B310" s="103"/>
      <c r="C310" s="103"/>
      <c r="D310" s="103"/>
      <c r="E310" s="226"/>
      <c r="F310" s="226"/>
      <c r="G310" s="226"/>
      <c r="H310" s="226"/>
      <c r="I310" s="226"/>
      <c r="J310" s="226"/>
      <c r="K310" s="226"/>
      <c r="L310" s="226"/>
      <c r="M310" s="226"/>
      <c r="N310" s="226"/>
      <c r="O310" s="226"/>
      <c r="P310" s="226"/>
      <c r="Q310" s="226"/>
      <c r="R310" s="226"/>
      <c r="S310" s="223"/>
      <c r="T310" s="223"/>
      <c r="U310" s="226"/>
      <c r="V310" s="126"/>
      <c r="W310" s="126"/>
      <c r="X310" s="126"/>
      <c r="Y310" s="126"/>
      <c r="Z310" s="126"/>
      <c r="AA310" s="126"/>
      <c r="AB310" s="126"/>
      <c r="AC310" s="126"/>
    </row>
    <row r="311" spans="1:45" ht="14.4">
      <c r="A311" s="69" t="s">
        <v>382</v>
      </c>
      <c r="B311" s="69" t="s">
        <v>383</v>
      </c>
      <c r="C311" s="40"/>
      <c r="D311" s="40"/>
      <c r="E311" s="48"/>
      <c r="F311" s="339" t="s">
        <v>703</v>
      </c>
      <c r="G311" s="48"/>
      <c r="H311" s="339" t="s">
        <v>704</v>
      </c>
      <c r="I311" s="339" t="s">
        <v>705</v>
      </c>
      <c r="J311" s="48"/>
      <c r="K311" s="48"/>
      <c r="L311" s="339" t="s">
        <v>706</v>
      </c>
      <c r="M311" s="48"/>
      <c r="N311" s="339" t="s">
        <v>707</v>
      </c>
      <c r="O311" s="339" t="s">
        <v>708</v>
      </c>
      <c r="P311" s="48"/>
      <c r="Q311" s="339" t="s">
        <v>709</v>
      </c>
      <c r="R311" s="339" t="s">
        <v>710</v>
      </c>
      <c r="S311" s="48"/>
      <c r="T311" s="339" t="s">
        <v>711</v>
      </c>
      <c r="U311" s="339" t="s">
        <v>712</v>
      </c>
      <c r="V311" s="28">
        <v>2</v>
      </c>
      <c r="W311" s="369">
        <f t="shared" si="28"/>
        <v>0.753</v>
      </c>
      <c r="X311" s="369">
        <f t="shared" si="29"/>
        <v>0.753</v>
      </c>
      <c r="Y311" s="369">
        <f t="shared" si="30"/>
        <v>0.90400000000000003</v>
      </c>
      <c r="Z311" s="369">
        <f t="shared" si="31"/>
        <v>0.75800000000000001</v>
      </c>
      <c r="AA311" s="369">
        <f t="shared" si="32"/>
        <v>0.998</v>
      </c>
      <c r="AB311" s="369">
        <f t="shared" si="33"/>
        <v>0.86</v>
      </c>
      <c r="AC311" s="369">
        <f t="shared" si="34"/>
        <v>0.96599999999999997</v>
      </c>
    </row>
    <row r="312" spans="1:45" ht="14.4">
      <c r="A312" s="69" t="s">
        <v>113</v>
      </c>
      <c r="B312" s="69" t="s">
        <v>264</v>
      </c>
      <c r="C312" s="40"/>
      <c r="D312" s="40"/>
      <c r="E312" s="48"/>
      <c r="F312" s="339" t="s">
        <v>713</v>
      </c>
      <c r="G312" s="48"/>
      <c r="H312" s="339" t="s">
        <v>714</v>
      </c>
      <c r="I312" s="339" t="s">
        <v>715</v>
      </c>
      <c r="J312" s="48"/>
      <c r="K312" s="48"/>
      <c r="L312" s="339" t="s">
        <v>716</v>
      </c>
      <c r="M312" s="48"/>
      <c r="N312" s="339" t="s">
        <v>717</v>
      </c>
      <c r="O312" s="339" t="s">
        <v>718</v>
      </c>
      <c r="P312" s="48"/>
      <c r="Q312" s="339" t="s">
        <v>719</v>
      </c>
      <c r="R312" s="339" t="s">
        <v>720</v>
      </c>
      <c r="S312" s="48"/>
      <c r="T312" s="339" t="s">
        <v>721</v>
      </c>
      <c r="U312" s="339" t="s">
        <v>722</v>
      </c>
      <c r="V312" s="28">
        <v>6</v>
      </c>
      <c r="W312" s="369">
        <f t="shared" si="28"/>
        <v>2.2589999999999999</v>
      </c>
      <c r="X312" s="369">
        <f t="shared" si="29"/>
        <v>2.2589999999999999</v>
      </c>
      <c r="Y312" s="369">
        <f t="shared" si="30"/>
        <v>2.7120000000000002</v>
      </c>
      <c r="Z312" s="369">
        <f t="shared" si="31"/>
        <v>2.274</v>
      </c>
      <c r="AA312" s="369">
        <f t="shared" si="32"/>
        <v>2.9939999999999998</v>
      </c>
      <c r="AB312" s="369">
        <f t="shared" si="33"/>
        <v>2.58</v>
      </c>
      <c r="AC312" s="369">
        <f t="shared" si="34"/>
        <v>2.8979999999999997</v>
      </c>
    </row>
    <row r="313" spans="1:45">
      <c r="A313" s="235"/>
      <c r="B313" s="140"/>
      <c r="C313" s="134"/>
      <c r="D313" s="134"/>
      <c r="E313" s="45"/>
      <c r="F313" s="45"/>
      <c r="G313" s="45"/>
      <c r="H313" s="45"/>
      <c r="I313" s="45"/>
      <c r="J313" s="45"/>
      <c r="K313" s="45"/>
      <c r="L313" s="45"/>
      <c r="M313" s="45"/>
      <c r="N313" s="45"/>
      <c r="O313" s="45"/>
      <c r="P313" s="45"/>
      <c r="Q313" s="45"/>
      <c r="R313" s="45"/>
      <c r="S313" s="53"/>
      <c r="T313" s="53"/>
      <c r="U313" s="45"/>
      <c r="V313" s="28"/>
      <c r="W313" s="369">
        <f t="shared" si="28"/>
        <v>0</v>
      </c>
      <c r="X313" s="369">
        <f t="shared" si="29"/>
        <v>0</v>
      </c>
      <c r="Y313" s="369">
        <f t="shared" si="30"/>
        <v>0</v>
      </c>
      <c r="Z313" s="369">
        <f t="shared" si="31"/>
        <v>0</v>
      </c>
      <c r="AA313" s="369">
        <f t="shared" si="32"/>
        <v>0</v>
      </c>
      <c r="AB313" s="369">
        <f t="shared" si="33"/>
        <v>0</v>
      </c>
      <c r="AC313" s="369">
        <f t="shared" si="34"/>
        <v>0</v>
      </c>
    </row>
    <row r="314" spans="1:45">
      <c r="A314" s="98" t="s">
        <v>384</v>
      </c>
      <c r="B314" s="103"/>
      <c r="C314" s="103"/>
      <c r="D314" s="103"/>
      <c r="E314" s="226"/>
      <c r="F314" s="226"/>
      <c r="G314" s="226"/>
      <c r="H314" s="226"/>
      <c r="I314" s="226"/>
      <c r="J314" s="226"/>
      <c r="K314" s="226"/>
      <c r="L314" s="226"/>
      <c r="M314" s="226"/>
      <c r="N314" s="226"/>
      <c r="O314" s="226"/>
      <c r="P314" s="226"/>
      <c r="Q314" s="226"/>
      <c r="R314" s="226"/>
      <c r="S314" s="223"/>
      <c r="T314" s="223"/>
      <c r="U314" s="226"/>
      <c r="V314" s="126"/>
      <c r="W314" s="126"/>
      <c r="X314" s="126"/>
      <c r="Y314" s="126"/>
      <c r="Z314" s="126"/>
      <c r="AA314" s="126"/>
      <c r="AB314" s="126"/>
      <c r="AC314" s="126"/>
    </row>
    <row r="315" spans="1:45" ht="14.4">
      <c r="A315" s="69" t="s">
        <v>385</v>
      </c>
      <c r="B315" s="69" t="s">
        <v>386</v>
      </c>
      <c r="C315" s="40"/>
      <c r="D315" s="40"/>
      <c r="E315" s="48"/>
      <c r="F315" s="339" t="s">
        <v>723</v>
      </c>
      <c r="G315" s="48"/>
      <c r="H315" s="339" t="s">
        <v>724</v>
      </c>
      <c r="I315" s="339" t="s">
        <v>725</v>
      </c>
      <c r="J315" s="48"/>
      <c r="K315" s="339" t="s">
        <v>726</v>
      </c>
      <c r="L315" s="339" t="s">
        <v>727</v>
      </c>
      <c r="M315" s="48"/>
      <c r="N315" s="339" t="s">
        <v>728</v>
      </c>
      <c r="O315" s="339" t="s">
        <v>729</v>
      </c>
      <c r="P315" s="48"/>
      <c r="Q315" s="339" t="s">
        <v>730</v>
      </c>
      <c r="R315" s="339" t="s">
        <v>731</v>
      </c>
      <c r="S315" s="48"/>
      <c r="T315" s="339" t="s">
        <v>732</v>
      </c>
      <c r="U315" s="339" t="s">
        <v>733</v>
      </c>
      <c r="V315" s="28">
        <v>6</v>
      </c>
      <c r="W315" s="369">
        <f t="shared" si="28"/>
        <v>2.2589999999999999</v>
      </c>
      <c r="X315" s="369">
        <f t="shared" si="29"/>
        <v>2.2589999999999999</v>
      </c>
      <c r="Y315" s="369">
        <f t="shared" si="30"/>
        <v>2.7120000000000002</v>
      </c>
      <c r="Z315" s="369">
        <f t="shared" si="31"/>
        <v>2.274</v>
      </c>
      <c r="AA315" s="369">
        <f t="shared" si="32"/>
        <v>2.9939999999999998</v>
      </c>
      <c r="AB315" s="369">
        <f t="shared" si="33"/>
        <v>2.58</v>
      </c>
      <c r="AC315" s="369">
        <f t="shared" si="34"/>
        <v>2.8979999999999997</v>
      </c>
    </row>
    <row r="316" spans="1:45" ht="14.4">
      <c r="A316" s="69" t="s">
        <v>734</v>
      </c>
      <c r="B316" s="69" t="s">
        <v>735</v>
      </c>
      <c r="C316" s="40"/>
      <c r="D316" s="40"/>
      <c r="E316" s="48"/>
      <c r="F316" s="48"/>
      <c r="G316" s="48"/>
      <c r="H316" s="48"/>
      <c r="I316" s="48"/>
      <c r="J316" s="48"/>
      <c r="K316" s="48"/>
      <c r="L316" s="48"/>
      <c r="M316" s="48"/>
      <c r="N316" s="48"/>
      <c r="O316" s="339" t="s">
        <v>736</v>
      </c>
      <c r="P316" s="48"/>
      <c r="Q316" s="48"/>
      <c r="R316" s="339"/>
      <c r="S316" s="48"/>
      <c r="T316" s="48"/>
      <c r="U316" s="339" t="s">
        <v>737</v>
      </c>
      <c r="V316" s="28">
        <v>7</v>
      </c>
      <c r="W316" s="369">
        <f t="shared" si="28"/>
        <v>2.6355</v>
      </c>
      <c r="X316" s="369">
        <f t="shared" si="29"/>
        <v>2.6355</v>
      </c>
      <c r="Y316" s="369">
        <f t="shared" si="30"/>
        <v>3.1640000000000001</v>
      </c>
      <c r="Z316" s="369">
        <f t="shared" si="31"/>
        <v>2.653</v>
      </c>
      <c r="AA316" s="369">
        <f t="shared" si="32"/>
        <v>3.4929999999999999</v>
      </c>
      <c r="AB316" s="369">
        <f t="shared" si="33"/>
        <v>3.01</v>
      </c>
      <c r="AC316" s="369">
        <f t="shared" si="34"/>
        <v>3.3809999999999998</v>
      </c>
    </row>
    <row r="317" spans="1:45" ht="14.4">
      <c r="A317" t="s">
        <v>738</v>
      </c>
      <c r="B317" t="s">
        <v>738</v>
      </c>
      <c r="C317" s="40"/>
      <c r="D317" s="40"/>
      <c r="E317" s="48"/>
      <c r="F317" s="48"/>
      <c r="G317" s="48"/>
      <c r="H317" s="48"/>
      <c r="I317" s="48"/>
      <c r="J317" s="48"/>
      <c r="K317" s="48"/>
      <c r="L317" s="48"/>
      <c r="M317" s="48"/>
      <c r="N317" s="339" t="s">
        <v>739</v>
      </c>
      <c r="O317" s="339"/>
      <c r="P317" s="48"/>
      <c r="Q317" s="48"/>
      <c r="R317" s="339"/>
      <c r="S317" s="48"/>
      <c r="T317" s="339" t="s">
        <v>740</v>
      </c>
      <c r="U317" s="339"/>
      <c r="V317" s="28">
        <v>5</v>
      </c>
      <c r="W317" s="369">
        <f t="shared" si="28"/>
        <v>1.8825000000000001</v>
      </c>
      <c r="X317" s="369">
        <f t="shared" si="29"/>
        <v>1.8825000000000001</v>
      </c>
      <c r="Y317" s="369">
        <f t="shared" si="30"/>
        <v>2.2600000000000002</v>
      </c>
      <c r="Z317" s="369">
        <f t="shared" si="31"/>
        <v>1.895</v>
      </c>
      <c r="AA317" s="369">
        <f t="shared" si="32"/>
        <v>2.4950000000000001</v>
      </c>
      <c r="AB317" s="369">
        <f t="shared" si="33"/>
        <v>2.15</v>
      </c>
      <c r="AC317" s="369">
        <f t="shared" si="34"/>
        <v>2.415</v>
      </c>
    </row>
    <row r="318" spans="1:45" ht="14.4">
      <c r="A318" s="69" t="s">
        <v>387</v>
      </c>
      <c r="B318" s="69" t="s">
        <v>388</v>
      </c>
      <c r="C318" s="40"/>
      <c r="D318" s="40"/>
      <c r="E318" s="48"/>
      <c r="F318" s="339" t="s">
        <v>741</v>
      </c>
      <c r="G318" s="48"/>
      <c r="H318" s="48"/>
      <c r="I318" s="48"/>
      <c r="J318" s="48"/>
      <c r="K318" s="339" t="s">
        <v>742</v>
      </c>
      <c r="L318" s="48"/>
      <c r="M318" s="48"/>
      <c r="N318" s="48"/>
      <c r="O318" s="48"/>
      <c r="P318" s="48"/>
      <c r="Q318" s="339" t="s">
        <v>743</v>
      </c>
      <c r="R318" s="48"/>
      <c r="S318" s="48"/>
      <c r="T318" s="48"/>
      <c r="U318" s="48"/>
      <c r="V318" s="28">
        <v>7</v>
      </c>
      <c r="W318" s="369">
        <f t="shared" si="28"/>
        <v>2.6355</v>
      </c>
      <c r="X318" s="369">
        <f t="shared" si="29"/>
        <v>2.6355</v>
      </c>
      <c r="Y318" s="369">
        <f t="shared" si="30"/>
        <v>3.1640000000000001</v>
      </c>
      <c r="Z318" s="369">
        <f t="shared" si="31"/>
        <v>2.653</v>
      </c>
      <c r="AA318" s="369">
        <f t="shared" si="32"/>
        <v>3.4929999999999999</v>
      </c>
      <c r="AB318" s="369">
        <f t="shared" si="33"/>
        <v>3.01</v>
      </c>
      <c r="AC318" s="369">
        <f t="shared" si="34"/>
        <v>3.3809999999999998</v>
      </c>
    </row>
    <row r="319" spans="1:45" ht="14.4">
      <c r="A319" s="69" t="s">
        <v>389</v>
      </c>
      <c r="B319" s="69" t="s">
        <v>390</v>
      </c>
      <c r="C319" s="40"/>
      <c r="D319" s="40"/>
      <c r="E319" s="48"/>
      <c r="F319" s="339" t="s">
        <v>744</v>
      </c>
      <c r="G319" s="48"/>
      <c r="H319" s="339" t="s">
        <v>745</v>
      </c>
      <c r="J319" s="48"/>
      <c r="K319" s="339" t="s">
        <v>746</v>
      </c>
      <c r="M319" s="48"/>
      <c r="N319" s="339" t="s">
        <v>747</v>
      </c>
      <c r="P319" s="48"/>
      <c r="Q319" s="339" t="s">
        <v>748</v>
      </c>
      <c r="S319" s="48"/>
      <c r="T319" s="339" t="s">
        <v>749</v>
      </c>
      <c r="V319" s="28">
        <v>87</v>
      </c>
      <c r="W319" s="369">
        <f t="shared" si="28"/>
        <v>32.755499999999998</v>
      </c>
      <c r="X319" s="369">
        <f t="shared" si="29"/>
        <v>32.755499999999998</v>
      </c>
      <c r="Y319" s="369">
        <f t="shared" si="30"/>
        <v>39.323999999999998</v>
      </c>
      <c r="Z319" s="369">
        <f t="shared" si="31"/>
        <v>32.972999999999999</v>
      </c>
      <c r="AA319" s="369">
        <f t="shared" si="32"/>
        <v>43.412999999999997</v>
      </c>
      <c r="AB319" s="369">
        <f t="shared" si="33"/>
        <v>37.409999999999997</v>
      </c>
      <c r="AC319" s="369">
        <f t="shared" si="34"/>
        <v>42.021000000000001</v>
      </c>
    </row>
    <row r="320" spans="1:45" ht="14.4">
      <c r="A320" s="69" t="s">
        <v>750</v>
      </c>
      <c r="B320" s="69" t="s">
        <v>751</v>
      </c>
      <c r="C320" s="40"/>
      <c r="D320" s="40"/>
      <c r="E320" s="48"/>
      <c r="F320" s="339" t="s">
        <v>752</v>
      </c>
      <c r="G320" s="48"/>
      <c r="H320" s="339" t="s">
        <v>753</v>
      </c>
      <c r="I320" s="339" t="s">
        <v>754</v>
      </c>
      <c r="J320" s="48"/>
      <c r="K320" s="339" t="s">
        <v>755</v>
      </c>
      <c r="L320" s="339" t="s">
        <v>756</v>
      </c>
      <c r="M320" s="48"/>
      <c r="N320" s="339" t="s">
        <v>757</v>
      </c>
      <c r="O320" s="339" t="s">
        <v>758</v>
      </c>
      <c r="P320" s="48"/>
      <c r="Q320" s="339" t="s">
        <v>759</v>
      </c>
      <c r="R320" s="339" t="s">
        <v>760</v>
      </c>
      <c r="S320" s="48"/>
      <c r="T320" s="339" t="s">
        <v>761</v>
      </c>
      <c r="U320" s="339" t="s">
        <v>762</v>
      </c>
      <c r="V320" s="23">
        <v>117</v>
      </c>
      <c r="W320" s="368">
        <f t="shared" si="28"/>
        <v>44.0505</v>
      </c>
      <c r="X320" s="368">
        <f t="shared" si="29"/>
        <v>44.0505</v>
      </c>
      <c r="Y320" s="368">
        <f t="shared" si="30"/>
        <v>52.884</v>
      </c>
      <c r="Z320" s="368">
        <f t="shared" si="31"/>
        <v>44.343000000000004</v>
      </c>
      <c r="AA320" s="368">
        <f t="shared" si="32"/>
        <v>58.383000000000003</v>
      </c>
      <c r="AB320" s="368">
        <f t="shared" si="33"/>
        <v>50.31</v>
      </c>
      <c r="AC320" s="368">
        <f t="shared" si="34"/>
        <v>56.510999999999996</v>
      </c>
    </row>
    <row r="321" spans="1:45" ht="14.4">
      <c r="A321" t="s">
        <v>763</v>
      </c>
      <c r="B321" t="s">
        <v>763</v>
      </c>
      <c r="C321" s="150"/>
      <c r="D321" s="150"/>
      <c r="E321" s="104"/>
      <c r="F321" s="104"/>
      <c r="G321" s="104"/>
      <c r="H321" s="339" t="s">
        <v>764</v>
      </c>
      <c r="I321" s="339" t="s">
        <v>765</v>
      </c>
      <c r="J321" s="104"/>
      <c r="K321" s="339" t="s">
        <v>766</v>
      </c>
      <c r="L321" s="339" t="s">
        <v>767</v>
      </c>
      <c r="M321" s="104"/>
      <c r="N321" s="104"/>
      <c r="O321" s="104"/>
      <c r="P321" s="104"/>
      <c r="Q321" s="104"/>
      <c r="R321" s="339" t="s">
        <v>768</v>
      </c>
      <c r="S321" s="138"/>
      <c r="T321" s="138"/>
      <c r="U321" s="104"/>
      <c r="V321" s="28">
        <v>5</v>
      </c>
      <c r="W321" s="369">
        <f t="shared" si="28"/>
        <v>1.8825000000000001</v>
      </c>
      <c r="X321" s="369">
        <f t="shared" si="29"/>
        <v>1.8825000000000001</v>
      </c>
      <c r="Y321" s="369">
        <f t="shared" si="30"/>
        <v>2.2600000000000002</v>
      </c>
      <c r="Z321" s="369">
        <f t="shared" si="31"/>
        <v>1.895</v>
      </c>
      <c r="AA321" s="369">
        <f t="shared" si="32"/>
        <v>2.4950000000000001</v>
      </c>
      <c r="AB321" s="369">
        <f t="shared" si="33"/>
        <v>2.15</v>
      </c>
      <c r="AC321" s="369">
        <f t="shared" si="34"/>
        <v>2.415</v>
      </c>
    </row>
    <row r="322" spans="1:45">
      <c r="A322" s="98" t="s">
        <v>391</v>
      </c>
      <c r="B322" s="103"/>
      <c r="C322" s="103"/>
      <c r="D322" s="103"/>
      <c r="E322" s="226"/>
      <c r="F322" s="226"/>
      <c r="G322" s="226"/>
      <c r="H322" s="208"/>
      <c r="I322" s="226"/>
      <c r="J322" s="226"/>
      <c r="K322" s="226"/>
      <c r="L322" s="226"/>
      <c r="M322" s="226"/>
      <c r="N322" s="226"/>
      <c r="O322" s="226"/>
      <c r="P322" s="226"/>
      <c r="Q322" s="226"/>
      <c r="R322" s="226"/>
      <c r="S322" s="223"/>
      <c r="T322" s="223"/>
      <c r="U322" s="226"/>
      <c r="V322" s="126"/>
      <c r="W322" s="126"/>
      <c r="X322" s="126"/>
      <c r="Y322" s="126"/>
      <c r="Z322" s="126"/>
      <c r="AA322" s="126"/>
      <c r="AB322" s="126"/>
      <c r="AC322" s="126"/>
    </row>
    <row r="323" spans="1:45" ht="14.4">
      <c r="A323" s="69" t="s">
        <v>769</v>
      </c>
      <c r="B323" s="69" t="s">
        <v>770</v>
      </c>
      <c r="C323" s="40"/>
      <c r="D323" s="40"/>
      <c r="E323" s="48"/>
      <c r="F323" s="48"/>
      <c r="G323" s="48"/>
      <c r="H323" s="48"/>
      <c r="I323" s="339" t="s">
        <v>771</v>
      </c>
      <c r="J323" s="48"/>
      <c r="K323" s="48"/>
      <c r="L323" s="339" t="s">
        <v>771</v>
      </c>
      <c r="M323" s="48"/>
      <c r="N323" s="48"/>
      <c r="O323" s="339" t="s">
        <v>771</v>
      </c>
      <c r="P323" s="48"/>
      <c r="Q323" s="48"/>
      <c r="R323" s="339" t="s">
        <v>771</v>
      </c>
      <c r="S323" s="48"/>
      <c r="T323" s="48"/>
      <c r="U323" s="339" t="s">
        <v>771</v>
      </c>
      <c r="V323" s="28">
        <v>1</v>
      </c>
      <c r="W323" s="369">
        <f t="shared" si="28"/>
        <v>0.3765</v>
      </c>
      <c r="X323" s="369">
        <f t="shared" si="29"/>
        <v>0.3765</v>
      </c>
      <c r="Y323" s="369">
        <f t="shared" si="30"/>
        <v>0.45200000000000001</v>
      </c>
      <c r="Z323" s="369">
        <f t="shared" si="31"/>
        <v>0.379</v>
      </c>
      <c r="AA323" s="369">
        <f t="shared" si="32"/>
        <v>0.499</v>
      </c>
      <c r="AB323" s="369">
        <f t="shared" si="33"/>
        <v>0.43</v>
      </c>
      <c r="AC323" s="369">
        <f t="shared" si="34"/>
        <v>0.48299999999999998</v>
      </c>
    </row>
    <row r="324" spans="1:45" s="177" customFormat="1" ht="14.4">
      <c r="A324" s="69" t="s">
        <v>772</v>
      </c>
      <c r="B324" s="69" t="s">
        <v>773</v>
      </c>
      <c r="C324" s="40"/>
      <c r="D324" s="40"/>
      <c r="E324" s="48"/>
      <c r="F324" s="339" t="s">
        <v>774</v>
      </c>
      <c r="G324" s="48"/>
      <c r="H324" s="339" t="s">
        <v>775</v>
      </c>
      <c r="I324" s="48"/>
      <c r="J324" s="48"/>
      <c r="K324" s="339" t="s">
        <v>776</v>
      </c>
      <c r="L324" s="339" t="s">
        <v>777</v>
      </c>
      <c r="M324" s="48"/>
      <c r="N324" s="339" t="s">
        <v>778</v>
      </c>
      <c r="O324" s="48"/>
      <c r="P324" s="48"/>
      <c r="Q324" s="339" t="s">
        <v>779</v>
      </c>
      <c r="R324" s="339" t="s">
        <v>780</v>
      </c>
      <c r="S324" s="48"/>
      <c r="T324" s="339" t="s">
        <v>781</v>
      </c>
      <c r="U324" s="48"/>
      <c r="V324" s="28">
        <v>7</v>
      </c>
      <c r="W324" s="369">
        <f t="shared" si="28"/>
        <v>2.6355</v>
      </c>
      <c r="X324" s="369">
        <f t="shared" si="29"/>
        <v>2.6355</v>
      </c>
      <c r="Y324" s="369">
        <f t="shared" si="30"/>
        <v>3.1640000000000001</v>
      </c>
      <c r="Z324" s="369">
        <f t="shared" si="31"/>
        <v>2.653</v>
      </c>
      <c r="AA324" s="369">
        <f t="shared" si="32"/>
        <v>3.4929999999999999</v>
      </c>
      <c r="AB324" s="369">
        <f t="shared" si="33"/>
        <v>3.01</v>
      </c>
      <c r="AC324" s="369">
        <f t="shared" si="34"/>
        <v>3.3809999999999998</v>
      </c>
      <c r="AD324" s="172"/>
      <c r="AE324" s="172"/>
      <c r="AF324" s="172"/>
      <c r="AG324" s="172"/>
      <c r="AH324" s="172"/>
      <c r="AI324" s="172"/>
      <c r="AJ324" s="172"/>
      <c r="AK324" s="172"/>
      <c r="AL324" s="172"/>
      <c r="AM324" s="172"/>
      <c r="AN324" s="172"/>
      <c r="AO324" s="172"/>
      <c r="AP324" s="172"/>
      <c r="AQ324" s="172"/>
      <c r="AR324" s="172"/>
      <c r="AS324" s="172"/>
    </row>
    <row r="325" spans="1:45" ht="14.4">
      <c r="A325" s="71" t="s">
        <v>921</v>
      </c>
      <c r="B325" s="69" t="s">
        <v>392</v>
      </c>
      <c r="C325" s="40"/>
      <c r="D325" s="40"/>
      <c r="E325" s="48"/>
      <c r="F325" s="339" t="s">
        <v>782</v>
      </c>
      <c r="G325" s="48"/>
      <c r="H325" s="339" t="s">
        <v>783</v>
      </c>
      <c r="I325" s="48"/>
      <c r="J325" s="48"/>
      <c r="K325" s="339" t="s">
        <v>784</v>
      </c>
      <c r="L325" s="339" t="s">
        <v>785</v>
      </c>
      <c r="M325" s="48"/>
      <c r="N325" s="339" t="s">
        <v>786</v>
      </c>
      <c r="O325" s="48"/>
      <c r="P325" s="48"/>
      <c r="Q325" s="339" t="s">
        <v>787</v>
      </c>
      <c r="R325" s="339" t="s">
        <v>788</v>
      </c>
      <c r="S325" s="48"/>
      <c r="T325" s="339" t="s">
        <v>789</v>
      </c>
      <c r="U325" s="48"/>
      <c r="V325" s="28">
        <v>10</v>
      </c>
      <c r="W325" s="369">
        <f t="shared" si="28"/>
        <v>3.7650000000000001</v>
      </c>
      <c r="X325" s="369">
        <f t="shared" si="29"/>
        <v>3.7650000000000001</v>
      </c>
      <c r="Y325" s="369">
        <f t="shared" si="30"/>
        <v>4.5200000000000005</v>
      </c>
      <c r="Z325" s="369">
        <f t="shared" si="31"/>
        <v>3.79</v>
      </c>
      <c r="AA325" s="369">
        <f t="shared" si="32"/>
        <v>4.99</v>
      </c>
      <c r="AB325" s="369">
        <f t="shared" si="33"/>
        <v>4.3</v>
      </c>
      <c r="AC325" s="369">
        <f t="shared" si="34"/>
        <v>4.83</v>
      </c>
    </row>
    <row r="326" spans="1:45">
      <c r="A326" s="71"/>
      <c r="B326" s="52"/>
      <c r="C326" s="150"/>
      <c r="D326" s="150"/>
      <c r="E326" s="104"/>
      <c r="F326" s="104"/>
      <c r="G326" s="104"/>
      <c r="H326" s="104"/>
      <c r="I326" s="104"/>
      <c r="J326" s="104"/>
      <c r="K326" s="104"/>
      <c r="L326" s="104"/>
      <c r="M326" s="104"/>
      <c r="N326" s="104"/>
      <c r="O326" s="104"/>
      <c r="P326" s="104"/>
      <c r="Q326" s="104"/>
      <c r="R326" s="104"/>
      <c r="S326" s="138"/>
      <c r="T326" s="138"/>
      <c r="U326" s="138"/>
      <c r="V326" s="28"/>
      <c r="W326" s="369"/>
      <c r="X326" s="369"/>
      <c r="Y326" s="369"/>
      <c r="Z326" s="369"/>
      <c r="AA326" s="369"/>
      <c r="AB326" s="369"/>
      <c r="AC326" s="369"/>
    </row>
    <row r="327" spans="1:45">
      <c r="A327" s="98" t="s">
        <v>790</v>
      </c>
      <c r="B327" s="108"/>
      <c r="C327" s="108"/>
      <c r="D327" s="108"/>
      <c r="E327" s="223"/>
      <c r="F327" s="223"/>
      <c r="G327" s="223"/>
      <c r="H327" s="223"/>
      <c r="I327" s="223"/>
      <c r="J327" s="223"/>
      <c r="K327" s="223"/>
      <c r="L327" s="223"/>
      <c r="M327" s="223"/>
      <c r="N327" s="223"/>
      <c r="O327" s="223"/>
      <c r="P327" s="223"/>
      <c r="Q327" s="223"/>
      <c r="R327" s="223"/>
      <c r="S327" s="223"/>
      <c r="T327" s="223"/>
      <c r="U327" s="223"/>
      <c r="V327" s="126"/>
      <c r="W327" s="126"/>
      <c r="X327" s="126"/>
      <c r="Y327" s="126"/>
      <c r="Z327" s="126"/>
      <c r="AA327" s="126"/>
      <c r="AB327" s="126"/>
      <c r="AC327" s="126"/>
    </row>
    <row r="328" spans="1:45">
      <c r="A328" s="69" t="s">
        <v>286</v>
      </c>
      <c r="B328" s="69" t="s">
        <v>393</v>
      </c>
      <c r="C328" s="40"/>
      <c r="D328" s="40"/>
      <c r="E328" s="48" t="s">
        <v>791</v>
      </c>
      <c r="F328" s="48" t="s">
        <v>791</v>
      </c>
      <c r="G328" s="48" t="s">
        <v>791</v>
      </c>
      <c r="H328" s="48" t="s">
        <v>791</v>
      </c>
      <c r="I328" s="48" t="s">
        <v>791</v>
      </c>
      <c r="J328" s="48" t="s">
        <v>791</v>
      </c>
      <c r="K328" s="48" t="s">
        <v>791</v>
      </c>
      <c r="L328" s="48" t="s">
        <v>791</v>
      </c>
      <c r="M328" s="48" t="s">
        <v>791</v>
      </c>
      <c r="N328" s="48" t="s">
        <v>791</v>
      </c>
      <c r="O328" s="48" t="s">
        <v>791</v>
      </c>
      <c r="P328" s="48" t="s">
        <v>791</v>
      </c>
      <c r="Q328" s="48" t="s">
        <v>791</v>
      </c>
      <c r="R328" s="48" t="s">
        <v>791</v>
      </c>
      <c r="S328" s="48" t="s">
        <v>791</v>
      </c>
      <c r="T328" s="48" t="s">
        <v>791</v>
      </c>
      <c r="U328" s="48" t="s">
        <v>791</v>
      </c>
      <c r="V328" s="28">
        <v>20</v>
      </c>
      <c r="W328" s="369">
        <f t="shared" si="28"/>
        <v>7.53</v>
      </c>
      <c r="X328" s="369">
        <f t="shared" si="29"/>
        <v>7.53</v>
      </c>
      <c r="Y328" s="369">
        <f t="shared" si="30"/>
        <v>9.0400000000000009</v>
      </c>
      <c r="Z328" s="369">
        <f t="shared" si="31"/>
        <v>7.58</v>
      </c>
      <c r="AA328" s="369">
        <f t="shared" si="32"/>
        <v>9.98</v>
      </c>
      <c r="AB328" s="369">
        <f t="shared" si="33"/>
        <v>8.6</v>
      </c>
      <c r="AC328" s="369">
        <f t="shared" si="34"/>
        <v>9.66</v>
      </c>
    </row>
    <row r="329" spans="1:45" ht="27.6">
      <c r="A329" s="69" t="s">
        <v>289</v>
      </c>
      <c r="B329" s="69" t="s">
        <v>395</v>
      </c>
      <c r="C329" s="40"/>
      <c r="D329" s="40"/>
      <c r="E329" s="48" t="s">
        <v>792</v>
      </c>
      <c r="F329" s="48" t="s">
        <v>792</v>
      </c>
      <c r="G329" s="48" t="s">
        <v>792</v>
      </c>
      <c r="H329" s="48" t="s">
        <v>792</v>
      </c>
      <c r="I329" s="48" t="s">
        <v>792</v>
      </c>
      <c r="J329" s="48" t="s">
        <v>792</v>
      </c>
      <c r="K329" s="48" t="s">
        <v>792</v>
      </c>
      <c r="L329" s="48" t="s">
        <v>792</v>
      </c>
      <c r="M329" s="48" t="s">
        <v>792</v>
      </c>
      <c r="N329" s="48" t="s">
        <v>792</v>
      </c>
      <c r="O329" s="48" t="s">
        <v>792</v>
      </c>
      <c r="P329" s="48" t="s">
        <v>792</v>
      </c>
      <c r="Q329" s="48" t="s">
        <v>792</v>
      </c>
      <c r="R329" s="48" t="s">
        <v>792</v>
      </c>
      <c r="S329" s="48" t="s">
        <v>792</v>
      </c>
      <c r="T329" s="48" t="s">
        <v>792</v>
      </c>
      <c r="U329" s="48" t="s">
        <v>792</v>
      </c>
      <c r="V329" s="28">
        <v>60</v>
      </c>
      <c r="W329" s="369">
        <f t="shared" si="28"/>
        <v>22.59</v>
      </c>
      <c r="X329" s="369">
        <f t="shared" si="29"/>
        <v>22.59</v>
      </c>
      <c r="Y329" s="369">
        <f t="shared" si="30"/>
        <v>27.12</v>
      </c>
      <c r="Z329" s="369">
        <f t="shared" si="31"/>
        <v>22.740000000000002</v>
      </c>
      <c r="AA329" s="369">
        <f t="shared" si="32"/>
        <v>29.94</v>
      </c>
      <c r="AB329" s="369">
        <f t="shared" si="33"/>
        <v>25.8</v>
      </c>
      <c r="AC329" s="369">
        <f t="shared" si="34"/>
        <v>28.98</v>
      </c>
    </row>
    <row r="330" spans="1:45" ht="27.6">
      <c r="A330" s="69" t="s">
        <v>397</v>
      </c>
      <c r="B330" s="69" t="s">
        <v>398</v>
      </c>
      <c r="C330" s="40"/>
      <c r="D330" s="40"/>
      <c r="E330" s="48" t="s">
        <v>793</v>
      </c>
      <c r="F330" s="48" t="s">
        <v>793</v>
      </c>
      <c r="G330" s="48" t="s">
        <v>793</v>
      </c>
      <c r="H330" s="48" t="s">
        <v>793</v>
      </c>
      <c r="I330" s="48" t="s">
        <v>793</v>
      </c>
      <c r="J330" s="48" t="s">
        <v>793</v>
      </c>
      <c r="K330" s="48" t="s">
        <v>793</v>
      </c>
      <c r="L330" s="48" t="s">
        <v>793</v>
      </c>
      <c r="M330" s="48" t="s">
        <v>793</v>
      </c>
      <c r="N330" s="48" t="s">
        <v>793</v>
      </c>
      <c r="O330" s="48" t="s">
        <v>793</v>
      </c>
      <c r="P330" s="48" t="s">
        <v>793</v>
      </c>
      <c r="Q330" s="48" t="s">
        <v>793</v>
      </c>
      <c r="R330" s="48" t="s">
        <v>793</v>
      </c>
      <c r="S330" s="48" t="s">
        <v>793</v>
      </c>
      <c r="T330" s="48" t="s">
        <v>793</v>
      </c>
      <c r="U330" s="48" t="s">
        <v>793</v>
      </c>
      <c r="V330" s="28">
        <v>80</v>
      </c>
      <c r="W330" s="369">
        <f t="shared" si="28"/>
        <v>30.12</v>
      </c>
      <c r="X330" s="369">
        <f t="shared" si="29"/>
        <v>30.12</v>
      </c>
      <c r="Y330" s="369">
        <f t="shared" si="30"/>
        <v>36.160000000000004</v>
      </c>
      <c r="Z330" s="369">
        <f t="shared" si="31"/>
        <v>30.32</v>
      </c>
      <c r="AA330" s="369">
        <f t="shared" si="32"/>
        <v>39.92</v>
      </c>
      <c r="AB330" s="369">
        <f t="shared" si="33"/>
        <v>34.4</v>
      </c>
      <c r="AC330" s="369">
        <f t="shared" si="34"/>
        <v>38.64</v>
      </c>
    </row>
    <row r="331" spans="1:45">
      <c r="A331" s="69" t="s">
        <v>400</v>
      </c>
      <c r="B331" s="69" t="s">
        <v>401</v>
      </c>
      <c r="C331" s="40"/>
      <c r="D331" s="40"/>
      <c r="E331" s="95" t="s">
        <v>794</v>
      </c>
      <c r="F331" s="95" t="s">
        <v>794</v>
      </c>
      <c r="G331" s="95" t="s">
        <v>794</v>
      </c>
      <c r="H331" s="95" t="s">
        <v>794</v>
      </c>
      <c r="I331" s="95" t="s">
        <v>794</v>
      </c>
      <c r="J331" s="95" t="s">
        <v>794</v>
      </c>
      <c r="K331" s="95" t="s">
        <v>794</v>
      </c>
      <c r="L331" s="95" t="s">
        <v>794</v>
      </c>
      <c r="M331" s="95" t="s">
        <v>794</v>
      </c>
      <c r="N331" s="95" t="s">
        <v>794</v>
      </c>
      <c r="O331" s="95" t="s">
        <v>794</v>
      </c>
      <c r="P331" s="95" t="s">
        <v>794</v>
      </c>
      <c r="Q331" s="95" t="s">
        <v>794</v>
      </c>
      <c r="R331" s="95" t="s">
        <v>794</v>
      </c>
      <c r="S331" s="95" t="s">
        <v>794</v>
      </c>
      <c r="T331" s="95" t="s">
        <v>794</v>
      </c>
      <c r="U331" s="95" t="s">
        <v>794</v>
      </c>
      <c r="V331" s="60">
        <v>10</v>
      </c>
      <c r="W331" s="186">
        <f t="shared" si="28"/>
        <v>3.7650000000000001</v>
      </c>
      <c r="X331" s="186">
        <f t="shared" si="29"/>
        <v>3.7650000000000001</v>
      </c>
      <c r="Y331" s="186">
        <f t="shared" si="30"/>
        <v>4.5200000000000005</v>
      </c>
      <c r="Z331" s="186">
        <f t="shared" si="31"/>
        <v>3.79</v>
      </c>
      <c r="AA331" s="186">
        <f t="shared" si="32"/>
        <v>4.99</v>
      </c>
      <c r="AB331" s="186">
        <f t="shared" si="33"/>
        <v>4.3</v>
      </c>
      <c r="AC331" s="186">
        <f t="shared" si="34"/>
        <v>4.83</v>
      </c>
    </row>
    <row r="332" spans="1:45">
      <c r="A332" s="69" t="s">
        <v>403</v>
      </c>
      <c r="B332" s="69" t="s">
        <v>404</v>
      </c>
      <c r="C332" s="40"/>
      <c r="D332" s="40"/>
      <c r="E332" s="95" t="s">
        <v>405</v>
      </c>
      <c r="F332" s="95" t="s">
        <v>405</v>
      </c>
      <c r="G332" s="95" t="s">
        <v>405</v>
      </c>
      <c r="H332" s="95" t="s">
        <v>405</v>
      </c>
      <c r="I332" s="95" t="s">
        <v>405</v>
      </c>
      <c r="J332" s="95" t="s">
        <v>405</v>
      </c>
      <c r="K332" s="95" t="s">
        <v>405</v>
      </c>
      <c r="L332" s="95" t="s">
        <v>405</v>
      </c>
      <c r="M332" s="95" t="s">
        <v>405</v>
      </c>
      <c r="N332" s="95" t="s">
        <v>405</v>
      </c>
      <c r="O332" s="95" t="s">
        <v>405</v>
      </c>
      <c r="P332" s="95" t="s">
        <v>405</v>
      </c>
      <c r="Q332" s="95" t="s">
        <v>405</v>
      </c>
      <c r="R332" s="95" t="s">
        <v>405</v>
      </c>
      <c r="S332" s="95" t="s">
        <v>405</v>
      </c>
      <c r="T332" s="95" t="s">
        <v>405</v>
      </c>
      <c r="U332" s="95" t="s">
        <v>405</v>
      </c>
      <c r="V332" s="60">
        <v>10</v>
      </c>
      <c r="W332" s="186">
        <f t="shared" si="28"/>
        <v>3.7650000000000001</v>
      </c>
      <c r="X332" s="186">
        <f t="shared" si="29"/>
        <v>3.7650000000000001</v>
      </c>
      <c r="Y332" s="186">
        <f t="shared" si="30"/>
        <v>4.5200000000000005</v>
      </c>
      <c r="Z332" s="186">
        <f t="shared" si="31"/>
        <v>3.79</v>
      </c>
      <c r="AA332" s="186">
        <f t="shared" si="32"/>
        <v>4.99</v>
      </c>
      <c r="AB332" s="186">
        <f t="shared" si="33"/>
        <v>4.3</v>
      </c>
      <c r="AC332" s="186">
        <f t="shared" si="34"/>
        <v>4.83</v>
      </c>
    </row>
    <row r="333" spans="1:45">
      <c r="A333" s="132" t="s">
        <v>292</v>
      </c>
      <c r="B333" s="132" t="s">
        <v>293</v>
      </c>
      <c r="C333" s="107"/>
      <c r="D333" s="107"/>
      <c r="E333" s="230" t="s">
        <v>294</v>
      </c>
      <c r="F333" s="230" t="s">
        <v>294</v>
      </c>
      <c r="G333" s="230" t="s">
        <v>294</v>
      </c>
      <c r="H333" s="230" t="s">
        <v>294</v>
      </c>
      <c r="I333" s="230" t="s">
        <v>294</v>
      </c>
      <c r="J333" s="230" t="s">
        <v>294</v>
      </c>
      <c r="K333" s="230" t="s">
        <v>294</v>
      </c>
      <c r="L333" s="230" t="s">
        <v>294</v>
      </c>
      <c r="M333" s="230" t="s">
        <v>294</v>
      </c>
      <c r="N333" s="230" t="s">
        <v>294</v>
      </c>
      <c r="O333" s="230" t="s">
        <v>294</v>
      </c>
      <c r="P333" s="230" t="s">
        <v>294</v>
      </c>
      <c r="Q333" s="230" t="s">
        <v>294</v>
      </c>
      <c r="R333" s="230" t="s">
        <v>294</v>
      </c>
      <c r="S333" s="230" t="s">
        <v>294</v>
      </c>
      <c r="T333" s="230" t="s">
        <v>294</v>
      </c>
      <c r="U333" s="230" t="s">
        <v>294</v>
      </c>
      <c r="V333" s="28">
        <v>158</v>
      </c>
      <c r="W333" s="369">
        <f t="shared" ref="W333:W396" si="35">V333*$W$9</f>
        <v>59.487000000000002</v>
      </c>
      <c r="X333" s="369">
        <f t="shared" ref="X333:X396" si="36">V333*$X$9</f>
        <v>59.487000000000002</v>
      </c>
      <c r="Y333" s="369">
        <f t="shared" ref="Y333:Y396" si="37">V333*$Y$9</f>
        <v>71.415999999999997</v>
      </c>
      <c r="Z333" s="369">
        <f t="shared" ref="Z333:Z396" si="38">V333*$Z$9</f>
        <v>59.881999999999998</v>
      </c>
      <c r="AA333" s="369">
        <f t="shared" ref="AA333:AA396" si="39">V333*$AA$9</f>
        <v>78.841999999999999</v>
      </c>
      <c r="AB333" s="369">
        <f t="shared" ref="AB333:AB396" si="40">V333*$AB$9</f>
        <v>67.94</v>
      </c>
      <c r="AC333" s="369">
        <f t="shared" ref="AC333:AC396" si="41">V333*$AC$9</f>
        <v>76.313999999999993</v>
      </c>
    </row>
    <row r="334" spans="1:45">
      <c r="A334" s="132" t="s">
        <v>295</v>
      </c>
      <c r="B334" s="132" t="s">
        <v>296</v>
      </c>
      <c r="C334" s="107"/>
      <c r="D334" s="107"/>
      <c r="E334" s="230" t="s">
        <v>795</v>
      </c>
      <c r="F334" s="230" t="s">
        <v>795</v>
      </c>
      <c r="G334" s="230" t="s">
        <v>795</v>
      </c>
      <c r="H334" s="230" t="s">
        <v>795</v>
      </c>
      <c r="I334" s="230" t="s">
        <v>795</v>
      </c>
      <c r="J334" s="230" t="s">
        <v>795</v>
      </c>
      <c r="K334" s="230" t="s">
        <v>795</v>
      </c>
      <c r="L334" s="230" t="s">
        <v>795</v>
      </c>
      <c r="M334" s="230" t="s">
        <v>795</v>
      </c>
      <c r="N334" s="230" t="s">
        <v>795</v>
      </c>
      <c r="O334" s="230" t="s">
        <v>795</v>
      </c>
      <c r="P334" s="230" t="s">
        <v>795</v>
      </c>
      <c r="Q334" s="230" t="s">
        <v>795</v>
      </c>
      <c r="R334" s="230" t="s">
        <v>795</v>
      </c>
      <c r="S334" s="230" t="s">
        <v>795</v>
      </c>
      <c r="T334" s="230" t="s">
        <v>795</v>
      </c>
      <c r="U334" s="230" t="s">
        <v>795</v>
      </c>
      <c r="V334" s="28">
        <v>22</v>
      </c>
      <c r="W334" s="369">
        <f t="shared" si="35"/>
        <v>8.2829999999999995</v>
      </c>
      <c r="X334" s="369">
        <f t="shared" si="36"/>
        <v>8.2829999999999995</v>
      </c>
      <c r="Y334" s="369">
        <f t="shared" si="37"/>
        <v>9.9440000000000008</v>
      </c>
      <c r="Z334" s="369">
        <f t="shared" si="38"/>
        <v>8.338000000000001</v>
      </c>
      <c r="AA334" s="369">
        <f t="shared" si="39"/>
        <v>10.978</v>
      </c>
      <c r="AB334" s="369">
        <f t="shared" si="40"/>
        <v>9.4599999999999991</v>
      </c>
      <c r="AC334" s="369">
        <f t="shared" si="41"/>
        <v>10.625999999999999</v>
      </c>
    </row>
    <row r="335" spans="1:45" ht="27.6">
      <c r="A335" s="132" t="s">
        <v>299</v>
      </c>
      <c r="B335" s="99" t="s">
        <v>300</v>
      </c>
      <c r="C335" s="107"/>
      <c r="D335" s="107"/>
      <c r="E335" s="48" t="s">
        <v>796</v>
      </c>
      <c r="F335" s="48" t="s">
        <v>796</v>
      </c>
      <c r="G335" s="48" t="s">
        <v>796</v>
      </c>
      <c r="H335" s="48" t="s">
        <v>796</v>
      </c>
      <c r="I335" s="48" t="s">
        <v>796</v>
      </c>
      <c r="J335" s="48" t="s">
        <v>796</v>
      </c>
      <c r="K335" s="48" t="s">
        <v>796</v>
      </c>
      <c r="L335" s="48" t="s">
        <v>796</v>
      </c>
      <c r="M335" s="48" t="s">
        <v>796</v>
      </c>
      <c r="N335" s="48" t="s">
        <v>796</v>
      </c>
      <c r="O335" s="48" t="s">
        <v>796</v>
      </c>
      <c r="P335" s="48" t="s">
        <v>796</v>
      </c>
      <c r="Q335" s="48" t="s">
        <v>796</v>
      </c>
      <c r="R335" s="48" t="s">
        <v>796</v>
      </c>
      <c r="S335" s="48" t="s">
        <v>796</v>
      </c>
      <c r="T335" s="48" t="s">
        <v>796</v>
      </c>
      <c r="U335" s="48" t="s">
        <v>796</v>
      </c>
      <c r="V335" s="28">
        <v>82</v>
      </c>
      <c r="W335" s="369">
        <f t="shared" si="35"/>
        <v>30.873000000000001</v>
      </c>
      <c r="X335" s="369">
        <f t="shared" si="36"/>
        <v>30.873000000000001</v>
      </c>
      <c r="Y335" s="369">
        <f t="shared" si="37"/>
        <v>37.064</v>
      </c>
      <c r="Z335" s="369">
        <f t="shared" si="38"/>
        <v>31.077999999999999</v>
      </c>
      <c r="AA335" s="369">
        <f t="shared" si="39"/>
        <v>40.917999999999999</v>
      </c>
      <c r="AB335" s="369">
        <f t="shared" si="40"/>
        <v>35.26</v>
      </c>
      <c r="AC335" s="369">
        <f t="shared" si="41"/>
        <v>39.606000000000002</v>
      </c>
    </row>
    <row r="336" spans="1:45" s="237" customFormat="1">
      <c r="A336" s="235"/>
      <c r="B336" s="140"/>
      <c r="C336" s="134"/>
      <c r="D336" s="134"/>
      <c r="E336" s="45"/>
      <c r="F336" s="45"/>
      <c r="G336" s="45"/>
      <c r="H336" s="45"/>
      <c r="I336" s="45"/>
      <c r="J336" s="45"/>
      <c r="K336" s="45"/>
      <c r="L336" s="45"/>
      <c r="M336" s="45"/>
      <c r="N336" s="45"/>
      <c r="O336" s="45"/>
      <c r="P336" s="45"/>
      <c r="Q336" s="45"/>
      <c r="R336" s="45"/>
      <c r="S336" s="45"/>
      <c r="T336" s="45"/>
      <c r="U336" s="45"/>
      <c r="V336" s="186"/>
      <c r="W336" s="186"/>
      <c r="X336" s="186"/>
      <c r="Y336" s="186"/>
      <c r="Z336" s="186"/>
      <c r="AA336" s="186"/>
      <c r="AB336" s="186"/>
      <c r="AC336" s="186"/>
      <c r="AD336" s="169"/>
      <c r="AE336" s="169"/>
      <c r="AF336" s="169"/>
      <c r="AG336" s="169"/>
      <c r="AH336" s="169"/>
      <c r="AI336" s="169"/>
      <c r="AJ336" s="169"/>
      <c r="AK336" s="169"/>
      <c r="AL336" s="169"/>
      <c r="AM336" s="169"/>
      <c r="AN336" s="169"/>
      <c r="AO336" s="169"/>
      <c r="AP336" s="169"/>
      <c r="AQ336" s="169"/>
      <c r="AR336" s="169"/>
      <c r="AS336" s="169"/>
    </row>
    <row r="337" spans="1:45" s="237" customFormat="1">
      <c r="A337" s="161" t="s">
        <v>797</v>
      </c>
      <c r="B337" s="161"/>
      <c r="C337" s="161"/>
      <c r="D337" s="161"/>
      <c r="E337" s="32"/>
      <c r="F337" s="32"/>
      <c r="G337" s="32"/>
      <c r="H337" s="32"/>
      <c r="I337" s="32"/>
      <c r="J337" s="32"/>
      <c r="K337" s="32"/>
      <c r="L337" s="32"/>
      <c r="M337" s="32"/>
      <c r="N337" s="32"/>
      <c r="O337" s="32"/>
      <c r="P337" s="32"/>
      <c r="Q337" s="32"/>
      <c r="R337" s="32"/>
      <c r="S337" s="32"/>
      <c r="T337" s="32"/>
      <c r="U337" s="32"/>
      <c r="V337" s="188"/>
      <c r="W337" s="188"/>
      <c r="X337" s="188"/>
      <c r="Y337" s="188"/>
      <c r="Z337" s="188"/>
      <c r="AA337" s="188"/>
      <c r="AB337" s="188"/>
      <c r="AC337" s="188"/>
      <c r="AD337" s="169"/>
      <c r="AE337" s="169"/>
      <c r="AF337" s="169"/>
      <c r="AG337" s="169"/>
      <c r="AH337" s="169"/>
      <c r="AI337" s="169"/>
      <c r="AJ337" s="169"/>
      <c r="AK337" s="169"/>
      <c r="AL337" s="169"/>
      <c r="AM337" s="169"/>
      <c r="AN337" s="169"/>
      <c r="AO337" s="169"/>
      <c r="AP337" s="169"/>
      <c r="AQ337" s="169"/>
      <c r="AR337" s="169"/>
      <c r="AS337" s="169"/>
    </row>
    <row r="338" spans="1:45" s="10" customFormat="1" ht="82.8">
      <c r="A338" s="27" t="s">
        <v>141</v>
      </c>
      <c r="B338" s="27" t="s">
        <v>142</v>
      </c>
      <c r="C338" s="27" t="s">
        <v>143</v>
      </c>
      <c r="D338" s="27" t="s">
        <v>144</v>
      </c>
      <c r="E338" s="190"/>
      <c r="F338" s="190"/>
      <c r="G338" s="190"/>
      <c r="H338" s="190"/>
      <c r="I338" s="190"/>
      <c r="J338" s="190"/>
      <c r="K338" s="190"/>
      <c r="L338" s="190"/>
      <c r="M338" s="190"/>
      <c r="N338" s="190"/>
      <c r="O338" s="190"/>
      <c r="P338" s="190"/>
      <c r="Q338" s="190"/>
      <c r="R338" s="190"/>
      <c r="S338" s="190"/>
      <c r="T338" s="190"/>
      <c r="U338" s="190"/>
      <c r="V338" s="157" t="s">
        <v>145</v>
      </c>
      <c r="W338" s="374"/>
      <c r="X338" s="374"/>
      <c r="Y338" s="374"/>
      <c r="Z338" s="374"/>
      <c r="AA338" s="374"/>
      <c r="AB338" s="374"/>
      <c r="AC338" s="374"/>
      <c r="AD338" s="9"/>
      <c r="AE338" s="9"/>
      <c r="AF338" s="9"/>
      <c r="AG338" s="9"/>
      <c r="AH338" s="9"/>
      <c r="AI338" s="9"/>
      <c r="AJ338" s="9"/>
      <c r="AK338" s="9"/>
      <c r="AL338" s="9"/>
      <c r="AM338" s="9"/>
      <c r="AN338" s="9"/>
      <c r="AO338" s="9"/>
      <c r="AP338" s="9"/>
      <c r="AQ338" s="9"/>
      <c r="AR338" s="9"/>
      <c r="AS338" s="9"/>
    </row>
    <row r="339" spans="1:45">
      <c r="A339" s="235"/>
      <c r="B339" s="140"/>
      <c r="C339" s="134"/>
      <c r="D339" s="134"/>
      <c r="E339" s="45"/>
      <c r="F339" s="45"/>
      <c r="G339" s="45"/>
      <c r="H339" s="45"/>
      <c r="I339" s="45"/>
      <c r="J339" s="45"/>
      <c r="K339" s="45"/>
      <c r="L339" s="45"/>
      <c r="M339" s="45"/>
      <c r="N339" s="45"/>
      <c r="O339" s="45"/>
      <c r="P339" s="45"/>
      <c r="Q339" s="45"/>
      <c r="R339" s="45"/>
      <c r="S339" s="45"/>
      <c r="T339" s="45"/>
      <c r="U339" s="45"/>
      <c r="V339" s="186"/>
      <c r="W339" s="186"/>
      <c r="X339" s="186"/>
      <c r="Y339" s="186"/>
      <c r="Z339" s="186"/>
      <c r="AA339" s="186"/>
      <c r="AB339" s="186"/>
      <c r="AC339" s="186"/>
    </row>
    <row r="340" spans="1:45" ht="188.25" customHeight="1">
      <c r="A340" s="71" t="s">
        <v>2020</v>
      </c>
      <c r="B340" s="52" t="s">
        <v>798</v>
      </c>
      <c r="C340" s="150"/>
      <c r="D340" s="150"/>
      <c r="E340" s="104"/>
      <c r="F340" s="104"/>
      <c r="G340" s="104"/>
      <c r="H340" s="104"/>
      <c r="I340" s="104"/>
      <c r="J340" s="104"/>
      <c r="K340" s="104"/>
      <c r="L340" s="104"/>
      <c r="M340" s="104"/>
      <c r="N340" s="104"/>
      <c r="O340" s="104"/>
      <c r="P340" s="104"/>
      <c r="Q340" s="104"/>
      <c r="R340" s="104"/>
      <c r="S340" s="104"/>
      <c r="T340" s="104"/>
      <c r="U340" s="104"/>
      <c r="V340" s="23">
        <v>689</v>
      </c>
      <c r="W340" s="368">
        <f t="shared" si="35"/>
        <v>259.4085</v>
      </c>
      <c r="X340" s="368">
        <f t="shared" si="36"/>
        <v>259.4085</v>
      </c>
      <c r="Y340" s="368">
        <f t="shared" si="37"/>
        <v>311.428</v>
      </c>
      <c r="Z340" s="368">
        <f t="shared" si="38"/>
        <v>261.13100000000003</v>
      </c>
      <c r="AA340" s="368">
        <f t="shared" si="39"/>
        <v>343.81099999999998</v>
      </c>
      <c r="AB340" s="368">
        <f t="shared" si="40"/>
        <v>296.27</v>
      </c>
      <c r="AC340" s="368">
        <f t="shared" si="41"/>
        <v>332.78699999999998</v>
      </c>
      <c r="AD340" s="171"/>
      <c r="AE340" s="171"/>
      <c r="AF340" s="171"/>
      <c r="AG340" s="171"/>
      <c r="AH340" s="171"/>
      <c r="AI340" s="171"/>
      <c r="AJ340" s="171"/>
      <c r="AK340" s="171"/>
      <c r="AL340" s="171"/>
      <c r="AM340" s="171"/>
      <c r="AN340" s="171"/>
      <c r="AO340" s="171"/>
      <c r="AP340" s="171"/>
      <c r="AQ340" s="171"/>
      <c r="AR340" s="171"/>
      <c r="AS340" s="171"/>
    </row>
    <row r="341" spans="1:45">
      <c r="A341" s="71"/>
      <c r="B341" s="52"/>
      <c r="C341" s="150"/>
      <c r="D341" s="150"/>
      <c r="E341" s="104"/>
      <c r="F341" s="104"/>
      <c r="G341" s="104"/>
      <c r="H341" s="104"/>
      <c r="I341" s="104"/>
      <c r="J341" s="104"/>
      <c r="K341" s="104"/>
      <c r="L341" s="104"/>
      <c r="M341" s="104"/>
      <c r="N341" s="104"/>
      <c r="O341" s="104"/>
      <c r="P341" s="104"/>
      <c r="Q341" s="104"/>
      <c r="R341" s="104"/>
      <c r="S341" s="104"/>
      <c r="T341" s="104"/>
      <c r="U341" s="104"/>
      <c r="V341" s="23"/>
      <c r="W341" s="368"/>
      <c r="X341" s="368"/>
      <c r="Y341" s="368"/>
      <c r="Z341" s="368"/>
      <c r="AA341" s="368"/>
      <c r="AB341" s="368"/>
      <c r="AC341" s="368"/>
      <c r="AD341" s="171"/>
      <c r="AE341" s="171"/>
      <c r="AF341" s="171"/>
      <c r="AG341" s="171"/>
      <c r="AH341" s="171"/>
      <c r="AI341" s="171"/>
      <c r="AJ341" s="171"/>
      <c r="AK341" s="171"/>
      <c r="AL341" s="171"/>
      <c r="AM341" s="171"/>
      <c r="AN341" s="171"/>
      <c r="AO341" s="171"/>
      <c r="AP341" s="171"/>
      <c r="AQ341" s="171"/>
      <c r="AR341" s="171"/>
      <c r="AS341" s="171"/>
    </row>
    <row r="342" spans="1:45" ht="184.5" customHeight="1">
      <c r="A342" s="71" t="s">
        <v>2019</v>
      </c>
      <c r="B342" s="52" t="s">
        <v>799</v>
      </c>
      <c r="C342" s="150"/>
      <c r="D342" s="150"/>
      <c r="E342" s="104"/>
      <c r="F342" s="104"/>
      <c r="G342" s="104"/>
      <c r="H342" s="104"/>
      <c r="I342" s="104"/>
      <c r="J342" s="104"/>
      <c r="K342" s="104"/>
      <c r="L342" s="104"/>
      <c r="M342" s="104"/>
      <c r="N342" s="104"/>
      <c r="O342" s="104"/>
      <c r="P342" s="104"/>
      <c r="Q342" s="104"/>
      <c r="R342" s="104"/>
      <c r="S342" s="104"/>
      <c r="T342" s="104"/>
      <c r="U342" s="104"/>
      <c r="V342" s="23">
        <v>749</v>
      </c>
      <c r="W342" s="368">
        <f t="shared" si="35"/>
        <v>281.99849999999998</v>
      </c>
      <c r="X342" s="368">
        <f t="shared" si="36"/>
        <v>281.99849999999998</v>
      </c>
      <c r="Y342" s="368">
        <f t="shared" si="37"/>
        <v>338.548</v>
      </c>
      <c r="Z342" s="368">
        <f t="shared" si="38"/>
        <v>283.87099999999998</v>
      </c>
      <c r="AA342" s="368">
        <f t="shared" si="39"/>
        <v>373.75099999999998</v>
      </c>
      <c r="AB342" s="368">
        <f t="shared" si="40"/>
        <v>322.07</v>
      </c>
      <c r="AC342" s="368">
        <f t="shared" si="41"/>
        <v>361.767</v>
      </c>
      <c r="AD342" s="171"/>
      <c r="AE342" s="171"/>
      <c r="AF342" s="171"/>
      <c r="AG342" s="171"/>
      <c r="AH342" s="171"/>
      <c r="AI342" s="171"/>
      <c r="AJ342" s="171"/>
      <c r="AK342" s="171"/>
      <c r="AL342" s="171"/>
      <c r="AM342" s="171"/>
      <c r="AN342" s="171"/>
      <c r="AO342" s="171"/>
      <c r="AP342" s="171"/>
      <c r="AQ342" s="171"/>
      <c r="AR342" s="171"/>
      <c r="AS342" s="171"/>
    </row>
    <row r="343" spans="1:45" ht="15.6" customHeight="1">
      <c r="A343" s="71"/>
      <c r="B343" s="52"/>
      <c r="C343" s="150"/>
      <c r="D343" s="150"/>
      <c r="E343" s="104"/>
      <c r="F343" s="104"/>
      <c r="G343" s="104"/>
      <c r="H343" s="104"/>
      <c r="I343" s="104"/>
      <c r="J343" s="104"/>
      <c r="K343" s="104"/>
      <c r="L343" s="104"/>
      <c r="M343" s="104"/>
      <c r="N343" s="104"/>
      <c r="O343" s="104"/>
      <c r="P343" s="104"/>
      <c r="Q343" s="104"/>
      <c r="R343" s="104"/>
      <c r="S343" s="104"/>
      <c r="T343" s="104"/>
      <c r="U343" s="104"/>
      <c r="V343" s="186"/>
      <c r="W343" s="186"/>
      <c r="X343" s="186"/>
      <c r="Y343" s="186"/>
      <c r="Z343" s="186"/>
      <c r="AA343" s="186"/>
      <c r="AB343" s="186"/>
      <c r="AC343" s="186"/>
    </row>
    <row r="344" spans="1:45" ht="168" customHeight="1">
      <c r="A344" s="71" t="s">
        <v>2018</v>
      </c>
      <c r="B344" s="52" t="s">
        <v>800</v>
      </c>
      <c r="C344" s="150"/>
      <c r="D344" s="150"/>
      <c r="E344" s="104"/>
      <c r="F344" s="104"/>
      <c r="G344" s="104"/>
      <c r="H344" s="104"/>
      <c r="I344" s="104"/>
      <c r="J344" s="104"/>
      <c r="K344" s="104"/>
      <c r="L344" s="104"/>
      <c r="M344" s="104"/>
      <c r="N344" s="104"/>
      <c r="O344" s="104"/>
      <c r="P344" s="104"/>
      <c r="Q344" s="104"/>
      <c r="R344" s="104"/>
      <c r="S344" s="104"/>
      <c r="T344" s="104"/>
      <c r="U344" s="104"/>
      <c r="V344" s="23">
        <v>639</v>
      </c>
      <c r="W344" s="368">
        <f t="shared" si="35"/>
        <v>240.58350000000002</v>
      </c>
      <c r="X344" s="368">
        <f t="shared" si="36"/>
        <v>240.58350000000002</v>
      </c>
      <c r="Y344" s="368">
        <f t="shared" si="37"/>
        <v>288.82800000000003</v>
      </c>
      <c r="Z344" s="368">
        <f t="shared" si="38"/>
        <v>242.18100000000001</v>
      </c>
      <c r="AA344" s="368">
        <f t="shared" si="39"/>
        <v>318.86099999999999</v>
      </c>
      <c r="AB344" s="368">
        <f t="shared" si="40"/>
        <v>274.77</v>
      </c>
      <c r="AC344" s="368">
        <f t="shared" si="41"/>
        <v>308.637</v>
      </c>
    </row>
    <row r="345" spans="1:45">
      <c r="A345" s="71"/>
      <c r="B345" s="52"/>
      <c r="C345" s="150"/>
      <c r="D345" s="150"/>
      <c r="E345" s="104"/>
      <c r="F345" s="104"/>
      <c r="G345" s="104"/>
      <c r="H345" s="104"/>
      <c r="I345" s="104"/>
      <c r="J345" s="104"/>
      <c r="K345" s="104"/>
      <c r="L345" s="104"/>
      <c r="M345" s="104"/>
      <c r="N345" s="104"/>
      <c r="O345" s="104"/>
      <c r="P345" s="104"/>
      <c r="Q345" s="104"/>
      <c r="R345" s="104"/>
      <c r="S345" s="104"/>
      <c r="T345" s="104"/>
      <c r="U345" s="104"/>
      <c r="V345" s="23"/>
      <c r="W345" s="368"/>
      <c r="X345" s="368"/>
      <c r="Y345" s="368"/>
      <c r="Z345" s="368"/>
      <c r="AA345" s="368"/>
      <c r="AB345" s="368"/>
      <c r="AC345" s="368"/>
    </row>
    <row r="346" spans="1:45" ht="173.25" customHeight="1">
      <c r="A346" s="71" t="s">
        <v>1996</v>
      </c>
      <c r="B346" s="52" t="s">
        <v>801</v>
      </c>
      <c r="C346" s="150"/>
      <c r="D346" s="150"/>
      <c r="E346" s="104"/>
      <c r="F346" s="104"/>
      <c r="G346" s="104"/>
      <c r="H346" s="104"/>
      <c r="I346" s="104"/>
      <c r="J346" s="104"/>
      <c r="K346" s="104"/>
      <c r="L346" s="104"/>
      <c r="M346" s="104"/>
      <c r="N346" s="104"/>
      <c r="O346" s="104"/>
      <c r="P346" s="104"/>
      <c r="Q346" s="104"/>
      <c r="R346" s="104"/>
      <c r="S346" s="104"/>
      <c r="T346" s="104"/>
      <c r="U346" s="104"/>
      <c r="V346" s="23">
        <v>699</v>
      </c>
      <c r="W346" s="368">
        <f t="shared" si="35"/>
        <v>263.17349999999999</v>
      </c>
      <c r="X346" s="368">
        <f t="shared" si="36"/>
        <v>263.17349999999999</v>
      </c>
      <c r="Y346" s="368">
        <f t="shared" si="37"/>
        <v>315.94800000000004</v>
      </c>
      <c r="Z346" s="368">
        <f t="shared" si="38"/>
        <v>264.92099999999999</v>
      </c>
      <c r="AA346" s="368">
        <f t="shared" si="39"/>
        <v>348.80099999999999</v>
      </c>
      <c r="AB346" s="368">
        <f t="shared" si="40"/>
        <v>300.57</v>
      </c>
      <c r="AC346" s="368">
        <f t="shared" si="41"/>
        <v>337.61699999999996</v>
      </c>
      <c r="AD346" s="171"/>
      <c r="AE346" s="171"/>
      <c r="AF346" s="171"/>
      <c r="AG346" s="171"/>
      <c r="AH346" s="171"/>
      <c r="AI346" s="171"/>
      <c r="AJ346" s="171"/>
      <c r="AK346" s="171"/>
      <c r="AL346" s="171"/>
      <c r="AM346" s="171"/>
      <c r="AN346" s="171"/>
      <c r="AO346" s="171"/>
      <c r="AP346" s="171"/>
      <c r="AQ346" s="171"/>
      <c r="AR346" s="171"/>
      <c r="AS346" s="171"/>
    </row>
    <row r="347" spans="1:45">
      <c r="A347" s="69"/>
      <c r="B347" s="52"/>
      <c r="C347" s="150"/>
      <c r="D347" s="150"/>
      <c r="E347" s="104"/>
      <c r="F347" s="104"/>
      <c r="G347" s="104"/>
      <c r="H347" s="104"/>
      <c r="I347" s="104"/>
      <c r="J347" s="104"/>
      <c r="K347" s="104"/>
      <c r="L347" s="104"/>
      <c r="M347" s="104"/>
      <c r="N347" s="104"/>
      <c r="O347" s="104"/>
      <c r="P347" s="104"/>
      <c r="Q347" s="104"/>
      <c r="R347" s="104"/>
      <c r="S347" s="104"/>
      <c r="T347" s="104"/>
      <c r="U347" s="104"/>
      <c r="V347" s="186"/>
      <c r="W347" s="186"/>
      <c r="X347" s="186"/>
      <c r="Y347" s="186"/>
      <c r="Z347" s="186"/>
      <c r="AA347" s="186"/>
      <c r="AB347" s="186"/>
      <c r="AC347" s="186"/>
    </row>
    <row r="348" spans="1:45" s="10" customFormat="1" ht="27.6">
      <c r="A348" s="141" t="s">
        <v>802</v>
      </c>
      <c r="B348" s="27" t="s">
        <v>305</v>
      </c>
      <c r="C348" s="27" t="s">
        <v>143</v>
      </c>
      <c r="D348" s="27" t="s">
        <v>144</v>
      </c>
      <c r="E348" s="27" t="s">
        <v>803</v>
      </c>
      <c r="F348" s="27" t="s">
        <v>804</v>
      </c>
      <c r="G348" s="27" t="s">
        <v>805</v>
      </c>
      <c r="H348" s="27" t="s">
        <v>806</v>
      </c>
      <c r="I348" s="27"/>
      <c r="J348" s="27"/>
      <c r="K348" s="27"/>
      <c r="L348" s="27"/>
      <c r="M348" s="27"/>
      <c r="N348" s="27"/>
      <c r="O348" s="27"/>
      <c r="P348" s="27"/>
      <c r="Q348" s="27"/>
      <c r="R348" s="27"/>
      <c r="S348" s="27"/>
      <c r="T348" s="27"/>
      <c r="U348" s="27"/>
      <c r="V348" s="13"/>
      <c r="W348" s="188"/>
      <c r="X348" s="188"/>
      <c r="Y348" s="188"/>
      <c r="Z348" s="188"/>
      <c r="AA348" s="188"/>
      <c r="AB348" s="188"/>
      <c r="AC348" s="188"/>
      <c r="AD348" s="9"/>
      <c r="AE348" s="9"/>
      <c r="AF348" s="9"/>
      <c r="AG348" s="9"/>
      <c r="AH348" s="9"/>
      <c r="AI348" s="9"/>
      <c r="AJ348" s="9"/>
      <c r="AK348" s="9"/>
      <c r="AL348" s="9"/>
      <c r="AM348" s="9"/>
      <c r="AN348" s="9"/>
      <c r="AO348" s="9"/>
      <c r="AP348" s="9"/>
      <c r="AQ348" s="9"/>
      <c r="AR348" s="9"/>
      <c r="AS348" s="9"/>
    </row>
    <row r="349" spans="1:45">
      <c r="A349" s="98" t="s">
        <v>162</v>
      </c>
      <c r="B349" s="103"/>
      <c r="C349" s="103"/>
      <c r="D349" s="103"/>
      <c r="E349" s="226"/>
      <c r="F349" s="226"/>
      <c r="G349" s="226"/>
      <c r="H349" s="226"/>
      <c r="I349" s="226"/>
      <c r="J349" s="226"/>
      <c r="K349" s="226"/>
      <c r="L349" s="226"/>
      <c r="M349" s="226"/>
      <c r="N349" s="226"/>
      <c r="O349" s="226"/>
      <c r="P349" s="226"/>
      <c r="Q349" s="226"/>
      <c r="R349" s="226"/>
      <c r="S349" s="226"/>
      <c r="T349" s="226"/>
      <c r="U349" s="226"/>
      <c r="V349" s="112"/>
      <c r="W349" s="126"/>
      <c r="X349" s="126"/>
      <c r="Y349" s="126"/>
      <c r="Z349" s="126"/>
      <c r="AA349" s="126"/>
      <c r="AB349" s="126"/>
      <c r="AC349" s="126"/>
    </row>
    <row r="350" spans="1:45" s="177" customFormat="1" ht="27.6">
      <c r="A350" s="69" t="s">
        <v>807</v>
      </c>
      <c r="B350" s="69" t="s">
        <v>808</v>
      </c>
      <c r="C350" s="40" t="s">
        <v>312</v>
      </c>
      <c r="D350" s="40" t="s">
        <v>312</v>
      </c>
      <c r="E350" s="48" t="s">
        <v>809</v>
      </c>
      <c r="F350" s="230"/>
      <c r="G350" s="48" t="s">
        <v>810</v>
      </c>
      <c r="H350" s="230"/>
      <c r="I350" s="230"/>
      <c r="J350" s="48"/>
      <c r="K350" s="48"/>
      <c r="L350" s="48"/>
      <c r="M350" s="48"/>
      <c r="N350" s="48"/>
      <c r="O350" s="48"/>
      <c r="P350" s="48"/>
      <c r="Q350" s="48"/>
      <c r="R350" s="48"/>
      <c r="S350" s="30"/>
      <c r="T350" s="30"/>
      <c r="U350" s="30"/>
      <c r="V350" s="23">
        <v>122</v>
      </c>
      <c r="W350" s="368">
        <f t="shared" si="35"/>
        <v>45.933</v>
      </c>
      <c r="X350" s="368">
        <f t="shared" si="36"/>
        <v>45.933</v>
      </c>
      <c r="Y350" s="368">
        <f t="shared" si="37"/>
        <v>55.143999999999998</v>
      </c>
      <c r="Z350" s="368">
        <f t="shared" si="38"/>
        <v>46.238</v>
      </c>
      <c r="AA350" s="368">
        <f t="shared" si="39"/>
        <v>60.878</v>
      </c>
      <c r="AB350" s="368">
        <f t="shared" si="40"/>
        <v>52.46</v>
      </c>
      <c r="AC350" s="368">
        <f t="shared" si="41"/>
        <v>58.925999999999995</v>
      </c>
    </row>
    <row r="351" spans="1:45" s="177" customFormat="1" ht="27.6">
      <c r="A351" s="69" t="s">
        <v>811</v>
      </c>
      <c r="B351" s="69" t="s">
        <v>812</v>
      </c>
      <c r="C351" s="40" t="s">
        <v>312</v>
      </c>
      <c r="D351" s="40" t="s">
        <v>312</v>
      </c>
      <c r="E351" s="48" t="s">
        <v>813</v>
      </c>
      <c r="F351" s="230"/>
      <c r="G351" s="48" t="s">
        <v>814</v>
      </c>
      <c r="H351" s="230"/>
      <c r="I351" s="230"/>
      <c r="J351" s="48"/>
      <c r="K351" s="48"/>
      <c r="L351" s="48"/>
      <c r="M351" s="48"/>
      <c r="N351" s="48"/>
      <c r="O351" s="48"/>
      <c r="P351" s="48"/>
      <c r="Q351" s="48"/>
      <c r="R351" s="48"/>
      <c r="S351" s="30"/>
      <c r="T351" s="30"/>
      <c r="U351" s="30"/>
      <c r="V351" s="23">
        <v>249</v>
      </c>
      <c r="W351" s="368">
        <f t="shared" si="35"/>
        <v>93.748500000000007</v>
      </c>
      <c r="X351" s="368">
        <f t="shared" si="36"/>
        <v>93.748500000000007</v>
      </c>
      <c r="Y351" s="368">
        <f t="shared" si="37"/>
        <v>112.548</v>
      </c>
      <c r="Z351" s="368">
        <f t="shared" si="38"/>
        <v>94.370999999999995</v>
      </c>
      <c r="AA351" s="368">
        <f t="shared" si="39"/>
        <v>124.251</v>
      </c>
      <c r="AB351" s="368">
        <f t="shared" si="40"/>
        <v>107.07</v>
      </c>
      <c r="AC351" s="368">
        <f t="shared" si="41"/>
        <v>120.267</v>
      </c>
    </row>
    <row r="352" spans="1:45" s="177" customFormat="1">
      <c r="A352" s="69" t="s">
        <v>815</v>
      </c>
      <c r="B352" s="69" t="s">
        <v>816</v>
      </c>
      <c r="C352" s="40" t="s">
        <v>312</v>
      </c>
      <c r="D352" s="40" t="s">
        <v>312</v>
      </c>
      <c r="E352" s="48"/>
      <c r="F352" s="48"/>
      <c r="G352" s="48" t="s">
        <v>817</v>
      </c>
      <c r="H352" s="230"/>
      <c r="I352" s="230"/>
      <c r="J352" s="48"/>
      <c r="K352" s="48"/>
      <c r="L352" s="48"/>
      <c r="M352" s="48"/>
      <c r="N352" s="48"/>
      <c r="O352" s="48"/>
      <c r="P352" s="48"/>
      <c r="Q352" s="48"/>
      <c r="R352" s="48"/>
      <c r="S352" s="30"/>
      <c r="T352" s="30"/>
      <c r="U352" s="30"/>
      <c r="V352" s="23">
        <v>362</v>
      </c>
      <c r="W352" s="368">
        <f t="shared" si="35"/>
        <v>136.29300000000001</v>
      </c>
      <c r="X352" s="368">
        <f t="shared" si="36"/>
        <v>136.29300000000001</v>
      </c>
      <c r="Y352" s="368">
        <f t="shared" si="37"/>
        <v>163.624</v>
      </c>
      <c r="Z352" s="368">
        <f t="shared" si="38"/>
        <v>137.19800000000001</v>
      </c>
      <c r="AA352" s="368">
        <f t="shared" si="39"/>
        <v>180.63800000000001</v>
      </c>
      <c r="AB352" s="368">
        <f t="shared" si="40"/>
        <v>155.66</v>
      </c>
      <c r="AC352" s="368">
        <f t="shared" si="41"/>
        <v>174.846</v>
      </c>
    </row>
    <row r="353" spans="1:45" s="177" customFormat="1" ht="28.8">
      <c r="A353" s="339" t="s">
        <v>1997</v>
      </c>
      <c r="B353" s="343" t="s">
        <v>1982</v>
      </c>
      <c r="C353" s="40"/>
      <c r="D353" s="40" t="s">
        <v>1633</v>
      </c>
      <c r="E353" s="48"/>
      <c r="F353" s="339" t="s">
        <v>1980</v>
      </c>
      <c r="G353" s="48"/>
      <c r="H353" s="350" t="s">
        <v>1902</v>
      </c>
      <c r="I353" s="48"/>
      <c r="J353" s="48"/>
      <c r="K353" s="48"/>
      <c r="L353" s="48"/>
      <c r="M353" s="48"/>
      <c r="N353" s="48"/>
      <c r="O353" s="48"/>
      <c r="P353" s="48"/>
      <c r="Q353" s="48"/>
      <c r="R353" s="48"/>
      <c r="S353" s="30"/>
      <c r="T353" s="30"/>
      <c r="U353" s="30"/>
      <c r="V353" s="23">
        <v>55</v>
      </c>
      <c r="W353" s="368">
        <f t="shared" si="35"/>
        <v>20.7075</v>
      </c>
      <c r="X353" s="368">
        <f t="shared" si="36"/>
        <v>20.7075</v>
      </c>
      <c r="Y353" s="368">
        <f t="shared" si="37"/>
        <v>24.86</v>
      </c>
      <c r="Z353" s="368">
        <f t="shared" si="38"/>
        <v>20.844999999999999</v>
      </c>
      <c r="AA353" s="368">
        <f t="shared" si="39"/>
        <v>27.445</v>
      </c>
      <c r="AB353" s="368">
        <f t="shared" si="40"/>
        <v>23.65</v>
      </c>
      <c r="AC353" s="368">
        <f t="shared" si="41"/>
        <v>26.564999999999998</v>
      </c>
    </row>
    <row r="354" spans="1:45" s="177" customFormat="1" ht="28.8">
      <c r="A354" s="339" t="s">
        <v>1634</v>
      </c>
      <c r="B354" s="343" t="s">
        <v>1983</v>
      </c>
      <c r="C354" s="40" t="s">
        <v>312</v>
      </c>
      <c r="D354" s="40" t="s">
        <v>1633</v>
      </c>
      <c r="E354" s="48"/>
      <c r="F354" s="339" t="s">
        <v>1981</v>
      </c>
      <c r="G354" s="48"/>
      <c r="H354" s="350" t="s">
        <v>820</v>
      </c>
      <c r="I354" s="48"/>
      <c r="J354" s="48"/>
      <c r="K354" s="48"/>
      <c r="L354" s="48"/>
      <c r="M354" s="48"/>
      <c r="N354" s="48"/>
      <c r="O354" s="48"/>
      <c r="P354" s="48"/>
      <c r="Q354" s="48"/>
      <c r="R354" s="48"/>
      <c r="S354" s="30"/>
      <c r="T354" s="30"/>
      <c r="U354" s="30"/>
      <c r="V354" s="23">
        <v>122</v>
      </c>
      <c r="W354" s="368">
        <f t="shared" si="35"/>
        <v>45.933</v>
      </c>
      <c r="X354" s="368">
        <f t="shared" si="36"/>
        <v>45.933</v>
      </c>
      <c r="Y354" s="368">
        <f t="shared" si="37"/>
        <v>55.143999999999998</v>
      </c>
      <c r="Z354" s="368">
        <f t="shared" si="38"/>
        <v>46.238</v>
      </c>
      <c r="AA354" s="368">
        <f t="shared" si="39"/>
        <v>60.878</v>
      </c>
      <c r="AB354" s="368">
        <f t="shared" si="40"/>
        <v>52.46</v>
      </c>
      <c r="AC354" s="368">
        <f t="shared" si="41"/>
        <v>58.925999999999995</v>
      </c>
    </row>
    <row r="355" spans="1:45" s="177" customFormat="1" ht="14.4">
      <c r="A355" s="339" t="s">
        <v>1626</v>
      </c>
      <c r="B355" s="339" t="s">
        <v>1627</v>
      </c>
      <c r="C355" s="40"/>
      <c r="D355" s="40" t="s">
        <v>1625</v>
      </c>
      <c r="E355" s="48"/>
      <c r="F355" s="306" t="s">
        <v>818</v>
      </c>
      <c r="G355" s="48"/>
      <c r="H355" s="48"/>
      <c r="I355" s="48"/>
      <c r="J355" s="48"/>
      <c r="K355" s="48"/>
      <c r="L355" s="48"/>
      <c r="M355" s="48"/>
      <c r="N355" s="48"/>
      <c r="O355" s="48"/>
      <c r="P355" s="48"/>
      <c r="Q355" s="48"/>
      <c r="R355" s="48"/>
      <c r="S355" s="30"/>
      <c r="T355" s="30"/>
      <c r="U355" s="30"/>
      <c r="V355" s="23">
        <v>110</v>
      </c>
      <c r="W355" s="368">
        <f t="shared" si="35"/>
        <v>41.414999999999999</v>
      </c>
      <c r="X355" s="368">
        <f t="shared" si="36"/>
        <v>41.414999999999999</v>
      </c>
      <c r="Y355" s="368">
        <f t="shared" si="37"/>
        <v>49.72</v>
      </c>
      <c r="Z355" s="368">
        <f t="shared" si="38"/>
        <v>41.69</v>
      </c>
      <c r="AA355" s="368">
        <f t="shared" si="39"/>
        <v>54.89</v>
      </c>
      <c r="AB355" s="368">
        <f t="shared" si="40"/>
        <v>47.3</v>
      </c>
      <c r="AC355" s="368">
        <f t="shared" si="41"/>
        <v>53.129999999999995</v>
      </c>
    </row>
    <row r="356" spans="1:45" s="177" customFormat="1" ht="14.4">
      <c r="A356" s="339" t="s">
        <v>1628</v>
      </c>
      <c r="B356" s="339" t="s">
        <v>1629</v>
      </c>
      <c r="C356" s="40"/>
      <c r="D356" s="40" t="s">
        <v>1625</v>
      </c>
      <c r="E356" s="48"/>
      <c r="F356" s="306" t="s">
        <v>819</v>
      </c>
      <c r="G356" s="48"/>
      <c r="H356" s="350" t="s">
        <v>821</v>
      </c>
      <c r="I356" s="48"/>
      <c r="J356" s="48"/>
      <c r="K356" s="48"/>
      <c r="L356" s="48"/>
      <c r="M356" s="48"/>
      <c r="N356" s="48"/>
      <c r="O356" s="48"/>
      <c r="P356" s="48"/>
      <c r="Q356" s="48"/>
      <c r="R356" s="48"/>
      <c r="S356" s="30"/>
      <c r="T356" s="30"/>
      <c r="U356" s="30"/>
      <c r="V356" s="23">
        <v>160</v>
      </c>
      <c r="W356" s="368">
        <f t="shared" si="35"/>
        <v>60.24</v>
      </c>
      <c r="X356" s="368">
        <f t="shared" si="36"/>
        <v>60.24</v>
      </c>
      <c r="Y356" s="368">
        <f t="shared" si="37"/>
        <v>72.320000000000007</v>
      </c>
      <c r="Z356" s="368">
        <f t="shared" si="38"/>
        <v>60.64</v>
      </c>
      <c r="AA356" s="368">
        <f t="shared" si="39"/>
        <v>79.84</v>
      </c>
      <c r="AB356" s="368">
        <f t="shared" si="40"/>
        <v>68.8</v>
      </c>
      <c r="AC356" s="368">
        <f t="shared" si="41"/>
        <v>77.28</v>
      </c>
    </row>
    <row r="357" spans="1:45" s="177" customFormat="1" ht="14.4">
      <c r="A357" s="339" t="s">
        <v>1631</v>
      </c>
      <c r="B357" s="339" t="s">
        <v>1632</v>
      </c>
      <c r="C357" s="40" t="s">
        <v>312</v>
      </c>
      <c r="D357" s="40" t="s">
        <v>1630</v>
      </c>
      <c r="E357" s="48"/>
      <c r="F357" s="48"/>
      <c r="G357" s="48"/>
      <c r="H357" s="350" t="s">
        <v>822</v>
      </c>
      <c r="I357" s="48"/>
      <c r="J357" s="48"/>
      <c r="K357" s="48"/>
      <c r="L357" s="48"/>
      <c r="M357" s="48"/>
      <c r="N357" s="48"/>
      <c r="O357" s="48"/>
      <c r="P357" s="48"/>
      <c r="Q357" s="48"/>
      <c r="R357" s="48"/>
      <c r="S357" s="30"/>
      <c r="T357" s="30"/>
      <c r="U357" s="30"/>
      <c r="V357" s="23">
        <v>249</v>
      </c>
      <c r="W357" s="368">
        <f t="shared" si="35"/>
        <v>93.748500000000007</v>
      </c>
      <c r="X357" s="368">
        <f t="shared" si="36"/>
        <v>93.748500000000007</v>
      </c>
      <c r="Y357" s="368">
        <f t="shared" si="37"/>
        <v>112.548</v>
      </c>
      <c r="Z357" s="368">
        <f t="shared" si="38"/>
        <v>94.370999999999995</v>
      </c>
      <c r="AA357" s="368">
        <f t="shared" si="39"/>
        <v>124.251</v>
      </c>
      <c r="AB357" s="368">
        <f t="shared" si="40"/>
        <v>107.07</v>
      </c>
      <c r="AC357" s="368">
        <f t="shared" si="41"/>
        <v>120.267</v>
      </c>
    </row>
    <row r="358" spans="1:45" s="177" customFormat="1">
      <c r="B358" s="140"/>
      <c r="C358" s="134"/>
      <c r="D358" s="134"/>
      <c r="E358" s="45"/>
      <c r="F358" s="45"/>
      <c r="G358" s="45"/>
      <c r="H358" s="45"/>
      <c r="I358" s="45"/>
      <c r="J358" s="45"/>
      <c r="K358" s="45"/>
      <c r="L358" s="45"/>
      <c r="M358" s="45"/>
      <c r="N358" s="45"/>
      <c r="O358" s="45"/>
      <c r="P358" s="45"/>
      <c r="Q358" s="45"/>
      <c r="R358" s="45"/>
      <c r="S358" s="45"/>
      <c r="T358" s="45"/>
      <c r="U358" s="45"/>
      <c r="V358" s="28"/>
      <c r="W358" s="369"/>
      <c r="X358" s="369"/>
      <c r="Y358" s="369"/>
      <c r="Z358" s="369"/>
      <c r="AA358" s="369"/>
      <c r="AB358" s="369"/>
      <c r="AC358" s="369"/>
      <c r="AD358" s="172"/>
      <c r="AE358" s="172"/>
      <c r="AF358" s="172"/>
      <c r="AG358" s="172"/>
      <c r="AH358" s="172"/>
      <c r="AI358" s="172"/>
      <c r="AJ358" s="172"/>
      <c r="AK358" s="172"/>
      <c r="AL358" s="172"/>
      <c r="AM358" s="172"/>
      <c r="AN358" s="172"/>
      <c r="AO358" s="172"/>
      <c r="AP358" s="172"/>
      <c r="AQ358" s="172"/>
      <c r="AR358" s="172"/>
      <c r="AS358" s="172"/>
    </row>
    <row r="359" spans="1:45" s="177" customFormat="1">
      <c r="A359" s="98" t="s">
        <v>1998</v>
      </c>
      <c r="B359" s="103"/>
      <c r="C359" s="103"/>
      <c r="D359" s="103"/>
      <c r="E359" s="226" t="s">
        <v>803</v>
      </c>
      <c r="F359" s="226" t="s">
        <v>804</v>
      </c>
      <c r="G359" s="226" t="s">
        <v>805</v>
      </c>
      <c r="H359" s="226" t="s">
        <v>806</v>
      </c>
      <c r="I359" s="226"/>
      <c r="J359" s="226"/>
      <c r="K359" s="226"/>
      <c r="L359" s="226"/>
      <c r="M359" s="226"/>
      <c r="N359" s="226"/>
      <c r="O359" s="226"/>
      <c r="P359" s="226"/>
      <c r="Q359" s="226"/>
      <c r="R359" s="226"/>
      <c r="S359" s="226"/>
      <c r="T359" s="226"/>
      <c r="U359" s="226"/>
      <c r="V359" s="112"/>
      <c r="W359" s="126"/>
      <c r="X359" s="126"/>
      <c r="Y359" s="126"/>
      <c r="Z359" s="126"/>
      <c r="AA359" s="126"/>
      <c r="AB359" s="126"/>
      <c r="AC359" s="126"/>
      <c r="AD359" s="172"/>
      <c r="AE359" s="172"/>
      <c r="AF359" s="172"/>
      <c r="AG359" s="172"/>
      <c r="AH359" s="172"/>
      <c r="AI359" s="172"/>
      <c r="AJ359" s="172"/>
      <c r="AK359" s="172"/>
      <c r="AL359" s="172"/>
      <c r="AM359" s="172"/>
      <c r="AN359" s="172"/>
      <c r="AO359" s="172"/>
      <c r="AP359" s="172"/>
      <c r="AQ359" s="172"/>
      <c r="AR359" s="172"/>
      <c r="AS359" s="172"/>
    </row>
    <row r="360" spans="1:45" s="176" customFormat="1">
      <c r="A360" s="69" t="s">
        <v>823</v>
      </c>
      <c r="B360" s="69" t="s">
        <v>824</v>
      </c>
      <c r="C360" s="40"/>
      <c r="D360" s="40"/>
      <c r="E360" s="48" t="s">
        <v>825</v>
      </c>
      <c r="F360" s="230"/>
      <c r="G360" s="48"/>
      <c r="H360" s="48"/>
      <c r="I360" s="48"/>
      <c r="J360" s="48"/>
      <c r="K360" s="48"/>
      <c r="L360" s="48"/>
      <c r="M360" s="48"/>
      <c r="N360" s="48"/>
      <c r="O360" s="48"/>
      <c r="P360" s="48"/>
      <c r="Q360" s="48"/>
      <c r="R360" s="48"/>
      <c r="S360" s="30"/>
      <c r="T360" s="30"/>
      <c r="U360" s="30"/>
      <c r="V360" s="23">
        <v>0</v>
      </c>
      <c r="W360" s="368">
        <f t="shared" si="35"/>
        <v>0</v>
      </c>
      <c r="X360" s="368">
        <f t="shared" si="36"/>
        <v>0</v>
      </c>
      <c r="Y360" s="368">
        <f t="shared" si="37"/>
        <v>0</v>
      </c>
      <c r="Z360" s="368">
        <f t="shared" si="38"/>
        <v>0</v>
      </c>
      <c r="AA360" s="368">
        <f t="shared" si="39"/>
        <v>0</v>
      </c>
      <c r="AB360" s="368">
        <f t="shared" si="40"/>
        <v>0</v>
      </c>
      <c r="AC360" s="368">
        <f t="shared" si="41"/>
        <v>0</v>
      </c>
      <c r="AD360" s="172"/>
      <c r="AE360" s="172"/>
      <c r="AF360" s="172"/>
      <c r="AG360" s="172"/>
      <c r="AH360" s="172"/>
      <c r="AI360" s="172"/>
      <c r="AJ360" s="172"/>
      <c r="AK360" s="172"/>
      <c r="AL360" s="172"/>
      <c r="AM360" s="172"/>
      <c r="AN360" s="172"/>
      <c r="AO360" s="172"/>
      <c r="AP360" s="172"/>
      <c r="AQ360" s="172"/>
      <c r="AR360" s="172"/>
      <c r="AS360" s="172"/>
    </row>
    <row r="361" spans="1:45" s="176" customFormat="1">
      <c r="A361" s="69" t="s">
        <v>826</v>
      </c>
      <c r="B361" s="69" t="s">
        <v>827</v>
      </c>
      <c r="C361" s="40"/>
      <c r="D361" s="40"/>
      <c r="E361" s="48" t="s">
        <v>828</v>
      </c>
      <c r="F361" s="230"/>
      <c r="G361" s="48"/>
      <c r="H361" s="48"/>
      <c r="I361" s="48"/>
      <c r="J361" s="48"/>
      <c r="K361" s="48"/>
      <c r="L361" s="48"/>
      <c r="M361" s="48"/>
      <c r="N361" s="48"/>
      <c r="O361" s="48"/>
      <c r="P361" s="48"/>
      <c r="Q361" s="48"/>
      <c r="R361" s="48"/>
      <c r="S361" s="30"/>
      <c r="T361" s="30"/>
      <c r="U361" s="30"/>
      <c r="V361" s="23">
        <v>46</v>
      </c>
      <c r="W361" s="368">
        <f t="shared" si="35"/>
        <v>17.318999999999999</v>
      </c>
      <c r="X361" s="368">
        <f t="shared" si="36"/>
        <v>17.318999999999999</v>
      </c>
      <c r="Y361" s="368">
        <f t="shared" si="37"/>
        <v>20.792000000000002</v>
      </c>
      <c r="Z361" s="368">
        <f t="shared" si="38"/>
        <v>17.434000000000001</v>
      </c>
      <c r="AA361" s="368">
        <f t="shared" si="39"/>
        <v>22.954000000000001</v>
      </c>
      <c r="AB361" s="368">
        <f t="shared" si="40"/>
        <v>19.78</v>
      </c>
      <c r="AC361" s="368">
        <f t="shared" si="41"/>
        <v>22.218</v>
      </c>
      <c r="AD361" s="172"/>
      <c r="AE361" s="172"/>
      <c r="AF361" s="172"/>
      <c r="AG361" s="172"/>
      <c r="AH361" s="172"/>
      <c r="AI361" s="172"/>
      <c r="AJ361" s="172"/>
      <c r="AK361" s="172"/>
      <c r="AL361" s="172"/>
      <c r="AM361" s="172"/>
      <c r="AN361" s="172"/>
      <c r="AO361" s="172"/>
      <c r="AP361" s="172"/>
      <c r="AQ361" s="172"/>
      <c r="AR361" s="172"/>
      <c r="AS361" s="172"/>
    </row>
    <row r="362" spans="1:45" s="176" customFormat="1">
      <c r="A362" s="69" t="s">
        <v>829</v>
      </c>
      <c r="B362" s="69" t="s">
        <v>830</v>
      </c>
      <c r="C362" s="40"/>
      <c r="D362" s="40"/>
      <c r="E362" s="48" t="s">
        <v>831</v>
      </c>
      <c r="F362" s="230"/>
      <c r="G362" s="48"/>
      <c r="H362" s="48"/>
      <c r="I362" s="48"/>
      <c r="J362" s="48"/>
      <c r="K362" s="48"/>
      <c r="L362" s="48"/>
      <c r="M362" s="48"/>
      <c r="N362" s="48"/>
      <c r="O362" s="48"/>
      <c r="P362" s="48"/>
      <c r="Q362" s="48"/>
      <c r="R362" s="48"/>
      <c r="S362" s="30"/>
      <c r="T362" s="30"/>
      <c r="U362" s="30"/>
      <c r="V362" s="23">
        <v>76</v>
      </c>
      <c r="W362" s="368">
        <f t="shared" si="35"/>
        <v>28.614000000000001</v>
      </c>
      <c r="X362" s="368">
        <f t="shared" si="36"/>
        <v>28.614000000000001</v>
      </c>
      <c r="Y362" s="368">
        <f t="shared" si="37"/>
        <v>34.352000000000004</v>
      </c>
      <c r="Z362" s="368">
        <f t="shared" si="38"/>
        <v>28.804000000000002</v>
      </c>
      <c r="AA362" s="368">
        <f t="shared" si="39"/>
        <v>37.923999999999999</v>
      </c>
      <c r="AB362" s="368">
        <f t="shared" si="40"/>
        <v>32.68</v>
      </c>
      <c r="AC362" s="368">
        <f t="shared" si="41"/>
        <v>36.707999999999998</v>
      </c>
      <c r="AD362" s="172"/>
      <c r="AE362" s="172"/>
      <c r="AF362" s="172"/>
      <c r="AG362" s="172"/>
      <c r="AH362" s="172"/>
      <c r="AI362" s="172"/>
      <c r="AJ362" s="172"/>
      <c r="AK362" s="172"/>
      <c r="AL362" s="172"/>
      <c r="AM362" s="172"/>
      <c r="AN362" s="172"/>
      <c r="AO362" s="172"/>
      <c r="AP362" s="172"/>
      <c r="AQ362" s="172"/>
      <c r="AR362" s="172"/>
      <c r="AS362" s="172"/>
    </row>
    <row r="363" spans="1:45" s="176" customFormat="1" ht="27.6">
      <c r="A363" s="69" t="s">
        <v>832</v>
      </c>
      <c r="B363" s="69" t="s">
        <v>833</v>
      </c>
      <c r="C363" s="40"/>
      <c r="D363" s="40"/>
      <c r="E363" s="48" t="s">
        <v>834</v>
      </c>
      <c r="F363" s="230"/>
      <c r="G363" s="48"/>
      <c r="H363" s="48"/>
      <c r="I363" s="48"/>
      <c r="J363" s="48"/>
      <c r="K363" s="48"/>
      <c r="L363" s="48"/>
      <c r="M363" s="48"/>
      <c r="N363" s="48"/>
      <c r="O363" s="48"/>
      <c r="P363" s="48"/>
      <c r="Q363" s="48"/>
      <c r="R363" s="48"/>
      <c r="S363" s="30"/>
      <c r="T363" s="30"/>
      <c r="U363" s="30"/>
      <c r="V363" s="23">
        <v>46</v>
      </c>
      <c r="W363" s="368">
        <f t="shared" si="35"/>
        <v>17.318999999999999</v>
      </c>
      <c r="X363" s="368">
        <f t="shared" si="36"/>
        <v>17.318999999999999</v>
      </c>
      <c r="Y363" s="368">
        <f t="shared" si="37"/>
        <v>20.792000000000002</v>
      </c>
      <c r="Z363" s="368">
        <f t="shared" si="38"/>
        <v>17.434000000000001</v>
      </c>
      <c r="AA363" s="368">
        <f t="shared" si="39"/>
        <v>22.954000000000001</v>
      </c>
      <c r="AB363" s="368">
        <f t="shared" si="40"/>
        <v>19.78</v>
      </c>
      <c r="AC363" s="368">
        <f t="shared" si="41"/>
        <v>22.218</v>
      </c>
      <c r="AD363" s="172"/>
      <c r="AE363" s="172"/>
      <c r="AF363" s="172"/>
      <c r="AG363" s="172"/>
      <c r="AH363" s="172"/>
      <c r="AI363" s="172"/>
      <c r="AJ363" s="172"/>
      <c r="AK363" s="172"/>
      <c r="AL363" s="172"/>
      <c r="AM363" s="172"/>
      <c r="AN363" s="172"/>
      <c r="AO363" s="172"/>
      <c r="AP363" s="172"/>
      <c r="AQ363" s="172"/>
      <c r="AR363" s="172"/>
      <c r="AS363" s="172"/>
    </row>
    <row r="364" spans="1:45" s="176" customFormat="1" ht="27.6">
      <c r="A364" s="69" t="s">
        <v>835</v>
      </c>
      <c r="B364" s="69" t="s">
        <v>836</v>
      </c>
      <c r="C364" s="40"/>
      <c r="D364" s="40"/>
      <c r="E364" s="48" t="s">
        <v>837</v>
      </c>
      <c r="F364" s="230"/>
      <c r="G364" s="48"/>
      <c r="H364" s="48"/>
      <c r="I364" s="48"/>
      <c r="J364" s="48"/>
      <c r="K364" s="48"/>
      <c r="L364" s="48"/>
      <c r="M364" s="48"/>
      <c r="N364" s="48"/>
      <c r="O364" s="48"/>
      <c r="P364" s="48"/>
      <c r="Q364" s="48"/>
      <c r="R364" s="48"/>
      <c r="S364" s="30"/>
      <c r="T364" s="30"/>
      <c r="U364" s="30"/>
      <c r="V364" s="23">
        <v>76</v>
      </c>
      <c r="W364" s="368">
        <f t="shared" si="35"/>
        <v>28.614000000000001</v>
      </c>
      <c r="X364" s="368">
        <f t="shared" si="36"/>
        <v>28.614000000000001</v>
      </c>
      <c r="Y364" s="368">
        <f t="shared" si="37"/>
        <v>34.352000000000004</v>
      </c>
      <c r="Z364" s="368">
        <f t="shared" si="38"/>
        <v>28.804000000000002</v>
      </c>
      <c r="AA364" s="368">
        <f t="shared" si="39"/>
        <v>37.923999999999999</v>
      </c>
      <c r="AB364" s="368">
        <f t="shared" si="40"/>
        <v>32.68</v>
      </c>
      <c r="AC364" s="368">
        <f t="shared" si="41"/>
        <v>36.707999999999998</v>
      </c>
      <c r="AD364" s="172"/>
      <c r="AE364" s="172"/>
      <c r="AF364" s="172"/>
      <c r="AG364" s="172"/>
      <c r="AH364" s="172"/>
      <c r="AI364" s="172"/>
      <c r="AJ364" s="172"/>
      <c r="AK364" s="172"/>
      <c r="AL364" s="172"/>
      <c r="AM364" s="172"/>
      <c r="AN364" s="172"/>
      <c r="AO364" s="172"/>
      <c r="AP364" s="172"/>
      <c r="AQ364" s="172"/>
      <c r="AR364" s="172"/>
      <c r="AS364" s="172"/>
    </row>
    <row r="365" spans="1:45" s="177" customFormat="1" ht="31.5" customHeight="1">
      <c r="A365" s="69" t="s">
        <v>1972</v>
      </c>
      <c r="B365" s="339" t="s">
        <v>842</v>
      </c>
      <c r="C365" s="40"/>
      <c r="D365" s="40"/>
      <c r="E365" s="48"/>
      <c r="F365" s="306" t="s">
        <v>843</v>
      </c>
      <c r="G365" s="48"/>
      <c r="H365" s="48"/>
      <c r="I365" s="48"/>
      <c r="J365" s="48"/>
      <c r="K365" s="48"/>
      <c r="L365" s="48"/>
      <c r="M365" s="48"/>
      <c r="N365" s="48"/>
      <c r="O365" s="48"/>
      <c r="P365" s="48"/>
      <c r="Q365" s="48"/>
      <c r="R365" s="48"/>
      <c r="S365" s="30"/>
      <c r="T365" s="30"/>
      <c r="U365" s="30"/>
      <c r="V365" s="23">
        <v>0</v>
      </c>
      <c r="W365" s="368">
        <f t="shared" si="35"/>
        <v>0</v>
      </c>
      <c r="X365" s="368">
        <f t="shared" si="36"/>
        <v>0</v>
      </c>
      <c r="Y365" s="368">
        <f t="shared" si="37"/>
        <v>0</v>
      </c>
      <c r="Z365" s="368">
        <f t="shared" si="38"/>
        <v>0</v>
      </c>
      <c r="AA365" s="368">
        <f t="shared" si="39"/>
        <v>0</v>
      </c>
      <c r="AB365" s="368">
        <f t="shared" si="40"/>
        <v>0</v>
      </c>
      <c r="AC365" s="368">
        <f t="shared" si="41"/>
        <v>0</v>
      </c>
    </row>
    <row r="366" spans="1:45" s="177" customFormat="1" ht="31.5" customHeight="1">
      <c r="A366" s="69" t="s">
        <v>1939</v>
      </c>
      <c r="B366" s="339" t="s">
        <v>838</v>
      </c>
      <c r="C366" s="40"/>
      <c r="D366" s="40"/>
      <c r="E366" s="48"/>
      <c r="F366" s="306" t="s">
        <v>839</v>
      </c>
      <c r="G366" s="48"/>
      <c r="H366" s="48"/>
      <c r="I366" s="48"/>
      <c r="J366" s="48"/>
      <c r="K366" s="48"/>
      <c r="L366" s="48"/>
      <c r="M366" s="48"/>
      <c r="N366" s="48"/>
      <c r="O366" s="48"/>
      <c r="P366" s="48"/>
      <c r="Q366" s="48"/>
      <c r="R366" s="48"/>
      <c r="S366" s="30"/>
      <c r="T366" s="30"/>
      <c r="U366" s="30"/>
      <c r="V366" s="23">
        <v>76</v>
      </c>
      <c r="W366" s="368">
        <f t="shared" si="35"/>
        <v>28.614000000000001</v>
      </c>
      <c r="X366" s="368">
        <f t="shared" si="36"/>
        <v>28.614000000000001</v>
      </c>
      <c r="Y366" s="368">
        <f t="shared" si="37"/>
        <v>34.352000000000004</v>
      </c>
      <c r="Z366" s="368">
        <f t="shared" si="38"/>
        <v>28.804000000000002</v>
      </c>
      <c r="AA366" s="368">
        <f t="shared" si="39"/>
        <v>37.923999999999999</v>
      </c>
      <c r="AB366" s="368">
        <f t="shared" si="40"/>
        <v>32.68</v>
      </c>
      <c r="AC366" s="368">
        <f t="shared" si="41"/>
        <v>36.707999999999998</v>
      </c>
    </row>
    <row r="367" spans="1:45" s="177" customFormat="1" ht="31.5" customHeight="1">
      <c r="A367" s="69" t="s">
        <v>1973</v>
      </c>
      <c r="B367" s="339" t="s">
        <v>840</v>
      </c>
      <c r="C367" s="40"/>
      <c r="D367" s="40"/>
      <c r="E367" s="48"/>
      <c r="F367" s="306" t="s">
        <v>841</v>
      </c>
      <c r="G367" s="48"/>
      <c r="H367" s="48"/>
      <c r="I367" s="48"/>
      <c r="J367" s="48"/>
      <c r="K367" s="48"/>
      <c r="L367" s="48"/>
      <c r="M367" s="48"/>
      <c r="N367" s="48"/>
      <c r="O367" s="48"/>
      <c r="P367" s="48"/>
      <c r="Q367" s="48"/>
      <c r="R367" s="48"/>
      <c r="S367" s="30"/>
      <c r="T367" s="30"/>
      <c r="U367" s="30"/>
      <c r="V367" s="23">
        <v>76</v>
      </c>
      <c r="W367" s="368">
        <f t="shared" si="35"/>
        <v>28.614000000000001</v>
      </c>
      <c r="X367" s="368">
        <f t="shared" si="36"/>
        <v>28.614000000000001</v>
      </c>
      <c r="Y367" s="368">
        <f t="shared" si="37"/>
        <v>34.352000000000004</v>
      </c>
      <c r="Z367" s="368">
        <f t="shared" si="38"/>
        <v>28.804000000000002</v>
      </c>
      <c r="AA367" s="368">
        <f t="shared" si="39"/>
        <v>37.923999999999999</v>
      </c>
      <c r="AB367" s="368">
        <f t="shared" si="40"/>
        <v>32.68</v>
      </c>
      <c r="AC367" s="368">
        <f t="shared" si="41"/>
        <v>36.707999999999998</v>
      </c>
    </row>
    <row r="368" spans="1:45" s="177" customFormat="1" ht="31.5" customHeight="1">
      <c r="A368" s="69" t="s">
        <v>1976</v>
      </c>
      <c r="B368" s="339" t="s">
        <v>844</v>
      </c>
      <c r="C368" s="40"/>
      <c r="D368" s="40"/>
      <c r="E368" s="48"/>
      <c r="F368" s="306" t="s">
        <v>845</v>
      </c>
      <c r="G368" s="48"/>
      <c r="H368" s="48"/>
      <c r="I368" s="48"/>
      <c r="J368" s="48"/>
      <c r="K368" s="48"/>
      <c r="L368" s="48"/>
      <c r="M368" s="48"/>
      <c r="N368" s="48"/>
      <c r="O368" s="48"/>
      <c r="P368" s="48"/>
      <c r="Q368" s="48"/>
      <c r="R368" s="48"/>
      <c r="S368" s="30"/>
      <c r="T368" s="30"/>
      <c r="U368" s="30"/>
      <c r="V368" s="23">
        <v>22</v>
      </c>
      <c r="W368" s="368">
        <f t="shared" si="35"/>
        <v>8.2829999999999995</v>
      </c>
      <c r="X368" s="368">
        <f t="shared" si="36"/>
        <v>8.2829999999999995</v>
      </c>
      <c r="Y368" s="368">
        <f t="shared" si="37"/>
        <v>9.9440000000000008</v>
      </c>
      <c r="Z368" s="368">
        <f t="shared" si="38"/>
        <v>8.338000000000001</v>
      </c>
      <c r="AA368" s="368">
        <f t="shared" si="39"/>
        <v>10.978</v>
      </c>
      <c r="AB368" s="368">
        <f t="shared" si="40"/>
        <v>9.4599999999999991</v>
      </c>
      <c r="AC368" s="368">
        <f t="shared" si="41"/>
        <v>10.625999999999999</v>
      </c>
    </row>
    <row r="369" spans="1:45" s="177" customFormat="1" ht="31.5" customHeight="1">
      <c r="A369" s="69" t="s">
        <v>1974</v>
      </c>
      <c r="B369" s="339" t="s">
        <v>846</v>
      </c>
      <c r="C369" s="40"/>
      <c r="D369" s="40"/>
      <c r="E369" s="48"/>
      <c r="F369" s="306" t="s">
        <v>847</v>
      </c>
      <c r="G369" s="48"/>
      <c r="H369" s="48"/>
      <c r="I369" s="48"/>
      <c r="J369" s="48"/>
      <c r="K369" s="48"/>
      <c r="L369" s="48"/>
      <c r="M369" s="48"/>
      <c r="N369" s="48"/>
      <c r="O369" s="48"/>
      <c r="P369" s="48"/>
      <c r="Q369" s="48"/>
      <c r="R369" s="48"/>
      <c r="S369" s="30"/>
      <c r="T369" s="30"/>
      <c r="U369" s="30"/>
      <c r="V369" s="23">
        <v>72</v>
      </c>
      <c r="W369" s="368">
        <f t="shared" si="35"/>
        <v>27.108000000000001</v>
      </c>
      <c r="X369" s="368">
        <f t="shared" si="36"/>
        <v>27.108000000000001</v>
      </c>
      <c r="Y369" s="368">
        <f t="shared" si="37"/>
        <v>32.544000000000004</v>
      </c>
      <c r="Z369" s="368">
        <f t="shared" si="38"/>
        <v>27.288</v>
      </c>
      <c r="AA369" s="368">
        <f t="shared" si="39"/>
        <v>35.927999999999997</v>
      </c>
      <c r="AB369" s="368">
        <f t="shared" si="40"/>
        <v>30.96</v>
      </c>
      <c r="AC369" s="368">
        <f t="shared" si="41"/>
        <v>34.775999999999996</v>
      </c>
    </row>
    <row r="370" spans="1:45" s="177" customFormat="1">
      <c r="A370" s="235"/>
      <c r="B370" s="140"/>
      <c r="C370" s="134"/>
      <c r="D370" s="134"/>
      <c r="E370" s="45"/>
      <c r="F370" s="45"/>
      <c r="G370" s="45"/>
      <c r="H370" s="45"/>
      <c r="I370" s="45"/>
      <c r="J370" s="45"/>
      <c r="K370" s="45"/>
      <c r="L370" s="45"/>
      <c r="M370" s="45"/>
      <c r="N370" s="45"/>
      <c r="O370" s="45"/>
      <c r="P370" s="45"/>
      <c r="Q370" s="45"/>
      <c r="R370" s="45"/>
      <c r="S370" s="45"/>
      <c r="T370" s="45"/>
      <c r="U370" s="45"/>
      <c r="V370" s="28"/>
      <c r="W370" s="369"/>
      <c r="X370" s="369"/>
      <c r="Y370" s="369"/>
      <c r="Z370" s="369"/>
      <c r="AA370" s="369"/>
      <c r="AB370" s="369"/>
      <c r="AC370" s="369"/>
      <c r="AD370" s="172"/>
      <c r="AE370" s="172"/>
      <c r="AF370" s="172"/>
      <c r="AG370" s="172"/>
      <c r="AH370" s="172"/>
      <c r="AI370" s="172"/>
      <c r="AJ370" s="172"/>
      <c r="AK370" s="172"/>
      <c r="AL370" s="172"/>
      <c r="AM370" s="172"/>
      <c r="AN370" s="172"/>
      <c r="AO370" s="172"/>
      <c r="AP370" s="172"/>
      <c r="AQ370" s="172"/>
      <c r="AR370" s="172"/>
      <c r="AS370" s="172"/>
    </row>
    <row r="371" spans="1:45" s="177" customFormat="1">
      <c r="A371" s="98" t="s">
        <v>1999</v>
      </c>
      <c r="B371" s="103"/>
      <c r="C371" s="103"/>
      <c r="D371" s="103"/>
      <c r="E371" s="226" t="s">
        <v>803</v>
      </c>
      <c r="F371" s="226" t="s">
        <v>804</v>
      </c>
      <c r="G371" s="226" t="s">
        <v>805</v>
      </c>
      <c r="H371" s="226" t="s">
        <v>806</v>
      </c>
      <c r="I371" s="226"/>
      <c r="J371" s="226"/>
      <c r="K371" s="226"/>
      <c r="L371" s="226"/>
      <c r="M371" s="226"/>
      <c r="N371" s="226"/>
      <c r="O371" s="226"/>
      <c r="P371" s="226"/>
      <c r="Q371" s="226"/>
      <c r="R371" s="226"/>
      <c r="S371" s="226"/>
      <c r="T371" s="226"/>
      <c r="U371" s="226"/>
      <c r="V371" s="112"/>
      <c r="W371" s="126"/>
      <c r="X371" s="126"/>
      <c r="Y371" s="126"/>
      <c r="Z371" s="126"/>
      <c r="AA371" s="126"/>
      <c r="AB371" s="126"/>
      <c r="AC371" s="126"/>
      <c r="AD371" s="172"/>
      <c r="AE371" s="172"/>
      <c r="AF371" s="172"/>
      <c r="AG371" s="172"/>
      <c r="AH371" s="172"/>
      <c r="AI371" s="172"/>
      <c r="AJ371" s="172"/>
      <c r="AK371" s="172"/>
      <c r="AL371" s="172"/>
      <c r="AM371" s="172"/>
      <c r="AN371" s="172"/>
      <c r="AO371" s="172"/>
      <c r="AP371" s="172"/>
      <c r="AQ371" s="172"/>
      <c r="AR371" s="172"/>
      <c r="AS371" s="172"/>
    </row>
    <row r="372" spans="1:45" s="176" customFormat="1">
      <c r="A372" s="69" t="s">
        <v>848</v>
      </c>
      <c r="B372" s="69" t="s">
        <v>849</v>
      </c>
      <c r="C372" s="150"/>
      <c r="D372" s="150"/>
      <c r="E372" s="48"/>
      <c r="F372" s="48"/>
      <c r="G372" s="69" t="s">
        <v>850</v>
      </c>
      <c r="H372" s="230"/>
      <c r="I372" s="230"/>
      <c r="J372" s="69"/>
      <c r="K372" s="69"/>
      <c r="L372" s="69"/>
      <c r="M372" s="104"/>
      <c r="N372" s="104"/>
      <c r="O372" s="104"/>
      <c r="P372" s="104"/>
      <c r="Q372" s="104"/>
      <c r="R372" s="104"/>
      <c r="S372" s="104"/>
      <c r="T372" s="104"/>
      <c r="U372" s="104"/>
      <c r="V372" s="294">
        <v>0</v>
      </c>
      <c r="W372" s="375">
        <f t="shared" si="35"/>
        <v>0</v>
      </c>
      <c r="X372" s="375">
        <f t="shared" si="36"/>
        <v>0</v>
      </c>
      <c r="Y372" s="375">
        <f t="shared" si="37"/>
        <v>0</v>
      </c>
      <c r="Z372" s="375">
        <f t="shared" si="38"/>
        <v>0</v>
      </c>
      <c r="AA372" s="375">
        <f t="shared" si="39"/>
        <v>0</v>
      </c>
      <c r="AB372" s="375">
        <f t="shared" si="40"/>
        <v>0</v>
      </c>
      <c r="AC372" s="375">
        <f t="shared" si="41"/>
        <v>0</v>
      </c>
      <c r="AD372" s="172"/>
      <c r="AE372" s="172"/>
      <c r="AF372" s="172"/>
      <c r="AG372" s="172"/>
      <c r="AH372" s="172"/>
      <c r="AI372" s="172"/>
      <c r="AJ372" s="172"/>
      <c r="AK372" s="172"/>
      <c r="AL372" s="172"/>
      <c r="AM372" s="172"/>
      <c r="AN372" s="172"/>
      <c r="AO372" s="172"/>
      <c r="AP372" s="172"/>
      <c r="AQ372" s="172"/>
      <c r="AR372" s="172"/>
      <c r="AS372" s="172"/>
    </row>
    <row r="373" spans="1:45" s="176" customFormat="1">
      <c r="A373" s="69" t="s">
        <v>851</v>
      </c>
      <c r="B373" s="69" t="s">
        <v>852</v>
      </c>
      <c r="C373" s="150"/>
      <c r="D373" s="150"/>
      <c r="E373" s="48"/>
      <c r="F373" s="48"/>
      <c r="G373" s="69" t="s">
        <v>853</v>
      </c>
      <c r="H373" s="230"/>
      <c r="I373" s="230"/>
      <c r="J373" s="69"/>
      <c r="K373" s="69"/>
      <c r="L373" s="69"/>
      <c r="M373" s="104"/>
      <c r="N373" s="104"/>
      <c r="O373" s="104"/>
      <c r="P373" s="104"/>
      <c r="Q373" s="104"/>
      <c r="R373" s="104"/>
      <c r="S373" s="104"/>
      <c r="T373" s="104"/>
      <c r="U373" s="104"/>
      <c r="V373" s="23">
        <v>20</v>
      </c>
      <c r="W373" s="368">
        <f t="shared" si="35"/>
        <v>7.53</v>
      </c>
      <c r="X373" s="368">
        <f t="shared" si="36"/>
        <v>7.53</v>
      </c>
      <c r="Y373" s="368">
        <f t="shared" si="37"/>
        <v>9.0400000000000009</v>
      </c>
      <c r="Z373" s="368">
        <f t="shared" si="38"/>
        <v>7.58</v>
      </c>
      <c r="AA373" s="368">
        <f t="shared" si="39"/>
        <v>9.98</v>
      </c>
      <c r="AB373" s="368">
        <f t="shared" si="40"/>
        <v>8.6</v>
      </c>
      <c r="AC373" s="368">
        <f t="shared" si="41"/>
        <v>9.66</v>
      </c>
      <c r="AD373" s="172"/>
      <c r="AE373" s="172"/>
      <c r="AF373" s="172"/>
      <c r="AG373" s="172"/>
      <c r="AH373" s="172"/>
      <c r="AI373" s="172"/>
      <c r="AJ373" s="172"/>
      <c r="AK373" s="172"/>
      <c r="AL373" s="172"/>
      <c r="AM373" s="172"/>
      <c r="AN373" s="172"/>
      <c r="AO373" s="172"/>
      <c r="AP373" s="172"/>
      <c r="AQ373" s="172"/>
      <c r="AR373" s="172"/>
      <c r="AS373" s="172"/>
    </row>
    <row r="374" spans="1:45" s="176" customFormat="1">
      <c r="A374" s="69" t="s">
        <v>854</v>
      </c>
      <c r="B374" s="69" t="s">
        <v>855</v>
      </c>
      <c r="C374" s="150"/>
      <c r="D374" s="150"/>
      <c r="E374" s="48"/>
      <c r="F374" s="48"/>
      <c r="G374" s="69" t="s">
        <v>856</v>
      </c>
      <c r="H374" s="230"/>
      <c r="I374" s="230"/>
      <c r="J374" s="69"/>
      <c r="K374" s="69"/>
      <c r="L374" s="69"/>
      <c r="M374" s="104"/>
      <c r="N374" s="104"/>
      <c r="O374" s="104"/>
      <c r="P374" s="104"/>
      <c r="Q374" s="104"/>
      <c r="R374" s="104"/>
      <c r="S374" s="104"/>
      <c r="T374" s="104"/>
      <c r="U374" s="104"/>
      <c r="V374" s="23">
        <v>20</v>
      </c>
      <c r="W374" s="368">
        <f t="shared" si="35"/>
        <v>7.53</v>
      </c>
      <c r="X374" s="368">
        <f t="shared" si="36"/>
        <v>7.53</v>
      </c>
      <c r="Y374" s="368">
        <f t="shared" si="37"/>
        <v>9.0400000000000009</v>
      </c>
      <c r="Z374" s="368">
        <f t="shared" si="38"/>
        <v>7.58</v>
      </c>
      <c r="AA374" s="368">
        <f t="shared" si="39"/>
        <v>9.98</v>
      </c>
      <c r="AB374" s="368">
        <f t="shared" si="40"/>
        <v>8.6</v>
      </c>
      <c r="AC374" s="368">
        <f t="shared" si="41"/>
        <v>9.66</v>
      </c>
      <c r="AD374" s="172"/>
      <c r="AE374" s="172"/>
      <c r="AF374" s="172"/>
      <c r="AG374" s="172"/>
      <c r="AH374" s="172"/>
      <c r="AI374" s="172"/>
      <c r="AJ374" s="172"/>
      <c r="AK374" s="172"/>
      <c r="AL374" s="172"/>
      <c r="AM374" s="172"/>
      <c r="AN374" s="172"/>
      <c r="AO374" s="172"/>
      <c r="AP374" s="172"/>
      <c r="AQ374" s="172"/>
      <c r="AR374" s="172"/>
      <c r="AS374" s="172"/>
    </row>
    <row r="375" spans="1:45" s="176" customFormat="1" ht="27.6">
      <c r="A375" s="69" t="s">
        <v>857</v>
      </c>
      <c r="B375" s="69" t="s">
        <v>858</v>
      </c>
      <c r="C375" s="150"/>
      <c r="D375" s="150"/>
      <c r="E375" s="48"/>
      <c r="F375" s="48"/>
      <c r="G375" s="138" t="s">
        <v>859</v>
      </c>
      <c r="H375" s="230"/>
      <c r="I375" s="230"/>
      <c r="J375" s="138"/>
      <c r="K375" s="138"/>
      <c r="L375" s="138"/>
      <c r="M375" s="104"/>
      <c r="N375" s="104"/>
      <c r="O375" s="104"/>
      <c r="P375" s="104"/>
      <c r="Q375" s="104"/>
      <c r="R375" s="104"/>
      <c r="S375" s="104"/>
      <c r="T375" s="104"/>
      <c r="U375" s="104"/>
      <c r="V375" s="23">
        <v>76</v>
      </c>
      <c r="W375" s="368">
        <f t="shared" si="35"/>
        <v>28.614000000000001</v>
      </c>
      <c r="X375" s="368">
        <f t="shared" si="36"/>
        <v>28.614000000000001</v>
      </c>
      <c r="Y375" s="368">
        <f t="shared" si="37"/>
        <v>34.352000000000004</v>
      </c>
      <c r="Z375" s="368">
        <f t="shared" si="38"/>
        <v>28.804000000000002</v>
      </c>
      <c r="AA375" s="368">
        <f t="shared" si="39"/>
        <v>37.923999999999999</v>
      </c>
      <c r="AB375" s="368">
        <f t="shared" si="40"/>
        <v>32.68</v>
      </c>
      <c r="AC375" s="368">
        <f t="shared" si="41"/>
        <v>36.707999999999998</v>
      </c>
      <c r="AD375" s="172"/>
      <c r="AE375" s="172"/>
      <c r="AF375" s="172"/>
      <c r="AG375" s="172"/>
      <c r="AH375" s="172"/>
      <c r="AI375" s="172"/>
      <c r="AJ375" s="172"/>
      <c r="AK375" s="172"/>
      <c r="AL375" s="172"/>
      <c r="AM375" s="172"/>
      <c r="AN375" s="172"/>
      <c r="AO375" s="172"/>
      <c r="AP375" s="172"/>
      <c r="AQ375" s="172"/>
      <c r="AR375" s="172"/>
      <c r="AS375" s="172"/>
    </row>
    <row r="376" spans="1:45" s="176" customFormat="1" ht="27.6">
      <c r="A376" s="69" t="s">
        <v>835</v>
      </c>
      <c r="B376" s="69" t="s">
        <v>860</v>
      </c>
      <c r="C376" s="150"/>
      <c r="D376" s="150"/>
      <c r="E376" s="48"/>
      <c r="F376" s="48"/>
      <c r="G376" s="138" t="s">
        <v>861</v>
      </c>
      <c r="H376" s="230"/>
      <c r="I376" s="230"/>
      <c r="J376" s="138"/>
      <c r="K376" s="138"/>
      <c r="L376" s="138"/>
      <c r="M376" s="104"/>
      <c r="N376" s="104"/>
      <c r="O376" s="104"/>
      <c r="P376" s="104"/>
      <c r="Q376" s="104"/>
      <c r="R376" s="104"/>
      <c r="S376" s="104"/>
      <c r="T376" s="104"/>
      <c r="U376" s="104"/>
      <c r="V376" s="23">
        <v>96</v>
      </c>
      <c r="W376" s="368">
        <f t="shared" si="35"/>
        <v>36.143999999999998</v>
      </c>
      <c r="X376" s="368">
        <f t="shared" si="36"/>
        <v>36.143999999999998</v>
      </c>
      <c r="Y376" s="368">
        <f t="shared" si="37"/>
        <v>43.392000000000003</v>
      </c>
      <c r="Z376" s="368">
        <f t="shared" si="38"/>
        <v>36.384</v>
      </c>
      <c r="AA376" s="368">
        <f t="shared" si="39"/>
        <v>47.903999999999996</v>
      </c>
      <c r="AB376" s="368">
        <f t="shared" si="40"/>
        <v>41.28</v>
      </c>
      <c r="AC376" s="368">
        <f t="shared" si="41"/>
        <v>46.367999999999995</v>
      </c>
      <c r="AD376" s="172"/>
      <c r="AE376" s="172"/>
      <c r="AF376" s="172"/>
      <c r="AG376" s="172"/>
      <c r="AH376" s="172"/>
      <c r="AI376" s="172"/>
      <c r="AJ376" s="172"/>
      <c r="AK376" s="172"/>
      <c r="AL376" s="172"/>
      <c r="AM376" s="172"/>
      <c r="AN376" s="172"/>
      <c r="AO376" s="172"/>
      <c r="AP376" s="172"/>
      <c r="AQ376" s="172"/>
      <c r="AR376" s="172"/>
      <c r="AS376" s="172"/>
    </row>
    <row r="377" spans="1:45" s="176" customFormat="1">
      <c r="A377" s="69" t="s">
        <v>862</v>
      </c>
      <c r="B377" s="69" t="s">
        <v>863</v>
      </c>
      <c r="C377" s="150"/>
      <c r="D377" s="150"/>
      <c r="E377" s="48"/>
      <c r="F377" s="48"/>
      <c r="G377" s="138" t="s">
        <v>864</v>
      </c>
      <c r="H377" s="230"/>
      <c r="I377" s="230"/>
      <c r="J377" s="138"/>
      <c r="K377" s="138"/>
      <c r="L377" s="138"/>
      <c r="M377" s="104"/>
      <c r="N377" s="104"/>
      <c r="O377" s="104"/>
      <c r="P377" s="104"/>
      <c r="Q377" s="104"/>
      <c r="R377" s="104"/>
      <c r="S377" s="104"/>
      <c r="T377" s="104"/>
      <c r="U377" s="104"/>
      <c r="V377" s="23">
        <v>30</v>
      </c>
      <c r="W377" s="368">
        <f t="shared" si="35"/>
        <v>11.295</v>
      </c>
      <c r="X377" s="368">
        <f t="shared" si="36"/>
        <v>11.295</v>
      </c>
      <c r="Y377" s="368">
        <f t="shared" si="37"/>
        <v>13.56</v>
      </c>
      <c r="Z377" s="368">
        <f t="shared" si="38"/>
        <v>11.370000000000001</v>
      </c>
      <c r="AA377" s="368">
        <f t="shared" si="39"/>
        <v>14.97</v>
      </c>
      <c r="AB377" s="368">
        <f t="shared" si="40"/>
        <v>12.9</v>
      </c>
      <c r="AC377" s="368">
        <f t="shared" si="41"/>
        <v>14.49</v>
      </c>
      <c r="AD377" s="172"/>
      <c r="AE377" s="172"/>
      <c r="AF377" s="172"/>
      <c r="AG377" s="172"/>
      <c r="AH377" s="172"/>
      <c r="AI377" s="172"/>
      <c r="AJ377" s="172"/>
      <c r="AK377" s="172"/>
      <c r="AL377" s="172"/>
      <c r="AM377" s="172"/>
      <c r="AN377" s="172"/>
      <c r="AO377" s="172"/>
      <c r="AP377" s="172"/>
      <c r="AQ377" s="172"/>
      <c r="AR377" s="172"/>
      <c r="AS377" s="172"/>
    </row>
    <row r="378" spans="1:45" s="176" customFormat="1">
      <c r="A378" s="69"/>
      <c r="B378" s="69"/>
      <c r="C378" s="150"/>
      <c r="D378" s="150"/>
      <c r="E378" s="48"/>
      <c r="F378" s="48"/>
      <c r="G378" s="104"/>
      <c r="H378" s="104"/>
      <c r="I378" s="104"/>
      <c r="J378" s="104"/>
      <c r="K378" s="104"/>
      <c r="L378" s="104"/>
      <c r="M378" s="104"/>
      <c r="N378" s="104"/>
      <c r="O378" s="104"/>
      <c r="P378" s="104"/>
      <c r="Q378" s="104"/>
      <c r="R378" s="104"/>
      <c r="S378" s="104"/>
      <c r="T378" s="104"/>
      <c r="U378" s="104"/>
      <c r="V378" s="23"/>
      <c r="W378" s="368">
        <f t="shared" si="35"/>
        <v>0</v>
      </c>
      <c r="X378" s="368">
        <f t="shared" si="36"/>
        <v>0</v>
      </c>
      <c r="Y378" s="368">
        <f t="shared" si="37"/>
        <v>0</v>
      </c>
      <c r="Z378" s="368">
        <f t="shared" si="38"/>
        <v>0</v>
      </c>
      <c r="AA378" s="368">
        <f t="shared" si="39"/>
        <v>0</v>
      </c>
      <c r="AB378" s="368">
        <f t="shared" si="40"/>
        <v>0</v>
      </c>
      <c r="AC378" s="368">
        <f t="shared" si="41"/>
        <v>0</v>
      </c>
      <c r="AD378" s="172"/>
      <c r="AE378" s="172"/>
      <c r="AF378" s="172"/>
      <c r="AG378" s="172"/>
      <c r="AH378" s="172"/>
      <c r="AI378" s="172"/>
      <c r="AJ378" s="172"/>
      <c r="AK378" s="172"/>
      <c r="AL378" s="172"/>
      <c r="AM378" s="172"/>
      <c r="AN378" s="172"/>
      <c r="AO378" s="172"/>
      <c r="AP378" s="172"/>
      <c r="AQ378" s="172"/>
      <c r="AR378" s="172"/>
      <c r="AS378" s="172"/>
    </row>
    <row r="379" spans="1:45" s="177" customFormat="1" ht="32.25" customHeight="1">
      <c r="A379" s="142" t="s">
        <v>1707</v>
      </c>
      <c r="B379" s="339" t="s">
        <v>865</v>
      </c>
      <c r="C379" s="150"/>
      <c r="D379" s="150"/>
      <c r="E379" s="48"/>
      <c r="F379" s="48"/>
      <c r="G379" s="104"/>
      <c r="H379" s="306" t="s">
        <v>866</v>
      </c>
      <c r="I379" s="104"/>
      <c r="J379" s="104"/>
      <c r="K379" s="104"/>
      <c r="L379" s="104"/>
      <c r="M379" s="104"/>
      <c r="N379" s="104"/>
      <c r="O379" s="104"/>
      <c r="P379" s="104"/>
      <c r="Q379" s="104"/>
      <c r="R379" s="104"/>
      <c r="S379" s="104"/>
      <c r="T379" s="104"/>
      <c r="U379" s="104"/>
      <c r="V379" s="23">
        <v>12</v>
      </c>
      <c r="W379" s="368">
        <f t="shared" si="35"/>
        <v>4.5179999999999998</v>
      </c>
      <c r="X379" s="368">
        <f t="shared" si="36"/>
        <v>4.5179999999999998</v>
      </c>
      <c r="Y379" s="368">
        <f t="shared" si="37"/>
        <v>5.4240000000000004</v>
      </c>
      <c r="Z379" s="368">
        <f t="shared" si="38"/>
        <v>4.548</v>
      </c>
      <c r="AA379" s="368">
        <f t="shared" si="39"/>
        <v>5.9879999999999995</v>
      </c>
      <c r="AB379" s="368">
        <f t="shared" si="40"/>
        <v>5.16</v>
      </c>
      <c r="AC379" s="368">
        <f t="shared" si="41"/>
        <v>5.7959999999999994</v>
      </c>
    </row>
    <row r="380" spans="1:45" s="177" customFormat="1" ht="32.25" customHeight="1">
      <c r="A380" s="142" t="s">
        <v>1975</v>
      </c>
      <c r="B380" s="339" t="s">
        <v>867</v>
      </c>
      <c r="C380" s="150"/>
      <c r="D380" s="150"/>
      <c r="E380" s="48"/>
      <c r="F380" s="48"/>
      <c r="G380" s="104"/>
      <c r="H380" s="306" t="s">
        <v>868</v>
      </c>
      <c r="I380" s="104"/>
      <c r="J380" s="104"/>
      <c r="K380" s="104"/>
      <c r="L380" s="104"/>
      <c r="M380" s="104"/>
      <c r="N380" s="104"/>
      <c r="O380" s="104"/>
      <c r="P380" s="104"/>
      <c r="Q380" s="104"/>
      <c r="R380" s="104"/>
      <c r="S380" s="104"/>
      <c r="T380" s="104"/>
      <c r="U380" s="104"/>
      <c r="V380" s="23">
        <v>12</v>
      </c>
      <c r="W380" s="368">
        <f t="shared" si="35"/>
        <v>4.5179999999999998</v>
      </c>
      <c r="X380" s="368">
        <f t="shared" si="36"/>
        <v>4.5179999999999998</v>
      </c>
      <c r="Y380" s="368">
        <f t="shared" si="37"/>
        <v>5.4240000000000004</v>
      </c>
      <c r="Z380" s="368">
        <f t="shared" si="38"/>
        <v>4.548</v>
      </c>
      <c r="AA380" s="368">
        <f t="shared" si="39"/>
        <v>5.9879999999999995</v>
      </c>
      <c r="AB380" s="368">
        <f t="shared" si="40"/>
        <v>5.16</v>
      </c>
      <c r="AC380" s="368">
        <f t="shared" si="41"/>
        <v>5.7959999999999994</v>
      </c>
    </row>
    <row r="381" spans="1:45" s="177" customFormat="1" ht="32.25" customHeight="1">
      <c r="A381" s="142" t="s">
        <v>1979</v>
      </c>
      <c r="B381" s="339" t="s">
        <v>869</v>
      </c>
      <c r="C381" s="150"/>
      <c r="D381" s="150"/>
      <c r="E381" s="48"/>
      <c r="F381" s="48"/>
      <c r="G381" s="104"/>
      <c r="H381" s="306" t="s">
        <v>870</v>
      </c>
      <c r="I381" s="104"/>
      <c r="J381" s="104"/>
      <c r="K381" s="104"/>
      <c r="L381" s="104"/>
      <c r="M381" s="104"/>
      <c r="N381" s="104"/>
      <c r="O381" s="104"/>
      <c r="P381" s="104"/>
      <c r="Q381" s="104"/>
      <c r="R381" s="104"/>
      <c r="S381" s="104"/>
      <c r="T381" s="104"/>
      <c r="U381" s="104"/>
      <c r="V381" s="23">
        <v>32</v>
      </c>
      <c r="W381" s="368">
        <f t="shared" si="35"/>
        <v>12.048</v>
      </c>
      <c r="X381" s="368">
        <f t="shared" si="36"/>
        <v>12.048</v>
      </c>
      <c r="Y381" s="368">
        <f t="shared" si="37"/>
        <v>14.464</v>
      </c>
      <c r="Z381" s="368">
        <f t="shared" si="38"/>
        <v>12.128</v>
      </c>
      <c r="AA381" s="368">
        <f t="shared" si="39"/>
        <v>15.968</v>
      </c>
      <c r="AB381" s="368">
        <f t="shared" si="40"/>
        <v>13.76</v>
      </c>
      <c r="AC381" s="368">
        <f t="shared" si="41"/>
        <v>15.456</v>
      </c>
    </row>
    <row r="382" spans="1:45" s="177" customFormat="1" ht="32.25" customHeight="1">
      <c r="A382" s="142" t="s">
        <v>1978</v>
      </c>
      <c r="B382" s="339" t="s">
        <v>871</v>
      </c>
      <c r="C382" s="150"/>
      <c r="D382" s="150"/>
      <c r="E382" s="48"/>
      <c r="F382" s="48"/>
      <c r="G382" s="104"/>
      <c r="H382" s="306" t="s">
        <v>1901</v>
      </c>
      <c r="I382" s="104"/>
      <c r="J382" s="104"/>
      <c r="K382" s="104"/>
      <c r="L382" s="104"/>
      <c r="M382" s="104"/>
      <c r="N382" s="104"/>
      <c r="O382" s="104"/>
      <c r="P382" s="104"/>
      <c r="Q382" s="104"/>
      <c r="R382" s="104"/>
      <c r="S382" s="104"/>
      <c r="T382" s="104"/>
      <c r="U382" s="104"/>
      <c r="V382" s="23">
        <v>46</v>
      </c>
      <c r="W382" s="368">
        <f t="shared" si="35"/>
        <v>17.318999999999999</v>
      </c>
      <c r="X382" s="368">
        <f t="shared" si="36"/>
        <v>17.318999999999999</v>
      </c>
      <c r="Y382" s="368">
        <f t="shared" si="37"/>
        <v>20.792000000000002</v>
      </c>
      <c r="Z382" s="368">
        <f t="shared" si="38"/>
        <v>17.434000000000001</v>
      </c>
      <c r="AA382" s="368">
        <f t="shared" si="39"/>
        <v>22.954000000000001</v>
      </c>
      <c r="AB382" s="368">
        <f t="shared" si="40"/>
        <v>19.78</v>
      </c>
      <c r="AC382" s="368">
        <f t="shared" si="41"/>
        <v>22.218</v>
      </c>
    </row>
    <row r="383" spans="1:45" s="177" customFormat="1" ht="32.25" customHeight="1">
      <c r="A383" s="142" t="s">
        <v>1940</v>
      </c>
      <c r="B383" s="339" t="s">
        <v>872</v>
      </c>
      <c r="C383" s="150"/>
      <c r="D383" s="150"/>
      <c r="E383" s="48"/>
      <c r="F383" s="48"/>
      <c r="G383" s="104"/>
      <c r="H383" s="306" t="s">
        <v>873</v>
      </c>
      <c r="I383" s="104"/>
      <c r="J383" s="104"/>
      <c r="K383" s="104"/>
      <c r="L383" s="104"/>
      <c r="M383" s="104"/>
      <c r="N383" s="104"/>
      <c r="O383" s="104"/>
      <c r="P383" s="104"/>
      <c r="Q383" s="104"/>
      <c r="R383" s="104"/>
      <c r="S383" s="104"/>
      <c r="T383" s="104"/>
      <c r="U383" s="104"/>
      <c r="V383" s="23">
        <v>0</v>
      </c>
      <c r="W383" s="368">
        <f t="shared" si="35"/>
        <v>0</v>
      </c>
      <c r="X383" s="368">
        <f t="shared" si="36"/>
        <v>0</v>
      </c>
      <c r="Y383" s="368">
        <f t="shared" si="37"/>
        <v>0</v>
      </c>
      <c r="Z383" s="368">
        <f t="shared" si="38"/>
        <v>0</v>
      </c>
      <c r="AA383" s="368">
        <f t="shared" si="39"/>
        <v>0</v>
      </c>
      <c r="AB383" s="368">
        <f t="shared" si="40"/>
        <v>0</v>
      </c>
      <c r="AC383" s="368">
        <f t="shared" si="41"/>
        <v>0</v>
      </c>
    </row>
    <row r="384" spans="1:45" s="177" customFormat="1" ht="32.25" customHeight="1">
      <c r="A384" s="142" t="s">
        <v>1977</v>
      </c>
      <c r="B384" s="339" t="s">
        <v>874</v>
      </c>
      <c r="C384" s="150"/>
      <c r="D384" s="150"/>
      <c r="E384" s="48"/>
      <c r="F384" s="48"/>
      <c r="G384" s="104"/>
      <c r="H384" s="306" t="s">
        <v>875</v>
      </c>
      <c r="I384" s="104"/>
      <c r="J384" s="104"/>
      <c r="K384" s="104"/>
      <c r="L384" s="104"/>
      <c r="M384" s="104"/>
      <c r="N384" s="104"/>
      <c r="O384" s="104"/>
      <c r="P384" s="104"/>
      <c r="Q384" s="104"/>
      <c r="R384" s="104"/>
      <c r="S384" s="104"/>
      <c r="T384" s="104"/>
      <c r="U384" s="104"/>
      <c r="V384" s="23">
        <v>72</v>
      </c>
      <c r="W384" s="368">
        <f t="shared" si="35"/>
        <v>27.108000000000001</v>
      </c>
      <c r="X384" s="368">
        <f t="shared" si="36"/>
        <v>27.108000000000001</v>
      </c>
      <c r="Y384" s="368">
        <f t="shared" si="37"/>
        <v>32.544000000000004</v>
      </c>
      <c r="Z384" s="368">
        <f t="shared" si="38"/>
        <v>27.288</v>
      </c>
      <c r="AA384" s="368">
        <f t="shared" si="39"/>
        <v>35.927999999999997</v>
      </c>
      <c r="AB384" s="368">
        <f t="shared" si="40"/>
        <v>30.96</v>
      </c>
      <c r="AC384" s="368">
        <f t="shared" si="41"/>
        <v>34.775999999999996</v>
      </c>
    </row>
    <row r="385" spans="1:45" s="177" customFormat="1" ht="32.25" customHeight="1">
      <c r="A385" s="142" t="s">
        <v>1941</v>
      </c>
      <c r="B385" s="339" t="s">
        <v>876</v>
      </c>
      <c r="C385" s="150"/>
      <c r="D385" s="150"/>
      <c r="E385" s="48"/>
      <c r="F385" s="48"/>
      <c r="G385" s="104"/>
      <c r="H385" s="306" t="s">
        <v>877</v>
      </c>
      <c r="I385" s="104"/>
      <c r="J385" s="104"/>
      <c r="K385" s="104"/>
      <c r="L385" s="104"/>
      <c r="M385" s="104"/>
      <c r="N385" s="104"/>
      <c r="O385" s="104"/>
      <c r="P385" s="104"/>
      <c r="Q385" s="104"/>
      <c r="R385" s="104"/>
      <c r="S385" s="104"/>
      <c r="T385" s="104"/>
      <c r="U385" s="104"/>
      <c r="V385" s="23">
        <v>82</v>
      </c>
      <c r="W385" s="368">
        <f t="shared" si="35"/>
        <v>30.873000000000001</v>
      </c>
      <c r="X385" s="368">
        <f t="shared" si="36"/>
        <v>30.873000000000001</v>
      </c>
      <c r="Y385" s="368">
        <f t="shared" si="37"/>
        <v>37.064</v>
      </c>
      <c r="Z385" s="368">
        <f t="shared" si="38"/>
        <v>31.077999999999999</v>
      </c>
      <c r="AA385" s="368">
        <f t="shared" si="39"/>
        <v>40.917999999999999</v>
      </c>
      <c r="AB385" s="368">
        <f t="shared" si="40"/>
        <v>35.26</v>
      </c>
      <c r="AC385" s="368">
        <f t="shared" si="41"/>
        <v>39.606000000000002</v>
      </c>
    </row>
    <row r="386" spans="1:45" s="176" customFormat="1">
      <c r="A386" s="69"/>
      <c r="B386" s="69"/>
      <c r="C386" s="150"/>
      <c r="D386" s="150"/>
      <c r="E386" s="48"/>
      <c r="F386" s="48"/>
      <c r="G386" s="104"/>
      <c r="H386" s="104"/>
      <c r="I386" s="104"/>
      <c r="J386" s="104"/>
      <c r="K386" s="104"/>
      <c r="L386" s="104"/>
      <c r="M386" s="104"/>
      <c r="N386" s="104"/>
      <c r="O386" s="104"/>
      <c r="P386" s="104"/>
      <c r="Q386" s="104"/>
      <c r="R386" s="104"/>
      <c r="S386" s="104"/>
      <c r="T386" s="104"/>
      <c r="U386" s="104"/>
      <c r="V386" s="23"/>
      <c r="W386" s="368"/>
      <c r="X386" s="368"/>
      <c r="Y386" s="368"/>
      <c r="Z386" s="368"/>
      <c r="AA386" s="368"/>
      <c r="AB386" s="368"/>
      <c r="AC386" s="368"/>
      <c r="AD386" s="172"/>
      <c r="AE386" s="172"/>
      <c r="AF386" s="172"/>
      <c r="AG386" s="172"/>
      <c r="AH386" s="172"/>
      <c r="AI386" s="172"/>
      <c r="AJ386" s="172"/>
      <c r="AK386" s="172"/>
      <c r="AL386" s="172"/>
      <c r="AM386" s="172"/>
      <c r="AN386" s="172"/>
      <c r="AO386" s="172"/>
      <c r="AP386" s="172"/>
      <c r="AQ386" s="172"/>
      <c r="AR386" s="172"/>
      <c r="AS386" s="172"/>
    </row>
    <row r="387" spans="1:45" s="177" customFormat="1">
      <c r="A387" s="98" t="s">
        <v>2000</v>
      </c>
      <c r="B387" s="103"/>
      <c r="C387" s="103"/>
      <c r="D387" s="103"/>
      <c r="E387" s="226"/>
      <c r="F387" s="226"/>
      <c r="G387" s="226"/>
      <c r="H387" s="226"/>
      <c r="I387" s="226"/>
      <c r="J387" s="226"/>
      <c r="K387" s="226"/>
      <c r="L387" s="226"/>
      <c r="M387" s="226"/>
      <c r="N387" s="226"/>
      <c r="O387" s="226"/>
      <c r="P387" s="226"/>
      <c r="Q387" s="226"/>
      <c r="R387" s="226"/>
      <c r="S387" s="226"/>
      <c r="T387" s="226"/>
      <c r="U387" s="226"/>
      <c r="V387" s="112"/>
      <c r="W387" s="126"/>
      <c r="X387" s="126"/>
      <c r="Y387" s="126"/>
      <c r="Z387" s="126"/>
      <c r="AA387" s="126"/>
      <c r="AB387" s="126"/>
      <c r="AC387" s="126"/>
      <c r="AD387" s="172"/>
      <c r="AE387" s="172"/>
      <c r="AF387" s="172"/>
      <c r="AG387" s="172"/>
      <c r="AH387" s="172"/>
      <c r="AI387" s="172"/>
      <c r="AJ387" s="172"/>
      <c r="AK387" s="172"/>
      <c r="AL387" s="172"/>
      <c r="AM387" s="172"/>
      <c r="AN387" s="172"/>
      <c r="AO387" s="172"/>
      <c r="AP387" s="172"/>
      <c r="AQ387" s="172"/>
      <c r="AR387" s="172"/>
      <c r="AS387" s="172"/>
    </row>
    <row r="388" spans="1:45" s="177" customFormat="1">
      <c r="A388" s="69" t="s">
        <v>878</v>
      </c>
      <c r="B388" s="67" t="s">
        <v>879</v>
      </c>
      <c r="C388" s="178"/>
      <c r="D388" s="178"/>
      <c r="E388" s="48" t="s">
        <v>880</v>
      </c>
      <c r="F388" s="306" t="s">
        <v>881</v>
      </c>
      <c r="G388" s="95"/>
      <c r="H388" s="95"/>
      <c r="I388" s="95"/>
      <c r="J388" s="95"/>
      <c r="K388" s="95"/>
      <c r="L388" s="95"/>
      <c r="M388" s="95"/>
      <c r="N388" s="95"/>
      <c r="O388" s="95"/>
      <c r="P388" s="95"/>
      <c r="Q388" s="95"/>
      <c r="R388" s="95"/>
      <c r="S388" s="139"/>
      <c r="T388" s="139"/>
      <c r="U388" s="139"/>
      <c r="V388" s="23">
        <v>50</v>
      </c>
      <c r="W388" s="368">
        <f t="shared" si="35"/>
        <v>18.824999999999999</v>
      </c>
      <c r="X388" s="368">
        <f t="shared" si="36"/>
        <v>18.824999999999999</v>
      </c>
      <c r="Y388" s="368">
        <f t="shared" si="37"/>
        <v>22.6</v>
      </c>
      <c r="Z388" s="368">
        <f t="shared" si="38"/>
        <v>18.95</v>
      </c>
      <c r="AA388" s="368">
        <f t="shared" si="39"/>
        <v>24.95</v>
      </c>
      <c r="AB388" s="368">
        <f t="shared" si="40"/>
        <v>21.5</v>
      </c>
      <c r="AC388" s="368">
        <f t="shared" si="41"/>
        <v>24.15</v>
      </c>
    </row>
    <row r="389" spans="1:45" s="177" customFormat="1">
      <c r="A389" s="69"/>
      <c r="B389" s="67"/>
      <c r="C389" s="178"/>
      <c r="D389" s="178"/>
      <c r="E389" s="48"/>
      <c r="F389" s="48"/>
      <c r="G389" s="95"/>
      <c r="H389" s="95"/>
      <c r="I389" s="95"/>
      <c r="J389" s="95"/>
      <c r="K389" s="95"/>
      <c r="L389" s="95"/>
      <c r="M389" s="95"/>
      <c r="N389" s="95"/>
      <c r="O389" s="95"/>
      <c r="P389" s="95"/>
      <c r="Q389" s="95"/>
      <c r="R389" s="95"/>
      <c r="S389" s="139"/>
      <c r="T389" s="139"/>
      <c r="U389" s="139"/>
      <c r="V389" s="23"/>
      <c r="W389" s="368"/>
      <c r="X389" s="368"/>
      <c r="Y389" s="368"/>
      <c r="Z389" s="368"/>
      <c r="AA389" s="368"/>
      <c r="AB389" s="368"/>
      <c r="AC389" s="368"/>
    </row>
    <row r="390" spans="1:45" s="177" customFormat="1">
      <c r="A390" s="98" t="s">
        <v>253</v>
      </c>
      <c r="B390" s="103"/>
      <c r="C390" s="103"/>
      <c r="D390" s="103"/>
      <c r="E390" s="226"/>
      <c r="F390" s="226"/>
      <c r="G390" s="226"/>
      <c r="H390" s="226"/>
      <c r="I390" s="226"/>
      <c r="J390" s="226"/>
      <c r="K390" s="226"/>
      <c r="L390" s="226"/>
      <c r="M390" s="226"/>
      <c r="N390" s="226"/>
      <c r="O390" s="226"/>
      <c r="P390" s="226"/>
      <c r="Q390" s="226"/>
      <c r="R390" s="226"/>
      <c r="S390" s="226"/>
      <c r="T390" s="226"/>
      <c r="U390" s="226"/>
      <c r="V390" s="112"/>
      <c r="W390" s="126"/>
      <c r="X390" s="126"/>
      <c r="Y390" s="126"/>
      <c r="Z390" s="126"/>
      <c r="AA390" s="126"/>
      <c r="AB390" s="126"/>
      <c r="AC390" s="126"/>
      <c r="AD390" s="172"/>
      <c r="AE390" s="172"/>
      <c r="AF390" s="172"/>
      <c r="AG390" s="172"/>
      <c r="AH390" s="172"/>
      <c r="AI390" s="172"/>
      <c r="AJ390" s="172"/>
      <c r="AK390" s="172"/>
      <c r="AL390" s="172"/>
      <c r="AM390" s="172"/>
      <c r="AN390" s="172"/>
      <c r="AO390" s="172"/>
      <c r="AP390" s="172"/>
      <c r="AQ390" s="172"/>
      <c r="AR390" s="172"/>
      <c r="AS390" s="172"/>
    </row>
    <row r="391" spans="1:45" s="163" customFormat="1" ht="27.6">
      <c r="A391" s="69" t="s">
        <v>882</v>
      </c>
      <c r="B391" s="69" t="s">
        <v>883</v>
      </c>
      <c r="C391" s="150"/>
      <c r="D391" s="150"/>
      <c r="E391" s="48" t="s">
        <v>884</v>
      </c>
      <c r="F391" s="306" t="s">
        <v>1635</v>
      </c>
      <c r="G391" s="138" t="s">
        <v>885</v>
      </c>
      <c r="H391" s="306" t="s">
        <v>1636</v>
      </c>
      <c r="I391" s="230"/>
      <c r="J391" s="138"/>
      <c r="K391" s="138"/>
      <c r="L391" s="138"/>
      <c r="M391" s="104"/>
      <c r="N391" s="104"/>
      <c r="O391" s="104"/>
      <c r="P391" s="104"/>
      <c r="Q391" s="104"/>
      <c r="R391" s="104"/>
      <c r="S391" s="104"/>
      <c r="T391" s="104"/>
      <c r="U391" s="104"/>
      <c r="V391" s="23">
        <v>0</v>
      </c>
      <c r="W391" s="368">
        <f t="shared" si="35"/>
        <v>0</v>
      </c>
      <c r="X391" s="368">
        <f t="shared" si="36"/>
        <v>0</v>
      </c>
      <c r="Y391" s="368">
        <f t="shared" si="37"/>
        <v>0</v>
      </c>
      <c r="Z391" s="368">
        <f t="shared" si="38"/>
        <v>0</v>
      </c>
      <c r="AA391" s="368">
        <f t="shared" si="39"/>
        <v>0</v>
      </c>
      <c r="AB391" s="368">
        <f t="shared" si="40"/>
        <v>0</v>
      </c>
      <c r="AC391" s="368">
        <f t="shared" si="41"/>
        <v>0</v>
      </c>
    </row>
    <row r="392" spans="1:45" s="163" customFormat="1">
      <c r="A392" s="69"/>
      <c r="B392" s="69"/>
      <c r="C392" s="150"/>
      <c r="D392" s="150"/>
      <c r="E392" s="48"/>
      <c r="F392" s="48"/>
      <c r="G392" s="104"/>
      <c r="H392" s="104"/>
      <c r="I392" s="104"/>
      <c r="J392" s="104"/>
      <c r="K392" s="104"/>
      <c r="L392" s="104"/>
      <c r="M392" s="104"/>
      <c r="N392" s="104"/>
      <c r="O392" s="104"/>
      <c r="P392" s="104"/>
      <c r="Q392" s="104"/>
      <c r="R392" s="104"/>
      <c r="S392" s="104"/>
      <c r="T392" s="104"/>
      <c r="U392" s="104"/>
      <c r="V392" s="23"/>
      <c r="W392" s="368">
        <f t="shared" si="35"/>
        <v>0</v>
      </c>
      <c r="X392" s="368">
        <f t="shared" si="36"/>
        <v>0</v>
      </c>
      <c r="Y392" s="368">
        <f t="shared" si="37"/>
        <v>0</v>
      </c>
      <c r="Z392" s="368">
        <f t="shared" si="38"/>
        <v>0</v>
      </c>
      <c r="AA392" s="368">
        <f t="shared" si="39"/>
        <v>0</v>
      </c>
      <c r="AB392" s="368">
        <f t="shared" si="40"/>
        <v>0</v>
      </c>
      <c r="AC392" s="368">
        <f t="shared" si="41"/>
        <v>0</v>
      </c>
    </row>
    <row r="393" spans="1:45" s="163" customFormat="1">
      <c r="A393" s="98" t="s">
        <v>228</v>
      </c>
      <c r="B393" s="103"/>
      <c r="C393" s="103"/>
      <c r="D393" s="103"/>
      <c r="E393" s="226"/>
      <c r="F393" s="226"/>
      <c r="G393" s="226"/>
      <c r="H393" s="226"/>
      <c r="I393" s="226"/>
      <c r="J393" s="226"/>
      <c r="K393" s="226"/>
      <c r="L393" s="226"/>
      <c r="M393" s="226"/>
      <c r="N393" s="226"/>
      <c r="O393" s="226"/>
      <c r="P393" s="226"/>
      <c r="Q393" s="226"/>
      <c r="R393" s="226"/>
      <c r="S393" s="226"/>
      <c r="T393" s="226"/>
      <c r="U393" s="226"/>
      <c r="V393" s="112"/>
      <c r="W393" s="126"/>
      <c r="X393" s="126"/>
      <c r="Y393" s="126"/>
      <c r="Z393" s="126"/>
      <c r="AA393" s="126"/>
      <c r="AB393" s="126"/>
      <c r="AC393" s="126"/>
      <c r="AD393" s="166"/>
      <c r="AE393" s="166"/>
      <c r="AF393" s="166"/>
      <c r="AG393" s="166"/>
      <c r="AH393" s="166"/>
      <c r="AI393" s="166"/>
      <c r="AJ393" s="166"/>
      <c r="AK393" s="166"/>
      <c r="AL393" s="166"/>
      <c r="AM393" s="166"/>
      <c r="AN393" s="166"/>
      <c r="AO393" s="166"/>
      <c r="AP393" s="166"/>
      <c r="AQ393" s="166"/>
      <c r="AR393" s="166"/>
      <c r="AS393" s="166"/>
    </row>
    <row r="394" spans="1:45" s="163" customFormat="1">
      <c r="A394" s="69" t="s">
        <v>886</v>
      </c>
      <c r="B394" s="69" t="s">
        <v>886</v>
      </c>
      <c r="C394" s="107"/>
      <c r="D394" s="107"/>
      <c r="E394" s="48" t="s">
        <v>887</v>
      </c>
      <c r="F394" s="306" t="s">
        <v>888</v>
      </c>
      <c r="G394" s="306" t="s">
        <v>889</v>
      </c>
      <c r="H394" s="306" t="s">
        <v>890</v>
      </c>
      <c r="I394" s="230"/>
      <c r="J394" s="306"/>
      <c r="K394" s="306"/>
      <c r="L394" s="306"/>
      <c r="M394" s="230"/>
      <c r="N394" s="230"/>
      <c r="O394" s="230"/>
      <c r="P394" s="230"/>
      <c r="Q394" s="230"/>
      <c r="R394" s="230"/>
      <c r="S394" s="72"/>
      <c r="T394" s="72"/>
      <c r="U394" s="72"/>
      <c r="V394" s="28">
        <v>6</v>
      </c>
      <c r="W394" s="369">
        <f t="shared" si="35"/>
        <v>2.2589999999999999</v>
      </c>
      <c r="X394" s="369">
        <f t="shared" si="36"/>
        <v>2.2589999999999999</v>
      </c>
      <c r="Y394" s="369">
        <f t="shared" si="37"/>
        <v>2.7120000000000002</v>
      </c>
      <c r="Z394" s="369">
        <f t="shared" si="38"/>
        <v>2.274</v>
      </c>
      <c r="AA394" s="369">
        <f t="shared" si="39"/>
        <v>2.9939999999999998</v>
      </c>
      <c r="AB394" s="369">
        <f t="shared" si="40"/>
        <v>2.58</v>
      </c>
      <c r="AC394" s="369">
        <f t="shared" si="41"/>
        <v>2.8979999999999997</v>
      </c>
      <c r="AD394" s="166"/>
      <c r="AE394" s="166"/>
      <c r="AF394" s="166"/>
      <c r="AG394" s="166"/>
      <c r="AH394" s="166"/>
      <c r="AI394" s="166"/>
      <c r="AJ394" s="166"/>
      <c r="AK394" s="166"/>
      <c r="AL394" s="166"/>
      <c r="AM394" s="166"/>
      <c r="AN394" s="166"/>
      <c r="AO394" s="166"/>
      <c r="AP394" s="166"/>
      <c r="AQ394" s="166"/>
      <c r="AR394" s="166"/>
      <c r="AS394" s="166"/>
    </row>
    <row r="395" spans="1:45" s="163" customFormat="1">
      <c r="A395" s="69" t="s">
        <v>891</v>
      </c>
      <c r="B395" s="69" t="s">
        <v>676</v>
      </c>
      <c r="C395" s="150"/>
      <c r="D395" s="150"/>
      <c r="E395" s="48" t="s">
        <v>892</v>
      </c>
      <c r="F395" s="306" t="s">
        <v>893</v>
      </c>
      <c r="G395" s="138" t="s">
        <v>894</v>
      </c>
      <c r="H395" s="306" t="s">
        <v>895</v>
      </c>
      <c r="I395" s="230"/>
      <c r="J395" s="138"/>
      <c r="K395" s="138"/>
      <c r="L395" s="138"/>
      <c r="M395" s="104"/>
      <c r="N395" s="104"/>
      <c r="O395" s="104"/>
      <c r="P395" s="104"/>
      <c r="Q395" s="104"/>
      <c r="R395" s="104"/>
      <c r="S395" s="104"/>
      <c r="T395" s="104"/>
      <c r="U395" s="104"/>
      <c r="V395" s="23">
        <v>82</v>
      </c>
      <c r="W395" s="368">
        <f t="shared" si="35"/>
        <v>30.873000000000001</v>
      </c>
      <c r="X395" s="368">
        <f t="shared" si="36"/>
        <v>30.873000000000001</v>
      </c>
      <c r="Y395" s="368">
        <f t="shared" si="37"/>
        <v>37.064</v>
      </c>
      <c r="Z395" s="368">
        <f t="shared" si="38"/>
        <v>31.077999999999999</v>
      </c>
      <c r="AA395" s="368">
        <f t="shared" si="39"/>
        <v>40.917999999999999</v>
      </c>
      <c r="AB395" s="368">
        <f t="shared" si="40"/>
        <v>35.26</v>
      </c>
      <c r="AC395" s="368">
        <f t="shared" si="41"/>
        <v>39.606000000000002</v>
      </c>
    </row>
    <row r="396" spans="1:45" s="166" customFormat="1">
      <c r="A396" s="235"/>
      <c r="B396" s="132"/>
      <c r="C396" s="134"/>
      <c r="D396" s="134"/>
      <c r="E396" s="230"/>
      <c r="F396" s="48"/>
      <c r="G396" s="104"/>
      <c r="H396" s="104"/>
      <c r="I396" s="45"/>
      <c r="J396" s="45"/>
      <c r="K396" s="45"/>
      <c r="L396" s="45"/>
      <c r="M396" s="45"/>
      <c r="N396" s="45"/>
      <c r="O396" s="45"/>
      <c r="P396" s="45"/>
      <c r="Q396" s="45"/>
      <c r="R396" s="45"/>
      <c r="S396" s="45"/>
      <c r="T396" s="45"/>
      <c r="U396" s="45"/>
      <c r="V396" s="28"/>
      <c r="W396" s="369">
        <f t="shared" si="35"/>
        <v>0</v>
      </c>
      <c r="X396" s="369">
        <f t="shared" si="36"/>
        <v>0</v>
      </c>
      <c r="Y396" s="369">
        <f t="shared" si="37"/>
        <v>0</v>
      </c>
      <c r="Z396" s="369">
        <f t="shared" si="38"/>
        <v>0</v>
      </c>
      <c r="AA396" s="369">
        <f t="shared" si="39"/>
        <v>0</v>
      </c>
      <c r="AB396" s="369">
        <f t="shared" si="40"/>
        <v>0</v>
      </c>
      <c r="AC396" s="369">
        <f t="shared" si="41"/>
        <v>0</v>
      </c>
    </row>
    <row r="397" spans="1:45" s="163" customFormat="1">
      <c r="A397" s="98" t="s">
        <v>687</v>
      </c>
      <c r="B397" s="103"/>
      <c r="C397" s="103"/>
      <c r="D397" s="103"/>
      <c r="E397" s="226"/>
      <c r="F397" s="226"/>
      <c r="G397" s="226"/>
      <c r="H397" s="226"/>
      <c r="I397" s="226"/>
      <c r="J397" s="226"/>
      <c r="K397" s="226"/>
      <c r="L397" s="226"/>
      <c r="M397" s="226"/>
      <c r="N397" s="226"/>
      <c r="O397" s="226"/>
      <c r="P397" s="226"/>
      <c r="Q397" s="226"/>
      <c r="R397" s="226"/>
      <c r="S397" s="226"/>
      <c r="T397" s="226"/>
      <c r="U397" s="226"/>
      <c r="V397" s="112"/>
      <c r="W397" s="126"/>
      <c r="X397" s="126"/>
      <c r="Y397" s="126"/>
      <c r="Z397" s="126"/>
      <c r="AA397" s="126"/>
      <c r="AB397" s="126"/>
      <c r="AC397" s="126"/>
      <c r="AD397" s="166"/>
      <c r="AE397" s="166"/>
      <c r="AF397" s="166"/>
      <c r="AG397" s="166"/>
      <c r="AH397" s="166"/>
      <c r="AI397" s="166"/>
      <c r="AJ397" s="166"/>
      <c r="AK397" s="166"/>
      <c r="AL397" s="166"/>
      <c r="AM397" s="166"/>
      <c r="AN397" s="166"/>
      <c r="AO397" s="166"/>
      <c r="AP397" s="166"/>
      <c r="AQ397" s="166"/>
      <c r="AR397" s="166"/>
      <c r="AS397" s="166"/>
    </row>
    <row r="398" spans="1:45" s="163" customFormat="1">
      <c r="A398" s="132" t="s">
        <v>896</v>
      </c>
      <c r="B398" s="132" t="s">
        <v>897</v>
      </c>
      <c r="C398" s="107"/>
      <c r="D398" s="107"/>
      <c r="E398" s="230" t="s">
        <v>898</v>
      </c>
      <c r="F398" s="306" t="s">
        <v>899</v>
      </c>
      <c r="G398" s="48" t="s">
        <v>900</v>
      </c>
      <c r="H398" s="230"/>
      <c r="I398" s="230"/>
      <c r="J398" s="48"/>
      <c r="K398" s="48"/>
      <c r="L398" s="48"/>
      <c r="M398" s="230"/>
      <c r="N398" s="230"/>
      <c r="O398" s="230"/>
      <c r="P398" s="230"/>
      <c r="Q398" s="230"/>
      <c r="R398" s="230"/>
      <c r="S398" s="72"/>
      <c r="T398" s="72"/>
      <c r="U398" s="72"/>
      <c r="V398" s="28">
        <v>10</v>
      </c>
      <c r="W398" s="369">
        <f t="shared" ref="W398:W422" si="42">V398*$W$9</f>
        <v>3.7650000000000001</v>
      </c>
      <c r="X398" s="369">
        <f t="shared" ref="X398:X422" si="43">V398*$X$9</f>
        <v>3.7650000000000001</v>
      </c>
      <c r="Y398" s="369">
        <f t="shared" ref="Y398:Y422" si="44">V398*$Y$9</f>
        <v>4.5200000000000005</v>
      </c>
      <c r="Z398" s="369">
        <f t="shared" ref="Z398:Z422" si="45">V398*$Z$9</f>
        <v>3.79</v>
      </c>
      <c r="AA398" s="369">
        <f t="shared" ref="AA398:AA422" si="46">V398*$AA$9</f>
        <v>4.99</v>
      </c>
      <c r="AB398" s="369">
        <f t="shared" ref="AB398:AB422" si="47">V398*$AB$9</f>
        <v>4.3</v>
      </c>
      <c r="AC398" s="369">
        <f t="shared" ref="AC398:AC422" si="48">V398*$AC$9</f>
        <v>4.83</v>
      </c>
      <c r="AD398" s="166"/>
      <c r="AE398" s="166"/>
      <c r="AF398" s="166"/>
      <c r="AG398" s="166"/>
      <c r="AH398" s="166"/>
      <c r="AI398" s="166"/>
      <c r="AJ398" s="166"/>
      <c r="AK398" s="166"/>
      <c r="AL398" s="166"/>
      <c r="AM398" s="166"/>
      <c r="AN398" s="166"/>
      <c r="AO398" s="166"/>
      <c r="AP398" s="166"/>
      <c r="AQ398" s="166"/>
      <c r="AR398" s="166"/>
      <c r="AS398" s="166"/>
    </row>
    <row r="399" spans="1:45" s="163" customFormat="1">
      <c r="A399" s="235"/>
      <c r="B399" s="140"/>
      <c r="C399" s="134"/>
      <c r="D399" s="134"/>
      <c r="E399" s="45"/>
      <c r="F399" s="45"/>
      <c r="G399" s="45"/>
      <c r="H399" s="45"/>
      <c r="I399" s="45"/>
      <c r="J399" s="45"/>
      <c r="K399" s="45"/>
      <c r="L399" s="45"/>
      <c r="M399" s="45"/>
      <c r="N399" s="45"/>
      <c r="O399" s="45"/>
      <c r="P399" s="45"/>
      <c r="Q399" s="45"/>
      <c r="R399" s="45"/>
      <c r="S399" s="45"/>
      <c r="T399" s="45"/>
      <c r="U399" s="45"/>
      <c r="V399" s="28"/>
      <c r="W399" s="369"/>
      <c r="X399" s="369"/>
      <c r="Y399" s="369"/>
      <c r="Z399" s="369"/>
      <c r="AA399" s="369"/>
      <c r="AB399" s="369"/>
      <c r="AC399" s="369"/>
      <c r="AD399" s="166"/>
      <c r="AE399" s="166"/>
      <c r="AF399" s="166"/>
      <c r="AG399" s="166"/>
      <c r="AH399" s="166"/>
      <c r="AI399" s="166"/>
      <c r="AJ399" s="166"/>
      <c r="AK399" s="166"/>
      <c r="AL399" s="166"/>
      <c r="AM399" s="166"/>
      <c r="AN399" s="166"/>
      <c r="AO399" s="166"/>
      <c r="AP399" s="166"/>
      <c r="AQ399" s="166"/>
      <c r="AR399" s="166"/>
      <c r="AS399" s="166"/>
    </row>
    <row r="400" spans="1:45" s="163" customFormat="1">
      <c r="A400" s="98" t="s">
        <v>384</v>
      </c>
      <c r="B400" s="103"/>
      <c r="C400" s="103"/>
      <c r="D400" s="103"/>
      <c r="E400" s="226"/>
      <c r="F400" s="226"/>
      <c r="G400" s="226"/>
      <c r="H400" s="226"/>
      <c r="I400" s="226"/>
      <c r="J400" s="226"/>
      <c r="K400" s="226"/>
      <c r="L400" s="226"/>
      <c r="M400" s="226"/>
      <c r="N400" s="226"/>
      <c r="O400" s="226"/>
      <c r="P400" s="226"/>
      <c r="Q400" s="226"/>
      <c r="R400" s="226"/>
      <c r="S400" s="226"/>
      <c r="T400" s="226"/>
      <c r="U400" s="226"/>
      <c r="V400" s="112"/>
      <c r="W400" s="126"/>
      <c r="X400" s="126"/>
      <c r="Y400" s="126"/>
      <c r="Z400" s="126"/>
      <c r="AA400" s="126"/>
      <c r="AB400" s="126"/>
      <c r="AC400" s="126"/>
      <c r="AD400" s="166"/>
      <c r="AE400" s="166"/>
      <c r="AF400" s="166"/>
      <c r="AG400" s="166"/>
      <c r="AH400" s="166"/>
      <c r="AI400" s="166"/>
      <c r="AJ400" s="166"/>
      <c r="AK400" s="166"/>
      <c r="AL400" s="166"/>
      <c r="AM400" s="166"/>
      <c r="AN400" s="166"/>
      <c r="AO400" s="166"/>
      <c r="AP400" s="166"/>
      <c r="AQ400" s="166"/>
      <c r="AR400" s="166"/>
      <c r="AS400" s="166"/>
    </row>
    <row r="401" spans="1:45" s="163" customFormat="1">
      <c r="A401" s="69" t="s">
        <v>385</v>
      </c>
      <c r="B401" s="69" t="s">
        <v>386</v>
      </c>
      <c r="C401" s="40"/>
      <c r="D401" s="40"/>
      <c r="E401" s="48" t="s">
        <v>901</v>
      </c>
      <c r="F401" s="306" t="s">
        <v>902</v>
      </c>
      <c r="G401" s="48" t="s">
        <v>903</v>
      </c>
      <c r="H401" s="306" t="s">
        <v>904</v>
      </c>
      <c r="I401" s="230"/>
      <c r="J401" s="48"/>
      <c r="K401" s="48"/>
      <c r="L401" s="48"/>
      <c r="M401" s="48"/>
      <c r="N401" s="48"/>
      <c r="O401" s="48"/>
      <c r="P401" s="48"/>
      <c r="Q401" s="48"/>
      <c r="R401" s="48"/>
      <c r="S401" s="30"/>
      <c r="T401" s="30"/>
      <c r="U401" s="30"/>
      <c r="V401" s="23">
        <v>6</v>
      </c>
      <c r="W401" s="368">
        <f t="shared" si="42"/>
        <v>2.2589999999999999</v>
      </c>
      <c r="X401" s="368">
        <f t="shared" si="43"/>
        <v>2.2589999999999999</v>
      </c>
      <c r="Y401" s="368">
        <f t="shared" si="44"/>
        <v>2.7120000000000002</v>
      </c>
      <c r="Z401" s="368">
        <f t="shared" si="45"/>
        <v>2.274</v>
      </c>
      <c r="AA401" s="368">
        <f t="shared" si="46"/>
        <v>2.9939999999999998</v>
      </c>
      <c r="AB401" s="368">
        <f t="shared" si="47"/>
        <v>2.58</v>
      </c>
      <c r="AC401" s="368">
        <f t="shared" si="48"/>
        <v>2.8979999999999997</v>
      </c>
    </row>
    <row r="402" spans="1:45" s="163" customFormat="1">
      <c r="A402" s="69" t="s">
        <v>905</v>
      </c>
      <c r="B402" s="69" t="s">
        <v>388</v>
      </c>
      <c r="C402" s="40"/>
      <c r="D402" s="40"/>
      <c r="E402" s="48" t="s">
        <v>906</v>
      </c>
      <c r="F402" s="48"/>
      <c r="G402" s="48" t="s">
        <v>907</v>
      </c>
      <c r="H402" s="48"/>
      <c r="I402" s="230"/>
      <c r="J402" s="48"/>
      <c r="K402" s="48"/>
      <c r="L402" s="48"/>
      <c r="M402" s="48"/>
      <c r="N402" s="48"/>
      <c r="O402" s="48"/>
      <c r="P402" s="48"/>
      <c r="Q402" s="48"/>
      <c r="R402" s="48"/>
      <c r="S402" s="30"/>
      <c r="T402" s="30"/>
      <c r="U402" s="30"/>
      <c r="V402" s="23">
        <v>7</v>
      </c>
      <c r="W402" s="368">
        <f t="shared" si="42"/>
        <v>2.6355</v>
      </c>
      <c r="X402" s="368">
        <f t="shared" si="43"/>
        <v>2.6355</v>
      </c>
      <c r="Y402" s="368">
        <f t="shared" si="44"/>
        <v>3.1640000000000001</v>
      </c>
      <c r="Z402" s="368">
        <f t="shared" si="45"/>
        <v>2.653</v>
      </c>
      <c r="AA402" s="368">
        <f t="shared" si="46"/>
        <v>3.4929999999999999</v>
      </c>
      <c r="AB402" s="368">
        <f t="shared" si="47"/>
        <v>3.01</v>
      </c>
      <c r="AC402" s="368">
        <f t="shared" si="48"/>
        <v>3.3809999999999998</v>
      </c>
    </row>
    <row r="403" spans="1:45" s="163" customFormat="1">
      <c r="A403" s="69" t="s">
        <v>389</v>
      </c>
      <c r="B403" s="69" t="s">
        <v>390</v>
      </c>
      <c r="C403" s="40"/>
      <c r="D403" s="40"/>
      <c r="E403" s="48" t="s">
        <v>908</v>
      </c>
      <c r="F403" s="306" t="s">
        <v>909</v>
      </c>
      <c r="G403" s="48" t="s">
        <v>910</v>
      </c>
      <c r="H403" s="306" t="s">
        <v>911</v>
      </c>
      <c r="I403" s="230"/>
      <c r="J403" s="48"/>
      <c r="K403" s="48"/>
      <c r="L403" s="48"/>
      <c r="M403" s="48"/>
      <c r="N403" s="48"/>
      <c r="O403" s="48"/>
      <c r="P403" s="48"/>
      <c r="Q403" s="48"/>
      <c r="R403" s="48"/>
      <c r="S403" s="30"/>
      <c r="T403" s="30"/>
      <c r="U403" s="30"/>
      <c r="V403" s="23">
        <v>87</v>
      </c>
      <c r="W403" s="368">
        <f t="shared" si="42"/>
        <v>32.755499999999998</v>
      </c>
      <c r="X403" s="368">
        <f t="shared" si="43"/>
        <v>32.755499999999998</v>
      </c>
      <c r="Y403" s="368">
        <f t="shared" si="44"/>
        <v>39.323999999999998</v>
      </c>
      <c r="Z403" s="368">
        <f t="shared" si="45"/>
        <v>32.972999999999999</v>
      </c>
      <c r="AA403" s="368">
        <f t="shared" si="46"/>
        <v>43.412999999999997</v>
      </c>
      <c r="AB403" s="368">
        <f t="shared" si="47"/>
        <v>37.409999999999997</v>
      </c>
      <c r="AC403" s="368">
        <f t="shared" si="48"/>
        <v>42.021000000000001</v>
      </c>
    </row>
    <row r="404" spans="1:45" s="163" customFormat="1">
      <c r="A404" s="69" t="s">
        <v>750</v>
      </c>
      <c r="B404" s="69" t="s">
        <v>751</v>
      </c>
      <c r="C404" s="40"/>
      <c r="D404" s="40"/>
      <c r="E404" s="48" t="s">
        <v>912</v>
      </c>
      <c r="F404" s="306" t="s">
        <v>913</v>
      </c>
      <c r="G404" s="48" t="s">
        <v>914</v>
      </c>
      <c r="H404" s="306" t="s">
        <v>915</v>
      </c>
      <c r="I404" s="230"/>
      <c r="J404" s="48"/>
      <c r="K404" s="48"/>
      <c r="L404" s="48"/>
      <c r="M404" s="48"/>
      <c r="N404" s="48"/>
      <c r="O404" s="48"/>
      <c r="P404" s="48"/>
      <c r="Q404" s="48"/>
      <c r="R404" s="48"/>
      <c r="S404" s="30"/>
      <c r="T404" s="30"/>
      <c r="U404" s="30"/>
      <c r="V404" s="23">
        <v>267</v>
      </c>
      <c r="W404" s="368">
        <f t="shared" si="42"/>
        <v>100.52549999999999</v>
      </c>
      <c r="X404" s="368">
        <f t="shared" si="43"/>
        <v>100.52549999999999</v>
      </c>
      <c r="Y404" s="368">
        <f t="shared" si="44"/>
        <v>120.684</v>
      </c>
      <c r="Z404" s="368">
        <f t="shared" si="45"/>
        <v>101.193</v>
      </c>
      <c r="AA404" s="368">
        <f t="shared" si="46"/>
        <v>133.233</v>
      </c>
      <c r="AB404" s="368">
        <f t="shared" si="47"/>
        <v>114.81</v>
      </c>
      <c r="AC404" s="368">
        <f t="shared" si="48"/>
        <v>128.96099999999998</v>
      </c>
    </row>
    <row r="405" spans="1:45" s="177" customFormat="1" ht="14.4">
      <c r="A405" t="s">
        <v>1624</v>
      </c>
      <c r="B405" t="s">
        <v>763</v>
      </c>
      <c r="C405" s="150"/>
      <c r="D405" s="150"/>
      <c r="E405" s="104"/>
      <c r="F405" s="104"/>
      <c r="G405" s="104"/>
      <c r="H405" s="306" t="s">
        <v>916</v>
      </c>
      <c r="I405" s="104"/>
      <c r="J405" s="104"/>
      <c r="K405" s="104"/>
      <c r="L405" s="104"/>
      <c r="M405" s="104"/>
      <c r="N405" s="104"/>
      <c r="O405" s="104"/>
      <c r="P405" s="104"/>
      <c r="Q405" s="104"/>
      <c r="R405" s="104"/>
      <c r="S405" s="104"/>
      <c r="T405" s="104"/>
      <c r="U405" s="104"/>
      <c r="V405" s="23">
        <v>5</v>
      </c>
      <c r="W405" s="368">
        <f t="shared" si="42"/>
        <v>1.8825000000000001</v>
      </c>
      <c r="X405" s="368">
        <f t="shared" si="43"/>
        <v>1.8825000000000001</v>
      </c>
      <c r="Y405" s="368">
        <f t="shared" si="44"/>
        <v>2.2600000000000002</v>
      </c>
      <c r="Z405" s="368">
        <f t="shared" si="45"/>
        <v>1.895</v>
      </c>
      <c r="AA405" s="368">
        <f t="shared" si="46"/>
        <v>2.4950000000000001</v>
      </c>
      <c r="AB405" s="368">
        <f t="shared" si="47"/>
        <v>2.15</v>
      </c>
      <c r="AC405" s="368">
        <f t="shared" si="48"/>
        <v>2.415</v>
      </c>
      <c r="AD405" s="172"/>
      <c r="AE405" s="172"/>
      <c r="AF405" s="172"/>
      <c r="AG405" s="172"/>
      <c r="AH405" s="172"/>
      <c r="AI405" s="172"/>
      <c r="AJ405" s="172"/>
      <c r="AK405" s="172"/>
      <c r="AL405" s="172"/>
      <c r="AM405" s="172"/>
      <c r="AN405" s="172"/>
      <c r="AO405" s="172"/>
      <c r="AP405" s="172"/>
      <c r="AQ405" s="172"/>
      <c r="AR405" s="172"/>
      <c r="AS405" s="172"/>
    </row>
    <row r="406" spans="1:45" s="177" customFormat="1">
      <c r="A406" s="98" t="s">
        <v>274</v>
      </c>
      <c r="B406" s="103"/>
      <c r="C406" s="103"/>
      <c r="D406" s="103"/>
      <c r="E406" s="226"/>
      <c r="F406" s="226"/>
      <c r="G406" s="226"/>
      <c r="H406" s="226"/>
      <c r="I406" s="226"/>
      <c r="J406" s="226"/>
      <c r="K406" s="226"/>
      <c r="L406" s="226"/>
      <c r="M406" s="226"/>
      <c r="N406" s="226"/>
      <c r="O406" s="226"/>
      <c r="P406" s="226"/>
      <c r="Q406" s="226"/>
      <c r="R406" s="226"/>
      <c r="S406" s="226"/>
      <c r="T406" s="226"/>
      <c r="U406" s="226"/>
      <c r="V406" s="112"/>
      <c r="W406" s="126"/>
      <c r="X406" s="126"/>
      <c r="Y406" s="126"/>
      <c r="Z406" s="126"/>
      <c r="AA406" s="126"/>
      <c r="AB406" s="126"/>
      <c r="AC406" s="126"/>
      <c r="AD406" s="172"/>
      <c r="AE406" s="172"/>
      <c r="AF406" s="172"/>
      <c r="AG406" s="172"/>
      <c r="AH406" s="172"/>
      <c r="AI406" s="172"/>
      <c r="AJ406" s="172"/>
      <c r="AK406" s="172"/>
      <c r="AL406" s="172"/>
      <c r="AM406" s="172"/>
      <c r="AN406" s="172"/>
      <c r="AO406" s="172"/>
      <c r="AP406" s="172"/>
      <c r="AQ406" s="172"/>
      <c r="AR406" s="172"/>
      <c r="AS406" s="172"/>
    </row>
    <row r="407" spans="1:45" s="177" customFormat="1">
      <c r="A407" s="69" t="s">
        <v>772</v>
      </c>
      <c r="B407" s="69" t="s">
        <v>773</v>
      </c>
      <c r="C407" s="40"/>
      <c r="D407" s="40"/>
      <c r="E407" s="48" t="s">
        <v>917</v>
      </c>
      <c r="F407" s="306" t="s">
        <v>918</v>
      </c>
      <c r="G407" s="48" t="s">
        <v>919</v>
      </c>
      <c r="H407" s="306" t="s">
        <v>920</v>
      </c>
      <c r="I407" s="230"/>
      <c r="J407" s="48"/>
      <c r="K407" s="48"/>
      <c r="L407" s="48"/>
      <c r="M407" s="48"/>
      <c r="N407" s="48"/>
      <c r="O407" s="48"/>
      <c r="P407" s="48"/>
      <c r="Q407" s="48"/>
      <c r="R407" s="48"/>
      <c r="S407" s="30"/>
      <c r="T407" s="30"/>
      <c r="U407" s="30"/>
      <c r="V407" s="23">
        <v>7</v>
      </c>
      <c r="W407" s="368">
        <f t="shared" si="42"/>
        <v>2.6355</v>
      </c>
      <c r="X407" s="368">
        <f t="shared" si="43"/>
        <v>2.6355</v>
      </c>
      <c r="Y407" s="368">
        <f t="shared" si="44"/>
        <v>3.1640000000000001</v>
      </c>
      <c r="Z407" s="368">
        <f t="shared" si="45"/>
        <v>2.653</v>
      </c>
      <c r="AA407" s="368">
        <f t="shared" si="46"/>
        <v>3.4929999999999999</v>
      </c>
      <c r="AB407" s="368">
        <f t="shared" si="47"/>
        <v>3.01</v>
      </c>
      <c r="AC407" s="368">
        <f t="shared" si="48"/>
        <v>3.3809999999999998</v>
      </c>
    </row>
    <row r="408" spans="1:45" s="177" customFormat="1">
      <c r="A408" s="69" t="s">
        <v>921</v>
      </c>
      <c r="B408" s="69" t="s">
        <v>392</v>
      </c>
      <c r="C408" s="40"/>
      <c r="D408" s="40"/>
      <c r="E408" s="48"/>
      <c r="F408" s="48"/>
      <c r="G408" s="48"/>
      <c r="H408" s="306" t="s">
        <v>922</v>
      </c>
      <c r="I408" s="230"/>
      <c r="J408" s="48"/>
      <c r="K408" s="48"/>
      <c r="L408" s="48"/>
      <c r="M408" s="48"/>
      <c r="N408" s="48"/>
      <c r="O408" s="48"/>
      <c r="P408" s="48"/>
      <c r="Q408" s="48"/>
      <c r="R408" s="48"/>
      <c r="S408" s="30"/>
      <c r="T408" s="30"/>
      <c r="U408" s="30"/>
      <c r="V408" s="23">
        <v>11</v>
      </c>
      <c r="W408" s="368">
        <f t="shared" si="42"/>
        <v>4.1414999999999997</v>
      </c>
      <c r="X408" s="368">
        <f t="shared" si="43"/>
        <v>4.1414999999999997</v>
      </c>
      <c r="Y408" s="368">
        <f t="shared" si="44"/>
        <v>4.9720000000000004</v>
      </c>
      <c r="Z408" s="368">
        <f t="shared" si="45"/>
        <v>4.1690000000000005</v>
      </c>
      <c r="AA408" s="368">
        <f t="shared" si="46"/>
        <v>5.4889999999999999</v>
      </c>
      <c r="AB408" s="368">
        <f t="shared" si="47"/>
        <v>4.7299999999999995</v>
      </c>
      <c r="AC408" s="368">
        <f t="shared" si="48"/>
        <v>5.3129999999999997</v>
      </c>
    </row>
    <row r="409" spans="1:45" s="177" customFormat="1">
      <c r="A409" s="69" t="s">
        <v>769</v>
      </c>
      <c r="B409" s="69" t="s">
        <v>770</v>
      </c>
      <c r="C409" s="150"/>
      <c r="D409" s="150"/>
      <c r="E409" s="48" t="s">
        <v>771</v>
      </c>
      <c r="F409" s="306" t="s">
        <v>771</v>
      </c>
      <c r="G409" s="138" t="s">
        <v>771</v>
      </c>
      <c r="H409" s="48"/>
      <c r="I409" s="230"/>
      <c r="J409" s="138"/>
      <c r="K409" s="138"/>
      <c r="L409" s="138"/>
      <c r="M409" s="104"/>
      <c r="N409" s="104"/>
      <c r="O409" s="104"/>
      <c r="P409" s="104"/>
      <c r="Q409" s="104"/>
      <c r="R409" s="104"/>
      <c r="S409" s="104"/>
      <c r="T409" s="104"/>
      <c r="U409" s="104"/>
      <c r="V409" s="23">
        <v>1</v>
      </c>
      <c r="W409" s="368">
        <f t="shared" si="42"/>
        <v>0.3765</v>
      </c>
      <c r="X409" s="368">
        <f t="shared" si="43"/>
        <v>0.3765</v>
      </c>
      <c r="Y409" s="368">
        <f t="shared" si="44"/>
        <v>0.45200000000000001</v>
      </c>
      <c r="Z409" s="368">
        <f t="shared" si="45"/>
        <v>0.379</v>
      </c>
      <c r="AA409" s="368">
        <f t="shared" si="46"/>
        <v>0.499</v>
      </c>
      <c r="AB409" s="368">
        <f t="shared" si="47"/>
        <v>0.43</v>
      </c>
      <c r="AC409" s="368">
        <f t="shared" si="48"/>
        <v>0.48299999999999998</v>
      </c>
    </row>
    <row r="410" spans="1:45" s="172" customFormat="1">
      <c r="A410" s="235"/>
      <c r="B410" s="132"/>
      <c r="C410" s="134"/>
      <c r="D410" s="134"/>
      <c r="E410" s="230"/>
      <c r="F410" s="230"/>
      <c r="G410" s="45"/>
      <c r="H410" s="45"/>
      <c r="I410" s="45"/>
      <c r="J410" s="45"/>
      <c r="K410" s="45"/>
      <c r="L410" s="45"/>
      <c r="M410" s="45"/>
      <c r="N410" s="45"/>
      <c r="O410" s="45"/>
      <c r="P410" s="45"/>
      <c r="Q410" s="45"/>
      <c r="R410" s="45"/>
      <c r="S410" s="45"/>
      <c r="T410" s="45"/>
      <c r="U410" s="45"/>
      <c r="V410" s="28"/>
      <c r="W410" s="369"/>
      <c r="X410" s="369"/>
      <c r="Y410" s="369"/>
      <c r="Z410" s="369"/>
      <c r="AA410" s="369"/>
      <c r="AB410" s="369"/>
      <c r="AC410" s="369"/>
    </row>
    <row r="411" spans="1:45" s="177" customFormat="1">
      <c r="A411" s="113" t="s">
        <v>263</v>
      </c>
      <c r="B411" s="121"/>
      <c r="C411" s="121"/>
      <c r="D411" s="121"/>
      <c r="E411" s="208"/>
      <c r="F411" s="208"/>
      <c r="G411" s="208"/>
      <c r="H411" s="208"/>
      <c r="I411" s="208"/>
      <c r="J411" s="208"/>
      <c r="K411" s="208"/>
      <c r="L411" s="208"/>
      <c r="M411" s="208"/>
      <c r="N411" s="208"/>
      <c r="O411" s="208"/>
      <c r="P411" s="208"/>
      <c r="Q411" s="208"/>
      <c r="R411" s="208"/>
      <c r="S411" s="208"/>
      <c r="T411" s="208"/>
      <c r="U411" s="208"/>
      <c r="V411" s="112"/>
      <c r="W411" s="126"/>
      <c r="X411" s="126"/>
      <c r="Y411" s="126"/>
      <c r="Z411" s="126"/>
      <c r="AA411" s="126"/>
      <c r="AB411" s="126"/>
      <c r="AC411" s="126"/>
      <c r="AD411" s="172"/>
      <c r="AE411" s="172"/>
      <c r="AF411" s="172"/>
      <c r="AG411" s="172"/>
      <c r="AH411" s="172"/>
      <c r="AI411" s="172"/>
      <c r="AJ411" s="172"/>
      <c r="AK411" s="172"/>
      <c r="AL411" s="172"/>
      <c r="AM411" s="172"/>
      <c r="AN411" s="172"/>
      <c r="AO411" s="172"/>
      <c r="AP411" s="172"/>
      <c r="AQ411" s="172"/>
      <c r="AR411" s="172"/>
      <c r="AS411" s="172"/>
    </row>
    <row r="412" spans="1:45" s="177" customFormat="1">
      <c r="A412" s="69" t="s">
        <v>113</v>
      </c>
      <c r="B412" s="69" t="s">
        <v>264</v>
      </c>
      <c r="C412" s="150"/>
      <c r="D412" s="150"/>
      <c r="E412" s="48" t="s">
        <v>923</v>
      </c>
      <c r="F412" s="306" t="s">
        <v>924</v>
      </c>
      <c r="G412" s="306" t="s">
        <v>925</v>
      </c>
      <c r="H412" s="306" t="s">
        <v>926</v>
      </c>
      <c r="I412" s="230"/>
      <c r="J412" s="306"/>
      <c r="K412" s="306"/>
      <c r="L412" s="306"/>
      <c r="M412" s="104"/>
      <c r="N412" s="104"/>
      <c r="O412" s="104"/>
      <c r="P412" s="104"/>
      <c r="Q412" s="104"/>
      <c r="R412" s="104"/>
      <c r="S412" s="104"/>
      <c r="T412" s="104"/>
      <c r="U412" s="104"/>
      <c r="V412" s="23">
        <v>6</v>
      </c>
      <c r="W412" s="368">
        <f t="shared" si="42"/>
        <v>2.2589999999999999</v>
      </c>
      <c r="X412" s="368">
        <f t="shared" si="43"/>
        <v>2.2589999999999999</v>
      </c>
      <c r="Y412" s="368">
        <f t="shared" si="44"/>
        <v>2.7120000000000002</v>
      </c>
      <c r="Z412" s="368">
        <f t="shared" si="45"/>
        <v>2.274</v>
      </c>
      <c r="AA412" s="368">
        <f t="shared" si="46"/>
        <v>2.9939999999999998</v>
      </c>
      <c r="AB412" s="368">
        <f t="shared" si="47"/>
        <v>2.58</v>
      </c>
      <c r="AC412" s="368">
        <f t="shared" si="48"/>
        <v>2.8979999999999997</v>
      </c>
    </row>
    <row r="413" spans="1:45" s="172" customFormat="1">
      <c r="A413" s="132"/>
      <c r="B413" s="132"/>
      <c r="C413" s="134"/>
      <c r="D413" s="134"/>
      <c r="E413" s="230"/>
      <c r="F413" s="230"/>
      <c r="G413" s="45"/>
      <c r="H413" s="45"/>
      <c r="I413" s="45"/>
      <c r="J413" s="45"/>
      <c r="K413" s="45"/>
      <c r="L413" s="45"/>
      <c r="M413" s="45"/>
      <c r="N413" s="45"/>
      <c r="O413" s="45"/>
      <c r="P413" s="45"/>
      <c r="Q413" s="45"/>
      <c r="R413" s="45"/>
      <c r="S413" s="45"/>
      <c r="T413" s="45"/>
      <c r="U413" s="45"/>
      <c r="V413" s="28"/>
      <c r="W413" s="369"/>
      <c r="X413" s="369"/>
      <c r="Y413" s="369"/>
      <c r="Z413" s="369"/>
      <c r="AA413" s="369"/>
      <c r="AB413" s="369"/>
      <c r="AC413" s="369"/>
    </row>
    <row r="414" spans="1:45" s="177" customFormat="1">
      <c r="A414" s="98" t="s">
        <v>2001</v>
      </c>
      <c r="B414" s="108"/>
      <c r="C414" s="108"/>
      <c r="D414" s="108"/>
      <c r="E414" s="223"/>
      <c r="F414" s="223"/>
      <c r="G414" s="223"/>
      <c r="H414" s="223"/>
      <c r="I414" s="223"/>
      <c r="J414" s="223"/>
      <c r="K414" s="223"/>
      <c r="L414" s="223"/>
      <c r="M414" s="223"/>
      <c r="N414" s="223"/>
      <c r="O414" s="223"/>
      <c r="P414" s="223"/>
      <c r="Q414" s="223"/>
      <c r="R414" s="223"/>
      <c r="S414" s="226"/>
      <c r="T414" s="226"/>
      <c r="U414" s="226"/>
      <c r="V414" s="112"/>
      <c r="W414" s="126"/>
      <c r="X414" s="126"/>
      <c r="Y414" s="126"/>
      <c r="Z414" s="126"/>
      <c r="AA414" s="126"/>
      <c r="AB414" s="126"/>
      <c r="AC414" s="126"/>
      <c r="AD414" s="172"/>
      <c r="AE414" s="172"/>
      <c r="AF414" s="172"/>
      <c r="AG414" s="172"/>
      <c r="AH414" s="172"/>
      <c r="AI414" s="172"/>
      <c r="AJ414" s="172"/>
      <c r="AK414" s="172"/>
      <c r="AL414" s="172"/>
      <c r="AM414" s="172"/>
      <c r="AN414" s="172"/>
      <c r="AO414" s="172"/>
      <c r="AP414" s="172"/>
      <c r="AQ414" s="172"/>
      <c r="AR414" s="172"/>
      <c r="AS414" s="172"/>
    </row>
    <row r="415" spans="1:45" s="177" customFormat="1">
      <c r="A415" s="69" t="s">
        <v>286</v>
      </c>
      <c r="B415" s="69" t="s">
        <v>393</v>
      </c>
      <c r="C415" s="40"/>
      <c r="D415" s="40"/>
      <c r="E415" s="48" t="s">
        <v>927</v>
      </c>
      <c r="F415" s="48" t="s">
        <v>927</v>
      </c>
      <c r="G415" s="48" t="s">
        <v>927</v>
      </c>
      <c r="H415" s="48" t="s">
        <v>927</v>
      </c>
      <c r="I415" s="48"/>
      <c r="J415" s="48"/>
      <c r="K415" s="48"/>
      <c r="L415" s="48"/>
      <c r="M415" s="66"/>
      <c r="N415" s="66"/>
      <c r="O415" s="66"/>
      <c r="P415" s="66"/>
      <c r="Q415" s="66"/>
      <c r="R415" s="66"/>
      <c r="S415" s="54"/>
      <c r="T415" s="54"/>
      <c r="U415" s="54"/>
      <c r="V415" s="23">
        <v>10</v>
      </c>
      <c r="W415" s="368">
        <f t="shared" si="42"/>
        <v>3.7650000000000001</v>
      </c>
      <c r="X415" s="368">
        <f t="shared" si="43"/>
        <v>3.7650000000000001</v>
      </c>
      <c r="Y415" s="368">
        <f t="shared" si="44"/>
        <v>4.5200000000000005</v>
      </c>
      <c r="Z415" s="368">
        <f t="shared" si="45"/>
        <v>3.79</v>
      </c>
      <c r="AA415" s="368">
        <f t="shared" si="46"/>
        <v>4.99</v>
      </c>
      <c r="AB415" s="368">
        <f t="shared" si="47"/>
        <v>4.3</v>
      </c>
      <c r="AC415" s="368">
        <f t="shared" si="48"/>
        <v>4.83</v>
      </c>
    </row>
    <row r="416" spans="1:45" s="177" customFormat="1" ht="27.6">
      <c r="A416" s="69" t="s">
        <v>289</v>
      </c>
      <c r="B416" s="142" t="s">
        <v>395</v>
      </c>
      <c r="C416" s="191"/>
      <c r="D416" s="191"/>
      <c r="E416" s="48" t="s">
        <v>928</v>
      </c>
      <c r="F416" s="48" t="s">
        <v>928</v>
      </c>
      <c r="G416" s="48" t="s">
        <v>928</v>
      </c>
      <c r="H416" s="48" t="s">
        <v>928</v>
      </c>
      <c r="I416" s="48"/>
      <c r="J416" s="48"/>
      <c r="K416" s="48"/>
      <c r="L416" s="48"/>
      <c r="M416" s="66"/>
      <c r="N416" s="66"/>
      <c r="O416" s="66"/>
      <c r="P416" s="66"/>
      <c r="Q416" s="66"/>
      <c r="R416" s="66"/>
      <c r="S416" s="54"/>
      <c r="T416" s="54"/>
      <c r="U416" s="54"/>
      <c r="V416" s="23">
        <v>30</v>
      </c>
      <c r="W416" s="368">
        <f t="shared" si="42"/>
        <v>11.295</v>
      </c>
      <c r="X416" s="368">
        <f t="shared" si="43"/>
        <v>11.295</v>
      </c>
      <c r="Y416" s="368">
        <f t="shared" si="44"/>
        <v>13.56</v>
      </c>
      <c r="Z416" s="368">
        <f t="shared" si="45"/>
        <v>11.370000000000001</v>
      </c>
      <c r="AA416" s="368">
        <f t="shared" si="46"/>
        <v>14.97</v>
      </c>
      <c r="AB416" s="368">
        <f t="shared" si="47"/>
        <v>12.9</v>
      </c>
      <c r="AC416" s="368">
        <f t="shared" si="48"/>
        <v>14.49</v>
      </c>
    </row>
    <row r="417" spans="1:45" s="177" customFormat="1" ht="27.6">
      <c r="A417" s="69" t="s">
        <v>397</v>
      </c>
      <c r="B417" s="69" t="s">
        <v>398</v>
      </c>
      <c r="C417" s="69"/>
      <c r="D417" s="69"/>
      <c r="E417" s="48" t="s">
        <v>929</v>
      </c>
      <c r="F417" s="48" t="s">
        <v>929</v>
      </c>
      <c r="G417" s="48" t="s">
        <v>929</v>
      </c>
      <c r="H417" s="48" t="s">
        <v>929</v>
      </c>
      <c r="I417" s="48"/>
      <c r="J417" s="48"/>
      <c r="K417" s="48"/>
      <c r="L417" s="48"/>
      <c r="M417" s="95"/>
      <c r="N417" s="95"/>
      <c r="O417" s="95"/>
      <c r="P417" s="95"/>
      <c r="Q417" s="95"/>
      <c r="R417" s="95"/>
      <c r="S417" s="139"/>
      <c r="T417" s="139"/>
      <c r="U417" s="139"/>
      <c r="V417" s="23">
        <v>60</v>
      </c>
      <c r="W417" s="368">
        <f t="shared" si="42"/>
        <v>22.59</v>
      </c>
      <c r="X417" s="368">
        <f t="shared" si="43"/>
        <v>22.59</v>
      </c>
      <c r="Y417" s="368">
        <f t="shared" si="44"/>
        <v>27.12</v>
      </c>
      <c r="Z417" s="368">
        <f t="shared" si="45"/>
        <v>22.740000000000002</v>
      </c>
      <c r="AA417" s="368">
        <f t="shared" si="46"/>
        <v>29.94</v>
      </c>
      <c r="AB417" s="368">
        <f t="shared" si="47"/>
        <v>25.8</v>
      </c>
      <c r="AC417" s="368">
        <f t="shared" si="48"/>
        <v>28.98</v>
      </c>
    </row>
    <row r="418" spans="1:45">
      <c r="A418" s="69" t="s">
        <v>400</v>
      </c>
      <c r="B418" s="69" t="s">
        <v>401</v>
      </c>
      <c r="C418" s="40"/>
      <c r="D418" s="40"/>
      <c r="E418" s="95" t="s">
        <v>930</v>
      </c>
      <c r="F418" s="95" t="s">
        <v>930</v>
      </c>
      <c r="G418" s="95" t="s">
        <v>930</v>
      </c>
      <c r="H418" s="95" t="s">
        <v>930</v>
      </c>
      <c r="I418" s="95"/>
      <c r="J418" s="95"/>
      <c r="K418" s="95"/>
      <c r="L418" s="95"/>
      <c r="M418" s="95"/>
      <c r="N418" s="95"/>
      <c r="O418" s="95"/>
      <c r="P418" s="95"/>
      <c r="Q418" s="95"/>
      <c r="R418" s="95"/>
      <c r="S418" s="139"/>
      <c r="T418" s="139"/>
      <c r="U418" s="139"/>
      <c r="V418" s="60">
        <v>10</v>
      </c>
      <c r="W418" s="186">
        <f t="shared" si="42"/>
        <v>3.7650000000000001</v>
      </c>
      <c r="X418" s="186">
        <f t="shared" si="43"/>
        <v>3.7650000000000001</v>
      </c>
      <c r="Y418" s="186">
        <f t="shared" si="44"/>
        <v>4.5200000000000005</v>
      </c>
      <c r="Z418" s="186">
        <f t="shared" si="45"/>
        <v>3.79</v>
      </c>
      <c r="AA418" s="186">
        <f t="shared" si="46"/>
        <v>4.99</v>
      </c>
      <c r="AB418" s="186">
        <f t="shared" si="47"/>
        <v>4.3</v>
      </c>
      <c r="AC418" s="186">
        <f t="shared" si="48"/>
        <v>4.83</v>
      </c>
    </row>
    <row r="419" spans="1:45">
      <c r="A419" s="69" t="s">
        <v>403</v>
      </c>
      <c r="B419" s="69" t="s">
        <v>404</v>
      </c>
      <c r="C419" s="40"/>
      <c r="D419" s="40"/>
      <c r="E419" s="95" t="s">
        <v>405</v>
      </c>
      <c r="F419" s="95" t="s">
        <v>405</v>
      </c>
      <c r="G419" s="95" t="s">
        <v>405</v>
      </c>
      <c r="H419" s="95" t="s">
        <v>405</v>
      </c>
      <c r="I419" s="95"/>
      <c r="J419" s="95"/>
      <c r="K419" s="95"/>
      <c r="L419" s="95"/>
      <c r="M419" s="95"/>
      <c r="N419" s="95"/>
      <c r="O419" s="95"/>
      <c r="P419" s="95"/>
      <c r="Q419" s="95"/>
      <c r="R419" s="95"/>
      <c r="S419" s="139"/>
      <c r="T419" s="139"/>
      <c r="U419" s="139"/>
      <c r="V419" s="60">
        <v>10</v>
      </c>
      <c r="W419" s="186">
        <f t="shared" si="42"/>
        <v>3.7650000000000001</v>
      </c>
      <c r="X419" s="186">
        <f t="shared" si="43"/>
        <v>3.7650000000000001</v>
      </c>
      <c r="Y419" s="186">
        <f t="shared" si="44"/>
        <v>4.5200000000000005</v>
      </c>
      <c r="Z419" s="186">
        <f t="shared" si="45"/>
        <v>3.79</v>
      </c>
      <c r="AA419" s="186">
        <f t="shared" si="46"/>
        <v>4.99</v>
      </c>
      <c r="AB419" s="186">
        <f t="shared" si="47"/>
        <v>4.3</v>
      </c>
      <c r="AC419" s="186">
        <f t="shared" si="48"/>
        <v>4.83</v>
      </c>
    </row>
    <row r="420" spans="1:45" s="177" customFormat="1">
      <c r="A420" s="132" t="s">
        <v>292</v>
      </c>
      <c r="B420" s="132" t="s">
        <v>293</v>
      </c>
      <c r="C420" s="107"/>
      <c r="D420" s="107"/>
      <c r="E420" s="230" t="s">
        <v>294</v>
      </c>
      <c r="F420" s="230" t="s">
        <v>294</v>
      </c>
      <c r="G420" s="48" t="s">
        <v>294</v>
      </c>
      <c r="H420" s="48" t="s">
        <v>294</v>
      </c>
      <c r="I420" s="48"/>
      <c r="J420" s="48"/>
      <c r="K420" s="48"/>
      <c r="L420" s="48"/>
      <c r="M420" s="230"/>
      <c r="N420" s="230"/>
      <c r="O420" s="230"/>
      <c r="P420" s="230"/>
      <c r="Q420" s="230"/>
      <c r="R420" s="230"/>
      <c r="S420" s="72"/>
      <c r="T420" s="72"/>
      <c r="U420" s="72"/>
      <c r="V420" s="35">
        <v>158</v>
      </c>
      <c r="W420" s="370">
        <f t="shared" si="42"/>
        <v>59.487000000000002</v>
      </c>
      <c r="X420" s="370">
        <f t="shared" si="43"/>
        <v>59.487000000000002</v>
      </c>
      <c r="Y420" s="370">
        <f t="shared" si="44"/>
        <v>71.415999999999997</v>
      </c>
      <c r="Z420" s="370">
        <f t="shared" si="45"/>
        <v>59.881999999999998</v>
      </c>
      <c r="AA420" s="370">
        <f t="shared" si="46"/>
        <v>78.841999999999999</v>
      </c>
      <c r="AB420" s="370">
        <f t="shared" si="47"/>
        <v>67.94</v>
      </c>
      <c r="AC420" s="370">
        <f t="shared" si="48"/>
        <v>76.313999999999993</v>
      </c>
      <c r="AD420" s="172"/>
      <c r="AE420" s="172"/>
      <c r="AF420" s="172"/>
      <c r="AG420" s="172"/>
      <c r="AH420" s="172"/>
      <c r="AI420" s="172"/>
      <c r="AJ420" s="172"/>
      <c r="AK420" s="172"/>
      <c r="AL420" s="172"/>
      <c r="AM420" s="172"/>
      <c r="AN420" s="172"/>
      <c r="AO420" s="172"/>
      <c r="AP420" s="172"/>
      <c r="AQ420" s="172"/>
      <c r="AR420" s="172"/>
      <c r="AS420" s="172"/>
    </row>
    <row r="421" spans="1:45" s="177" customFormat="1">
      <c r="A421" s="69" t="s">
        <v>295</v>
      </c>
      <c r="B421" s="69" t="s">
        <v>296</v>
      </c>
      <c r="C421" s="107"/>
      <c r="D421" s="107"/>
      <c r="E421" s="48" t="s">
        <v>298</v>
      </c>
      <c r="F421" s="48" t="s">
        <v>298</v>
      </c>
      <c r="G421" s="48" t="s">
        <v>298</v>
      </c>
      <c r="H421" s="48" t="s">
        <v>298</v>
      </c>
      <c r="I421" s="48"/>
      <c r="J421" s="48"/>
      <c r="K421" s="48"/>
      <c r="L421" s="48"/>
      <c r="M421" s="230"/>
      <c r="N421" s="230"/>
      <c r="O421" s="230"/>
      <c r="P421" s="230"/>
      <c r="Q421" s="230"/>
      <c r="R421" s="230"/>
      <c r="S421" s="72"/>
      <c r="T421" s="72"/>
      <c r="U421" s="72"/>
      <c r="V421" s="60">
        <v>22</v>
      </c>
      <c r="W421" s="186">
        <f t="shared" si="42"/>
        <v>8.2829999999999995</v>
      </c>
      <c r="X421" s="186">
        <f t="shared" si="43"/>
        <v>8.2829999999999995</v>
      </c>
      <c r="Y421" s="186">
        <f t="shared" si="44"/>
        <v>9.9440000000000008</v>
      </c>
      <c r="Z421" s="186">
        <f t="shared" si="45"/>
        <v>8.338000000000001</v>
      </c>
      <c r="AA421" s="186">
        <f t="shared" si="46"/>
        <v>10.978</v>
      </c>
      <c r="AB421" s="186">
        <f t="shared" si="47"/>
        <v>9.4599999999999991</v>
      </c>
      <c r="AC421" s="186">
        <f t="shared" si="48"/>
        <v>10.625999999999999</v>
      </c>
      <c r="AD421" s="172"/>
      <c r="AE421" s="172"/>
      <c r="AF421" s="172"/>
      <c r="AG421" s="172"/>
      <c r="AH421" s="172"/>
      <c r="AI421" s="172"/>
      <c r="AJ421" s="172"/>
      <c r="AK421" s="172"/>
      <c r="AL421" s="172"/>
      <c r="AM421" s="172"/>
      <c r="AN421" s="172"/>
      <c r="AO421" s="172"/>
      <c r="AP421" s="172"/>
      <c r="AQ421" s="172"/>
      <c r="AR421" s="172"/>
      <c r="AS421" s="172"/>
    </row>
    <row r="422" spans="1:45" ht="27.6">
      <c r="A422" s="69" t="s">
        <v>299</v>
      </c>
      <c r="B422" s="142" t="s">
        <v>300</v>
      </c>
      <c r="C422" s="179"/>
      <c r="D422" s="179"/>
      <c r="E422" s="48" t="s">
        <v>302</v>
      </c>
      <c r="F422" s="48" t="s">
        <v>302</v>
      </c>
      <c r="G422" s="48" t="s">
        <v>302</v>
      </c>
      <c r="H422" s="48" t="s">
        <v>302</v>
      </c>
      <c r="I422" s="48"/>
      <c r="J422" s="48"/>
      <c r="K422" s="48"/>
      <c r="L422" s="48"/>
      <c r="M422" s="230"/>
      <c r="N422" s="230"/>
      <c r="O422" s="230"/>
      <c r="P422" s="155"/>
      <c r="Q422" s="155"/>
      <c r="R422" s="155"/>
      <c r="S422" s="63"/>
      <c r="T422" s="63"/>
      <c r="U422" s="63"/>
      <c r="V422" s="35">
        <v>52</v>
      </c>
      <c r="W422" s="370">
        <f t="shared" si="42"/>
        <v>19.577999999999999</v>
      </c>
      <c r="X422" s="370">
        <f t="shared" si="43"/>
        <v>19.577999999999999</v>
      </c>
      <c r="Y422" s="370">
        <f t="shared" si="44"/>
        <v>23.504000000000001</v>
      </c>
      <c r="Z422" s="370">
        <f t="shared" si="45"/>
        <v>19.707999999999998</v>
      </c>
      <c r="AA422" s="370">
        <f t="shared" si="46"/>
        <v>25.948</v>
      </c>
      <c r="AB422" s="370">
        <f t="shared" si="47"/>
        <v>22.36</v>
      </c>
      <c r="AC422" s="370">
        <f t="shared" si="48"/>
        <v>25.116</v>
      </c>
    </row>
    <row r="423" spans="1:45">
      <c r="C423" s="171"/>
      <c r="D423" s="171"/>
      <c r="V423" s="170"/>
    </row>
    <row r="424" spans="1:45">
      <c r="C424" s="171"/>
      <c r="D424" s="171"/>
      <c r="V424" s="170"/>
    </row>
    <row r="425" spans="1:45">
      <c r="C425" s="171"/>
      <c r="D425" s="171"/>
      <c r="E425" s="162"/>
      <c r="F425" s="162"/>
      <c r="V425" s="170"/>
    </row>
    <row r="426" spans="1:45">
      <c r="C426" s="171"/>
      <c r="D426" s="171"/>
      <c r="V426" s="170"/>
    </row>
    <row r="427" spans="1:45">
      <c r="C427" s="171"/>
      <c r="D427" s="171"/>
      <c r="V427" s="170"/>
    </row>
    <row r="428" spans="1:45">
      <c r="V428" s="170"/>
    </row>
    <row r="429" spans="1:45">
      <c r="V429" s="170"/>
    </row>
    <row r="430" spans="1:45">
      <c r="V430" s="170"/>
    </row>
    <row r="431" spans="1:45">
      <c r="V431" s="170"/>
    </row>
    <row r="432" spans="1:45">
      <c r="V432" s="170"/>
    </row>
    <row r="433" spans="22:22">
      <c r="V433" s="170"/>
    </row>
    <row r="434" spans="22:22">
      <c r="V434" s="170"/>
    </row>
    <row r="435" spans="22:22">
      <c r="V435" s="170"/>
    </row>
    <row r="436" spans="22:22">
      <c r="V436" s="170"/>
    </row>
    <row r="437" spans="22:22">
      <c r="V437" s="170"/>
    </row>
    <row r="438" spans="22:22">
      <c r="V438" s="170"/>
    </row>
    <row r="439" spans="22:22">
      <c r="V439" s="170"/>
    </row>
  </sheetData>
  <mergeCells count="2">
    <mergeCell ref="W7:AC7"/>
    <mergeCell ref="W10:AC10"/>
  </mergeCell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C000"/>
  </sheetPr>
  <dimension ref="A1:W272"/>
  <sheetViews>
    <sheetView zoomScaleNormal="100" workbookViewId="0">
      <selection activeCell="A5" sqref="A5"/>
    </sheetView>
  </sheetViews>
  <sheetFormatPr baseColWidth="10" defaultColWidth="9.44140625" defaultRowHeight="13.8"/>
  <cols>
    <col min="1" max="1" width="94.5546875" style="164" customWidth="1"/>
    <col min="2" max="2" width="59.6640625" style="164" customWidth="1"/>
    <col min="3" max="3" width="24.6640625" style="164" customWidth="1"/>
    <col min="4" max="4" width="17.5546875" style="164" bestFit="1" customWidth="1"/>
    <col min="5" max="5" width="9.44140625" style="164" customWidth="1"/>
    <col min="6" max="6" width="17.33203125" style="164" customWidth="1"/>
    <col min="7" max="7" width="17" style="164" customWidth="1"/>
    <col min="8" max="12" width="12.44140625" style="164" bestFit="1" customWidth="1"/>
    <col min="13" max="13" width="59.33203125" style="164" bestFit="1" customWidth="1"/>
    <col min="14" max="14" width="12.44140625" style="164" bestFit="1" customWidth="1"/>
    <col min="15" max="23" width="12.44140625" style="164" customWidth="1"/>
    <col min="24" max="30" width="9.44140625" style="164" bestFit="1" customWidth="1"/>
    <col min="31" max="16384" width="9.44140625" style="164"/>
  </cols>
  <sheetData>
    <row r="1" spans="1:23">
      <c r="D1" s="163"/>
    </row>
    <row r="2" spans="1:23">
      <c r="D2" s="163"/>
    </row>
    <row r="3" spans="1:23">
      <c r="D3" s="163"/>
    </row>
    <row r="4" spans="1:23">
      <c r="D4" s="163"/>
    </row>
    <row r="5" spans="1:23">
      <c r="D5" s="163"/>
    </row>
    <row r="6" spans="1:23">
      <c r="D6" s="163"/>
    </row>
    <row r="7" spans="1:23" ht="63" customHeight="1">
      <c r="A7" s="128" t="s">
        <v>138</v>
      </c>
      <c r="D7" s="163"/>
      <c r="F7" s="399" t="s">
        <v>1576</v>
      </c>
      <c r="G7" s="400"/>
      <c r="H7" s="400"/>
      <c r="I7" s="400"/>
      <c r="J7" s="400"/>
      <c r="K7" s="400"/>
      <c r="L7" s="401"/>
      <c r="M7" s="284"/>
    </row>
    <row r="8" spans="1:23" ht="13.35" customHeight="1">
      <c r="A8" s="270" t="s">
        <v>1540</v>
      </c>
      <c r="B8" s="38"/>
      <c r="C8" s="38"/>
      <c r="D8" s="163"/>
      <c r="E8" s="163"/>
      <c r="F8" s="258" t="s">
        <v>1567</v>
      </c>
      <c r="G8" s="258" t="s">
        <v>1568</v>
      </c>
      <c r="H8" s="258" t="s">
        <v>1569</v>
      </c>
      <c r="I8" s="258" t="s">
        <v>1570</v>
      </c>
      <c r="J8" s="258" t="s">
        <v>1571</v>
      </c>
      <c r="K8" s="258" t="s">
        <v>1572</v>
      </c>
      <c r="L8" s="258" t="s">
        <v>1577</v>
      </c>
      <c r="M8" s="38"/>
      <c r="N8" s="163"/>
      <c r="O8" s="163"/>
      <c r="P8" s="163"/>
      <c r="Q8" s="163"/>
      <c r="R8" s="163"/>
      <c r="S8" s="163"/>
      <c r="T8" s="163"/>
      <c r="U8" s="163"/>
      <c r="V8" s="163"/>
      <c r="W8" s="163"/>
    </row>
    <row r="9" spans="1:23">
      <c r="A9" s="220"/>
      <c r="B9" s="38"/>
      <c r="C9" s="38"/>
      <c r="D9" s="148"/>
      <c r="E9" s="163"/>
      <c r="F9" s="259">
        <v>0.3765</v>
      </c>
      <c r="G9" s="259">
        <v>0.3765</v>
      </c>
      <c r="H9" s="259">
        <v>0.45200000000000001</v>
      </c>
      <c r="I9" s="259">
        <v>0.379</v>
      </c>
      <c r="J9" s="259">
        <v>0.499</v>
      </c>
      <c r="K9" s="259">
        <v>0.43</v>
      </c>
      <c r="L9" s="259">
        <v>0.48299999999999998</v>
      </c>
      <c r="M9" s="285"/>
      <c r="N9" s="163"/>
      <c r="O9" s="163"/>
      <c r="P9" s="163"/>
      <c r="Q9" s="163"/>
      <c r="R9" s="163"/>
      <c r="S9" s="163"/>
      <c r="T9" s="163"/>
      <c r="U9" s="163"/>
      <c r="V9" s="163"/>
      <c r="W9" s="163"/>
    </row>
    <row r="10" spans="1:23" ht="42.75" customHeight="1">
      <c r="A10" s="110" t="s">
        <v>931</v>
      </c>
      <c r="B10" s="31"/>
      <c r="C10" s="87"/>
      <c r="D10" s="229"/>
      <c r="E10" s="163"/>
      <c r="F10" s="402" t="s">
        <v>1574</v>
      </c>
      <c r="G10" s="402"/>
      <c r="H10" s="402"/>
      <c r="I10" s="402"/>
      <c r="J10" s="402"/>
      <c r="K10" s="402"/>
      <c r="L10" s="402"/>
      <c r="M10" s="163"/>
      <c r="N10" s="163"/>
      <c r="O10" s="163"/>
      <c r="P10" s="163"/>
      <c r="Q10" s="163"/>
      <c r="R10" s="163"/>
      <c r="S10" s="163"/>
      <c r="T10" s="163"/>
      <c r="U10" s="163"/>
      <c r="V10" s="163"/>
      <c r="W10" s="163"/>
    </row>
    <row r="11" spans="1:23" ht="42" customHeight="1">
      <c r="A11" s="234" t="s">
        <v>932</v>
      </c>
      <c r="B11" s="234" t="s">
        <v>933</v>
      </c>
      <c r="C11" s="75" t="s">
        <v>934</v>
      </c>
      <c r="D11" s="225" t="s">
        <v>935</v>
      </c>
      <c r="F11" s="260" t="s">
        <v>1575</v>
      </c>
      <c r="G11" s="260" t="s">
        <v>1575</v>
      </c>
      <c r="H11" s="260" t="s">
        <v>1575</v>
      </c>
      <c r="I11" s="260" t="s">
        <v>1575</v>
      </c>
      <c r="J11" s="260" t="s">
        <v>1575</v>
      </c>
      <c r="K11" s="260" t="s">
        <v>1575</v>
      </c>
      <c r="L11" s="260" t="s">
        <v>1575</v>
      </c>
      <c r="M11" s="163"/>
      <c r="N11" s="163"/>
      <c r="O11" s="163"/>
      <c r="P11" s="163"/>
      <c r="Q11" s="163"/>
      <c r="R11" s="163"/>
      <c r="S11" s="163"/>
      <c r="T11" s="163"/>
      <c r="U11" s="163"/>
      <c r="V11" s="163"/>
      <c r="W11" s="163"/>
    </row>
    <row r="12" spans="1:23">
      <c r="A12" s="15" t="s">
        <v>936</v>
      </c>
      <c r="B12" s="41"/>
      <c r="C12" s="41"/>
      <c r="D12" s="6"/>
      <c r="F12" s="261"/>
      <c r="G12" s="261"/>
      <c r="H12" s="261"/>
      <c r="I12" s="261"/>
      <c r="J12" s="261"/>
      <c r="K12" s="261"/>
      <c r="L12" s="261"/>
      <c r="M12" s="163"/>
      <c r="N12" s="163"/>
      <c r="O12" s="163"/>
      <c r="P12" s="163"/>
      <c r="Q12" s="163"/>
      <c r="R12" s="163"/>
      <c r="S12" s="163"/>
      <c r="T12" s="163"/>
      <c r="U12" s="163"/>
      <c r="V12" s="163"/>
      <c r="W12" s="163"/>
    </row>
    <row r="13" spans="1:23">
      <c r="A13" s="69" t="s">
        <v>937</v>
      </c>
      <c r="B13" s="48" t="s">
        <v>938</v>
      </c>
      <c r="C13" s="40" t="s">
        <v>939</v>
      </c>
      <c r="D13" s="114">
        <v>47</v>
      </c>
      <c r="F13" s="262">
        <f>D13*$F$9</f>
        <v>17.695499999999999</v>
      </c>
      <c r="G13" s="262">
        <f>D13*$G$9</f>
        <v>17.695499999999999</v>
      </c>
      <c r="H13" s="262">
        <f>D13*$H$9</f>
        <v>21.244</v>
      </c>
      <c r="I13" s="262">
        <f>D13*$I$9</f>
        <v>17.812999999999999</v>
      </c>
      <c r="J13" s="262">
        <f>D13*$J$9</f>
        <v>23.452999999999999</v>
      </c>
      <c r="K13" s="262">
        <f>D13*$K$9</f>
        <v>20.21</v>
      </c>
      <c r="L13" s="262">
        <f>D13*$L$9</f>
        <v>22.701000000000001</v>
      </c>
      <c r="M13" s="163"/>
      <c r="N13" s="163"/>
      <c r="O13" s="163"/>
      <c r="P13" s="163"/>
      <c r="Q13" s="163"/>
      <c r="R13" s="163"/>
      <c r="S13" s="163"/>
      <c r="T13" s="163"/>
      <c r="U13" s="163"/>
      <c r="V13" s="163"/>
      <c r="W13" s="163"/>
    </row>
    <row r="14" spans="1:23">
      <c r="A14" s="69" t="s">
        <v>940</v>
      </c>
      <c r="B14" s="151" t="s">
        <v>941</v>
      </c>
      <c r="C14" s="40" t="s">
        <v>942</v>
      </c>
      <c r="D14" s="114">
        <v>126</v>
      </c>
      <c r="F14" s="262">
        <f t="shared" ref="F14:F67" si="0">D14*$F$9</f>
        <v>47.439</v>
      </c>
      <c r="G14" s="262">
        <f t="shared" ref="G14:G67" si="1">D14*$G$9</f>
        <v>47.439</v>
      </c>
      <c r="H14" s="47">
        <f t="shared" ref="H14:H67" si="2">D14*$H$9</f>
        <v>56.951999999999998</v>
      </c>
      <c r="I14" s="47">
        <f t="shared" ref="I14:I67" si="3">D14*$I$9</f>
        <v>47.753999999999998</v>
      </c>
      <c r="J14" s="47">
        <f t="shared" ref="J14:J67" si="4">D14*$J$9</f>
        <v>62.874000000000002</v>
      </c>
      <c r="K14" s="47">
        <f t="shared" ref="K14:K67" si="5">D14*$K$9</f>
        <v>54.18</v>
      </c>
      <c r="L14" s="47">
        <f t="shared" ref="L14:L67" si="6">D14*$L$9</f>
        <v>60.857999999999997</v>
      </c>
      <c r="M14" s="163"/>
      <c r="N14" s="163"/>
      <c r="O14" s="163"/>
      <c r="P14" s="163"/>
      <c r="Q14" s="163"/>
      <c r="R14" s="163"/>
      <c r="S14" s="163"/>
      <c r="T14" s="163"/>
      <c r="U14" s="163"/>
      <c r="V14" s="163"/>
      <c r="W14" s="163"/>
    </row>
    <row r="15" spans="1:23">
      <c r="A15" s="69" t="s">
        <v>943</v>
      </c>
      <c r="B15" s="151" t="s">
        <v>944</v>
      </c>
      <c r="C15" s="40" t="s">
        <v>945</v>
      </c>
      <c r="D15" s="114">
        <v>185</v>
      </c>
      <c r="F15" s="262">
        <f t="shared" si="0"/>
        <v>69.652500000000003</v>
      </c>
      <c r="G15" s="262">
        <f t="shared" si="1"/>
        <v>69.652500000000003</v>
      </c>
      <c r="H15" s="47">
        <f t="shared" si="2"/>
        <v>83.62</v>
      </c>
      <c r="I15" s="47">
        <f t="shared" si="3"/>
        <v>70.114999999999995</v>
      </c>
      <c r="J15" s="47">
        <f t="shared" si="4"/>
        <v>92.314999999999998</v>
      </c>
      <c r="K15" s="47">
        <f t="shared" si="5"/>
        <v>79.55</v>
      </c>
      <c r="L15" s="47">
        <f t="shared" si="6"/>
        <v>89.355000000000004</v>
      </c>
      <c r="M15" s="163"/>
      <c r="N15" s="163"/>
      <c r="O15" s="163"/>
      <c r="P15" s="163"/>
      <c r="Q15" s="163"/>
      <c r="R15" s="163"/>
      <c r="S15" s="163"/>
      <c r="T15" s="163"/>
      <c r="U15" s="163"/>
      <c r="V15" s="163"/>
      <c r="W15" s="163"/>
    </row>
    <row r="16" spans="1:23">
      <c r="A16" s="69"/>
      <c r="B16" s="48"/>
      <c r="C16" s="115"/>
      <c r="D16" s="47"/>
      <c r="F16" s="262"/>
      <c r="G16" s="262"/>
      <c r="H16" s="47"/>
      <c r="I16" s="47"/>
      <c r="J16" s="47"/>
      <c r="K16" s="47"/>
      <c r="L16" s="47"/>
      <c r="M16" s="163"/>
      <c r="N16" s="163"/>
      <c r="O16" s="163"/>
      <c r="P16" s="163"/>
      <c r="Q16" s="163"/>
      <c r="R16" s="163"/>
      <c r="S16" s="163"/>
      <c r="T16" s="163"/>
      <c r="U16" s="163"/>
      <c r="V16" s="163"/>
      <c r="W16" s="163"/>
    </row>
    <row r="17" spans="1:23">
      <c r="A17" s="15" t="s">
        <v>946</v>
      </c>
      <c r="B17" s="41"/>
      <c r="C17" s="41"/>
      <c r="D17" s="125"/>
      <c r="F17" s="261"/>
      <c r="G17" s="261"/>
      <c r="H17" s="261"/>
      <c r="I17" s="261"/>
      <c r="J17" s="261"/>
      <c r="K17" s="261"/>
      <c r="L17" s="261"/>
      <c r="M17" s="163"/>
      <c r="N17" s="163"/>
      <c r="O17" s="163"/>
      <c r="P17" s="163"/>
      <c r="Q17" s="163"/>
      <c r="R17" s="163"/>
      <c r="S17" s="163"/>
      <c r="T17" s="163"/>
      <c r="U17" s="163"/>
      <c r="V17" s="163"/>
      <c r="W17" s="163"/>
    </row>
    <row r="18" spans="1:23">
      <c r="A18" s="132" t="s">
        <v>947</v>
      </c>
      <c r="B18" s="230" t="s">
        <v>948</v>
      </c>
      <c r="C18" s="46" t="s">
        <v>949</v>
      </c>
      <c r="D18" s="114">
        <v>26</v>
      </c>
      <c r="F18" s="262">
        <f t="shared" si="0"/>
        <v>9.7889999999999997</v>
      </c>
      <c r="G18" s="262">
        <f t="shared" si="1"/>
        <v>9.7889999999999997</v>
      </c>
      <c r="H18" s="47">
        <f t="shared" si="2"/>
        <v>11.752000000000001</v>
      </c>
      <c r="I18" s="47">
        <f t="shared" si="3"/>
        <v>9.8539999999999992</v>
      </c>
      <c r="J18" s="47">
        <f t="shared" si="4"/>
        <v>12.974</v>
      </c>
      <c r="K18" s="47">
        <f t="shared" si="5"/>
        <v>11.18</v>
      </c>
      <c r="L18" s="47">
        <f t="shared" si="6"/>
        <v>12.558</v>
      </c>
      <c r="M18" s="163"/>
      <c r="N18" s="163"/>
      <c r="O18" s="163"/>
      <c r="P18" s="163"/>
      <c r="Q18" s="163"/>
      <c r="R18" s="163"/>
      <c r="S18" s="163"/>
      <c r="T18" s="163"/>
      <c r="U18" s="163"/>
      <c r="V18" s="163"/>
      <c r="W18" s="163"/>
    </row>
    <row r="19" spans="1:23">
      <c r="A19" s="132" t="s">
        <v>950</v>
      </c>
      <c r="B19" s="230" t="s">
        <v>951</v>
      </c>
      <c r="C19" s="46" t="s">
        <v>952</v>
      </c>
      <c r="D19" s="114">
        <v>380</v>
      </c>
      <c r="F19" s="262">
        <f t="shared" si="0"/>
        <v>143.07</v>
      </c>
      <c r="G19" s="262">
        <f t="shared" si="1"/>
        <v>143.07</v>
      </c>
      <c r="H19" s="47">
        <f t="shared" si="2"/>
        <v>171.76</v>
      </c>
      <c r="I19" s="47">
        <f t="shared" si="3"/>
        <v>144.02000000000001</v>
      </c>
      <c r="J19" s="47">
        <f t="shared" si="4"/>
        <v>189.62</v>
      </c>
      <c r="K19" s="47">
        <f t="shared" si="5"/>
        <v>163.4</v>
      </c>
      <c r="L19" s="47">
        <f t="shared" si="6"/>
        <v>183.54</v>
      </c>
      <c r="M19" s="163"/>
      <c r="N19" s="163"/>
      <c r="O19" s="163"/>
      <c r="P19" s="163"/>
      <c r="Q19" s="163"/>
      <c r="R19" s="163"/>
      <c r="S19" s="163"/>
      <c r="T19" s="163"/>
      <c r="U19" s="163"/>
      <c r="V19" s="163"/>
      <c r="W19" s="163"/>
    </row>
    <row r="20" spans="1:23">
      <c r="A20" s="69"/>
      <c r="B20" s="48"/>
      <c r="C20" s="88"/>
      <c r="D20" s="47"/>
      <c r="F20" s="262"/>
      <c r="G20" s="262"/>
      <c r="H20" s="47"/>
      <c r="I20" s="47"/>
      <c r="J20" s="47"/>
      <c r="K20" s="47"/>
      <c r="L20" s="47"/>
      <c r="M20" s="163"/>
      <c r="N20" s="163"/>
      <c r="O20" s="163"/>
      <c r="P20" s="163"/>
      <c r="Q20" s="163"/>
      <c r="R20" s="163"/>
      <c r="S20" s="163"/>
      <c r="T20" s="163"/>
      <c r="U20" s="163"/>
      <c r="V20" s="163"/>
      <c r="W20" s="163"/>
    </row>
    <row r="21" spans="1:23">
      <c r="A21" s="15" t="s">
        <v>953</v>
      </c>
      <c r="B21" s="41"/>
      <c r="C21" s="41"/>
      <c r="D21" s="125"/>
      <c r="F21" s="261"/>
      <c r="G21" s="261"/>
      <c r="H21" s="261"/>
      <c r="I21" s="261"/>
      <c r="J21" s="261"/>
      <c r="K21" s="261"/>
      <c r="L21" s="261"/>
      <c r="M21" s="163"/>
      <c r="N21" s="163"/>
      <c r="O21" s="163"/>
      <c r="P21" s="163"/>
      <c r="Q21" s="163"/>
      <c r="R21" s="163"/>
      <c r="S21" s="163"/>
      <c r="T21" s="163"/>
      <c r="U21" s="163"/>
      <c r="V21" s="163"/>
      <c r="W21" s="163"/>
    </row>
    <row r="22" spans="1:23">
      <c r="A22" s="69" t="s">
        <v>954</v>
      </c>
      <c r="B22" s="48" t="s">
        <v>955</v>
      </c>
      <c r="C22" s="88" t="s">
        <v>1578</v>
      </c>
      <c r="D22" s="114">
        <v>11</v>
      </c>
      <c r="F22" s="262">
        <f t="shared" si="0"/>
        <v>4.1414999999999997</v>
      </c>
      <c r="G22" s="262">
        <f t="shared" si="1"/>
        <v>4.1414999999999997</v>
      </c>
      <c r="H22" s="47">
        <f t="shared" si="2"/>
        <v>4.9720000000000004</v>
      </c>
      <c r="I22" s="47">
        <f t="shared" si="3"/>
        <v>4.1690000000000005</v>
      </c>
      <c r="J22" s="47">
        <f t="shared" si="4"/>
        <v>5.4889999999999999</v>
      </c>
      <c r="K22" s="47">
        <f t="shared" si="5"/>
        <v>4.7299999999999995</v>
      </c>
      <c r="L22" s="47">
        <f t="shared" si="6"/>
        <v>5.3129999999999997</v>
      </c>
      <c r="M22" s="163"/>
      <c r="N22" s="163"/>
      <c r="O22" s="163"/>
      <c r="P22" s="163"/>
      <c r="Q22" s="163"/>
      <c r="R22" s="163"/>
      <c r="S22" s="163"/>
      <c r="T22" s="163"/>
      <c r="U22" s="163"/>
      <c r="V22" s="163"/>
      <c r="W22" s="163"/>
    </row>
    <row r="23" spans="1:23">
      <c r="A23" s="69" t="s">
        <v>957</v>
      </c>
      <c r="B23" s="86" t="s">
        <v>958</v>
      </c>
      <c r="C23" s="88" t="s">
        <v>959</v>
      </c>
      <c r="D23" s="114">
        <v>122</v>
      </c>
      <c r="F23" s="262">
        <f t="shared" si="0"/>
        <v>45.933</v>
      </c>
      <c r="G23" s="262">
        <f t="shared" si="1"/>
        <v>45.933</v>
      </c>
      <c r="H23" s="47">
        <f t="shared" si="2"/>
        <v>55.143999999999998</v>
      </c>
      <c r="I23" s="47">
        <f t="shared" si="3"/>
        <v>46.238</v>
      </c>
      <c r="J23" s="47">
        <f t="shared" si="4"/>
        <v>60.878</v>
      </c>
      <c r="K23" s="47">
        <f t="shared" si="5"/>
        <v>52.46</v>
      </c>
      <c r="L23" s="47">
        <f t="shared" si="6"/>
        <v>58.925999999999995</v>
      </c>
      <c r="M23" s="163"/>
      <c r="N23" s="163"/>
      <c r="O23" s="163"/>
      <c r="P23" s="163"/>
      <c r="Q23" s="163"/>
      <c r="R23" s="163"/>
      <c r="S23" s="163"/>
      <c r="T23" s="163"/>
      <c r="U23" s="163"/>
      <c r="V23" s="163"/>
      <c r="W23" s="163"/>
    </row>
    <row r="24" spans="1:23" ht="14.4">
      <c r="A24" s="69" t="s">
        <v>960</v>
      </c>
      <c r="B24" s="71" t="s">
        <v>961</v>
      </c>
      <c r="C24" s="88" t="s">
        <v>962</v>
      </c>
      <c r="D24" s="114">
        <v>14</v>
      </c>
      <c r="F24" s="262">
        <f t="shared" si="0"/>
        <v>5.2709999999999999</v>
      </c>
      <c r="G24" s="262">
        <f t="shared" si="1"/>
        <v>5.2709999999999999</v>
      </c>
      <c r="H24" s="47">
        <f t="shared" si="2"/>
        <v>6.3280000000000003</v>
      </c>
      <c r="I24" s="47">
        <f t="shared" si="3"/>
        <v>5.306</v>
      </c>
      <c r="J24" s="47">
        <f t="shared" si="4"/>
        <v>6.9859999999999998</v>
      </c>
      <c r="K24" s="47">
        <f t="shared" si="5"/>
        <v>6.02</v>
      </c>
      <c r="L24" s="47">
        <f t="shared" si="6"/>
        <v>6.7619999999999996</v>
      </c>
      <c r="M24" s="286"/>
      <c r="N24" s="163"/>
      <c r="O24" s="163"/>
      <c r="P24" s="163"/>
      <c r="Q24" s="163"/>
      <c r="R24" s="163"/>
      <c r="S24" s="163"/>
      <c r="T24" s="163"/>
      <c r="U24" s="163"/>
      <c r="V24" s="163"/>
      <c r="W24" s="163"/>
    </row>
    <row r="25" spans="1:23" ht="14.4">
      <c r="A25" s="69" t="s">
        <v>963</v>
      </c>
      <c r="B25" s="86" t="s">
        <v>963</v>
      </c>
      <c r="C25" s="88" t="s">
        <v>964</v>
      </c>
      <c r="D25" s="114">
        <v>14</v>
      </c>
      <c r="F25" s="262">
        <f t="shared" si="0"/>
        <v>5.2709999999999999</v>
      </c>
      <c r="G25" s="262">
        <f t="shared" si="1"/>
        <v>5.2709999999999999</v>
      </c>
      <c r="H25" s="47">
        <f t="shared" si="2"/>
        <v>6.3280000000000003</v>
      </c>
      <c r="I25" s="47">
        <f t="shared" si="3"/>
        <v>5.306</v>
      </c>
      <c r="J25" s="47">
        <f t="shared" si="4"/>
        <v>6.9859999999999998</v>
      </c>
      <c r="K25" s="47">
        <f t="shared" si="5"/>
        <v>6.02</v>
      </c>
      <c r="L25" s="47">
        <f t="shared" si="6"/>
        <v>6.7619999999999996</v>
      </c>
      <c r="M25" s="286"/>
      <c r="N25" s="163"/>
      <c r="O25" s="163"/>
      <c r="P25" s="163"/>
      <c r="Q25" s="163"/>
      <c r="R25" s="163"/>
      <c r="S25" s="163"/>
      <c r="T25" s="163"/>
      <c r="U25" s="163"/>
      <c r="V25" s="163"/>
      <c r="W25" s="163"/>
    </row>
    <row r="26" spans="1:23">
      <c r="A26" s="132" t="s">
        <v>965</v>
      </c>
      <c r="B26" s="235" t="s">
        <v>966</v>
      </c>
      <c r="C26" s="46" t="s">
        <v>967</v>
      </c>
      <c r="D26" s="114">
        <v>30</v>
      </c>
      <c r="F26" s="262">
        <f t="shared" si="0"/>
        <v>11.295</v>
      </c>
      <c r="G26" s="262">
        <f t="shared" si="1"/>
        <v>11.295</v>
      </c>
      <c r="H26" s="47">
        <f t="shared" si="2"/>
        <v>13.56</v>
      </c>
      <c r="I26" s="47">
        <f t="shared" si="3"/>
        <v>11.370000000000001</v>
      </c>
      <c r="J26" s="47">
        <f t="shared" si="4"/>
        <v>14.97</v>
      </c>
      <c r="K26" s="47">
        <f t="shared" si="5"/>
        <v>12.9</v>
      </c>
      <c r="L26" s="47">
        <f t="shared" si="6"/>
        <v>14.49</v>
      </c>
      <c r="M26" s="163"/>
      <c r="N26" s="163"/>
      <c r="O26" s="163"/>
      <c r="P26" s="163"/>
      <c r="Q26" s="163"/>
      <c r="R26" s="163"/>
      <c r="S26" s="163"/>
      <c r="T26" s="163"/>
      <c r="U26" s="163"/>
      <c r="V26" s="163"/>
      <c r="W26" s="163"/>
    </row>
    <row r="27" spans="1:23">
      <c r="A27" s="132" t="s">
        <v>968</v>
      </c>
      <c r="B27" s="235" t="s">
        <v>969</v>
      </c>
      <c r="C27" s="46" t="s">
        <v>970</v>
      </c>
      <c r="D27" s="114">
        <v>19</v>
      </c>
      <c r="F27" s="262">
        <f t="shared" si="0"/>
        <v>7.1535000000000002</v>
      </c>
      <c r="G27" s="262">
        <f t="shared" si="1"/>
        <v>7.1535000000000002</v>
      </c>
      <c r="H27" s="47">
        <f t="shared" si="2"/>
        <v>8.588000000000001</v>
      </c>
      <c r="I27" s="47">
        <f t="shared" si="3"/>
        <v>7.2010000000000005</v>
      </c>
      <c r="J27" s="47">
        <f t="shared" si="4"/>
        <v>9.4809999999999999</v>
      </c>
      <c r="K27" s="47">
        <f t="shared" si="5"/>
        <v>8.17</v>
      </c>
      <c r="L27" s="47">
        <f t="shared" si="6"/>
        <v>9.1769999999999996</v>
      </c>
      <c r="M27" s="163"/>
      <c r="N27" s="163"/>
      <c r="O27" s="163"/>
      <c r="P27" s="163"/>
      <c r="Q27" s="163"/>
      <c r="R27" s="163"/>
      <c r="S27" s="163"/>
      <c r="T27" s="163"/>
      <c r="U27" s="163"/>
      <c r="V27" s="163"/>
      <c r="W27" s="163"/>
    </row>
    <row r="28" spans="1:23" ht="14.4">
      <c r="A28" s="55" t="s">
        <v>1613</v>
      </c>
      <c r="B28" s="352" t="s">
        <v>971</v>
      </c>
      <c r="C28" s="353" t="s">
        <v>1614</v>
      </c>
      <c r="D28" s="143">
        <v>32</v>
      </c>
      <c r="F28" s="143">
        <f>D28*$F$9</f>
        <v>12.048</v>
      </c>
      <c r="G28" s="143">
        <f>D28*$G$9</f>
        <v>12.048</v>
      </c>
      <c r="H28" s="143">
        <f>D28*$H$9</f>
        <v>14.464</v>
      </c>
      <c r="I28" s="143">
        <f>D28*$I$9</f>
        <v>12.128</v>
      </c>
      <c r="J28" s="143">
        <f>D28*$J$9</f>
        <v>15.968</v>
      </c>
      <c r="K28" s="143">
        <f>D28*$K$9</f>
        <v>13.76</v>
      </c>
      <c r="L28" s="143">
        <f>D28*$L$9</f>
        <v>15.456</v>
      </c>
      <c r="M28"/>
      <c r="N28" s="163"/>
      <c r="O28" s="163"/>
      <c r="P28" s="163"/>
      <c r="Q28" s="163"/>
      <c r="R28" s="163"/>
      <c r="S28" s="163"/>
      <c r="T28" s="163"/>
      <c r="U28" s="163"/>
      <c r="V28" s="163"/>
      <c r="W28" s="163"/>
    </row>
    <row r="29" spans="1:23">
      <c r="A29" s="42" t="s">
        <v>972</v>
      </c>
      <c r="B29" s="42" t="s">
        <v>973</v>
      </c>
      <c r="C29" s="40" t="s">
        <v>974</v>
      </c>
      <c r="D29" s="114">
        <v>22</v>
      </c>
      <c r="F29" s="262">
        <f t="shared" si="0"/>
        <v>8.2829999999999995</v>
      </c>
      <c r="G29" s="262">
        <f t="shared" si="1"/>
        <v>8.2829999999999995</v>
      </c>
      <c r="H29" s="47">
        <f t="shared" si="2"/>
        <v>9.9440000000000008</v>
      </c>
      <c r="I29" s="47">
        <f t="shared" si="3"/>
        <v>8.338000000000001</v>
      </c>
      <c r="J29" s="47">
        <f t="shared" si="4"/>
        <v>10.978</v>
      </c>
      <c r="K29" s="47">
        <f t="shared" si="5"/>
        <v>9.4599999999999991</v>
      </c>
      <c r="L29" s="47">
        <f t="shared" si="6"/>
        <v>10.625999999999999</v>
      </c>
      <c r="M29" s="163"/>
      <c r="N29" s="163"/>
      <c r="O29" s="163"/>
      <c r="P29" s="163"/>
      <c r="Q29" s="163"/>
      <c r="R29" s="163"/>
      <c r="S29" s="163"/>
      <c r="T29" s="163"/>
      <c r="U29" s="163"/>
      <c r="V29" s="163"/>
      <c r="W29" s="163"/>
    </row>
    <row r="30" spans="1:23">
      <c r="A30" s="42" t="s">
        <v>975</v>
      </c>
      <c r="B30" s="42" t="s">
        <v>976</v>
      </c>
      <c r="C30" s="40" t="s">
        <v>977</v>
      </c>
      <c r="D30" s="114">
        <v>12</v>
      </c>
      <c r="F30" s="262">
        <f t="shared" ref="F30" si="7">D30*$F$9</f>
        <v>4.5179999999999998</v>
      </c>
      <c r="G30" s="262">
        <f t="shared" ref="G30" si="8">D30*$G$9</f>
        <v>4.5179999999999998</v>
      </c>
      <c r="H30" s="47">
        <f t="shared" ref="H30" si="9">D30*$H$9</f>
        <v>5.4240000000000004</v>
      </c>
      <c r="I30" s="47">
        <f t="shared" ref="I30" si="10">D30*$I$9</f>
        <v>4.548</v>
      </c>
      <c r="J30" s="47">
        <f t="shared" ref="J30" si="11">D30*$J$9</f>
        <v>5.9879999999999995</v>
      </c>
      <c r="K30" s="47">
        <f t="shared" ref="K30" si="12">D30*$K$9</f>
        <v>5.16</v>
      </c>
      <c r="L30" s="47">
        <f t="shared" ref="L30" si="13">D30*$L$9</f>
        <v>5.7959999999999994</v>
      </c>
      <c r="M30" s="163"/>
      <c r="N30" s="163"/>
      <c r="O30" s="163"/>
      <c r="P30" s="163"/>
      <c r="Q30" s="163"/>
      <c r="R30" s="163"/>
      <c r="S30" s="163"/>
      <c r="T30" s="163"/>
      <c r="U30" s="163"/>
      <c r="V30" s="163"/>
      <c r="W30" s="163"/>
    </row>
    <row r="31" spans="1:23">
      <c r="A31" s="42"/>
      <c r="B31" s="42"/>
      <c r="C31" s="40"/>
      <c r="D31" s="114"/>
      <c r="F31" s="262"/>
      <c r="G31" s="262"/>
      <c r="H31" s="47"/>
      <c r="I31" s="47"/>
      <c r="J31" s="47"/>
      <c r="K31" s="47"/>
      <c r="L31" s="47"/>
      <c r="M31" s="163"/>
      <c r="N31" s="163"/>
      <c r="O31" s="163"/>
      <c r="P31" s="163"/>
      <c r="Q31" s="163"/>
      <c r="R31" s="163"/>
      <c r="S31" s="163"/>
      <c r="T31" s="163"/>
      <c r="U31" s="163"/>
      <c r="V31" s="163"/>
      <c r="W31" s="163"/>
    </row>
    <row r="32" spans="1:23">
      <c r="A32" s="15" t="s">
        <v>978</v>
      </c>
      <c r="B32" s="41"/>
      <c r="C32" s="41"/>
      <c r="D32" s="125"/>
      <c r="F32" s="261"/>
      <c r="G32" s="261"/>
      <c r="H32" s="261"/>
      <c r="I32" s="261"/>
      <c r="J32" s="261"/>
      <c r="K32" s="261"/>
      <c r="L32" s="261"/>
      <c r="M32" s="163"/>
      <c r="N32" s="163"/>
      <c r="O32" s="163"/>
      <c r="P32" s="163"/>
      <c r="Q32" s="163"/>
      <c r="R32" s="163"/>
      <c r="S32" s="163"/>
      <c r="T32" s="163"/>
      <c r="U32" s="163"/>
      <c r="V32" s="163"/>
      <c r="W32" s="163"/>
    </row>
    <row r="33" spans="1:23">
      <c r="A33" s="69" t="s">
        <v>979</v>
      </c>
      <c r="B33" s="48" t="s">
        <v>980</v>
      </c>
      <c r="C33" s="88" t="s">
        <v>981</v>
      </c>
      <c r="D33" s="114">
        <v>4</v>
      </c>
      <c r="F33" s="262">
        <f t="shared" si="0"/>
        <v>1.506</v>
      </c>
      <c r="G33" s="262">
        <f t="shared" si="1"/>
        <v>1.506</v>
      </c>
      <c r="H33" s="47">
        <f t="shared" si="2"/>
        <v>1.8080000000000001</v>
      </c>
      <c r="I33" s="47">
        <f t="shared" si="3"/>
        <v>1.516</v>
      </c>
      <c r="J33" s="47">
        <f t="shared" si="4"/>
        <v>1.996</v>
      </c>
      <c r="K33" s="47">
        <f t="shared" si="5"/>
        <v>1.72</v>
      </c>
      <c r="L33" s="47">
        <f t="shared" si="6"/>
        <v>1.9319999999999999</v>
      </c>
      <c r="M33" s="163"/>
      <c r="N33" s="163"/>
      <c r="O33" s="163"/>
      <c r="P33" s="163"/>
      <c r="Q33" s="163"/>
      <c r="R33" s="163"/>
      <c r="S33" s="163"/>
      <c r="T33" s="163"/>
      <c r="U33" s="163"/>
      <c r="V33" s="163"/>
      <c r="W33" s="163"/>
    </row>
    <row r="34" spans="1:23" ht="17.7" customHeight="1">
      <c r="A34" s="69" t="s">
        <v>982</v>
      </c>
      <c r="B34" s="48" t="s">
        <v>983</v>
      </c>
      <c r="C34" s="88" t="s">
        <v>984</v>
      </c>
      <c r="D34" s="114">
        <v>13</v>
      </c>
      <c r="F34" s="262">
        <f t="shared" si="0"/>
        <v>4.8944999999999999</v>
      </c>
      <c r="G34" s="262">
        <f t="shared" si="1"/>
        <v>4.8944999999999999</v>
      </c>
      <c r="H34" s="47">
        <f t="shared" si="2"/>
        <v>5.8760000000000003</v>
      </c>
      <c r="I34" s="47">
        <f t="shared" si="3"/>
        <v>4.9269999999999996</v>
      </c>
      <c r="J34" s="47">
        <f t="shared" si="4"/>
        <v>6.4870000000000001</v>
      </c>
      <c r="K34" s="47">
        <f t="shared" si="5"/>
        <v>5.59</v>
      </c>
      <c r="L34" s="47">
        <f t="shared" si="6"/>
        <v>6.2789999999999999</v>
      </c>
      <c r="M34" s="163"/>
      <c r="N34" s="163"/>
      <c r="O34" s="163"/>
      <c r="P34" s="163"/>
      <c r="Q34" s="163"/>
      <c r="R34" s="163"/>
      <c r="S34" s="163"/>
      <c r="T34" s="163"/>
      <c r="U34" s="163"/>
      <c r="V34" s="163"/>
      <c r="W34" s="163"/>
    </row>
    <row r="35" spans="1:23">
      <c r="A35" s="69" t="s">
        <v>985</v>
      </c>
      <c r="B35" s="48" t="s">
        <v>986</v>
      </c>
      <c r="C35" s="88" t="s">
        <v>987</v>
      </c>
      <c r="D35" s="114">
        <v>17</v>
      </c>
      <c r="F35" s="262">
        <f t="shared" si="0"/>
        <v>6.4005000000000001</v>
      </c>
      <c r="G35" s="262">
        <f t="shared" si="1"/>
        <v>6.4005000000000001</v>
      </c>
      <c r="H35" s="47">
        <f t="shared" si="2"/>
        <v>7.6840000000000002</v>
      </c>
      <c r="I35" s="47">
        <f t="shared" si="3"/>
        <v>6.4429999999999996</v>
      </c>
      <c r="J35" s="47">
        <f t="shared" si="4"/>
        <v>8.4830000000000005</v>
      </c>
      <c r="K35" s="47">
        <f t="shared" si="5"/>
        <v>7.31</v>
      </c>
      <c r="L35" s="47">
        <f t="shared" si="6"/>
        <v>8.2110000000000003</v>
      </c>
      <c r="M35" s="163"/>
      <c r="N35" s="163"/>
      <c r="O35" s="163"/>
      <c r="P35" s="163"/>
      <c r="Q35" s="163"/>
      <c r="R35" s="163"/>
      <c r="S35" s="163"/>
      <c r="T35" s="163"/>
      <c r="U35" s="163"/>
      <c r="V35" s="163"/>
      <c r="W35" s="163"/>
    </row>
    <row r="36" spans="1:23">
      <c r="A36" s="69" t="s">
        <v>988</v>
      </c>
      <c r="B36" s="48" t="s">
        <v>989</v>
      </c>
      <c r="C36" s="88" t="s">
        <v>990</v>
      </c>
      <c r="D36" s="114">
        <v>28</v>
      </c>
      <c r="F36" s="262">
        <f t="shared" si="0"/>
        <v>10.542</v>
      </c>
      <c r="G36" s="262">
        <f t="shared" si="1"/>
        <v>10.542</v>
      </c>
      <c r="H36" s="47">
        <f t="shared" si="2"/>
        <v>12.656000000000001</v>
      </c>
      <c r="I36" s="47">
        <f t="shared" si="3"/>
        <v>10.612</v>
      </c>
      <c r="J36" s="47">
        <f t="shared" si="4"/>
        <v>13.972</v>
      </c>
      <c r="K36" s="47">
        <f t="shared" si="5"/>
        <v>12.04</v>
      </c>
      <c r="L36" s="47">
        <f t="shared" si="6"/>
        <v>13.523999999999999</v>
      </c>
      <c r="M36" s="163"/>
      <c r="N36" s="163"/>
      <c r="O36" s="163"/>
      <c r="P36" s="163"/>
      <c r="Q36" s="163"/>
      <c r="R36" s="163"/>
      <c r="S36" s="163"/>
      <c r="T36" s="163"/>
      <c r="U36" s="163"/>
      <c r="V36" s="163"/>
      <c r="W36" s="163"/>
    </row>
    <row r="37" spans="1:23">
      <c r="A37" s="69" t="s">
        <v>991</v>
      </c>
      <c r="B37" s="48" t="s">
        <v>992</v>
      </c>
      <c r="C37" s="88" t="s">
        <v>993</v>
      </c>
      <c r="D37" s="114">
        <v>32</v>
      </c>
      <c r="F37" s="262">
        <f t="shared" si="0"/>
        <v>12.048</v>
      </c>
      <c r="G37" s="262">
        <f t="shared" si="1"/>
        <v>12.048</v>
      </c>
      <c r="H37" s="47">
        <f t="shared" si="2"/>
        <v>14.464</v>
      </c>
      <c r="I37" s="47">
        <f t="shared" si="3"/>
        <v>12.128</v>
      </c>
      <c r="J37" s="47">
        <f t="shared" si="4"/>
        <v>15.968</v>
      </c>
      <c r="K37" s="47">
        <f t="shared" si="5"/>
        <v>13.76</v>
      </c>
      <c r="L37" s="47">
        <f t="shared" si="6"/>
        <v>15.456</v>
      </c>
      <c r="M37" s="163"/>
      <c r="N37" s="163"/>
      <c r="O37" s="163"/>
      <c r="P37" s="163"/>
      <c r="Q37" s="163"/>
      <c r="R37" s="163"/>
      <c r="S37" s="163"/>
      <c r="T37" s="163"/>
      <c r="U37" s="163"/>
      <c r="V37" s="163"/>
      <c r="W37" s="163"/>
    </row>
    <row r="38" spans="1:23">
      <c r="A38" s="132" t="s">
        <v>994</v>
      </c>
      <c r="B38" s="230" t="s">
        <v>284</v>
      </c>
      <c r="C38" s="116" t="s">
        <v>995</v>
      </c>
      <c r="D38" s="114">
        <v>33</v>
      </c>
      <c r="F38" s="262">
        <f t="shared" si="0"/>
        <v>12.4245</v>
      </c>
      <c r="G38" s="262">
        <f t="shared" si="1"/>
        <v>12.4245</v>
      </c>
      <c r="H38" s="47">
        <f t="shared" si="2"/>
        <v>14.916</v>
      </c>
      <c r="I38" s="47">
        <f t="shared" si="3"/>
        <v>12.507</v>
      </c>
      <c r="J38" s="47">
        <f t="shared" si="4"/>
        <v>16.466999999999999</v>
      </c>
      <c r="K38" s="47">
        <f t="shared" si="5"/>
        <v>14.19</v>
      </c>
      <c r="L38" s="47">
        <f t="shared" si="6"/>
        <v>15.939</v>
      </c>
      <c r="M38" s="163"/>
      <c r="N38" s="163"/>
      <c r="O38" s="163"/>
      <c r="P38" s="163"/>
      <c r="Q38" s="163"/>
      <c r="R38" s="163"/>
      <c r="S38" s="163"/>
      <c r="T38" s="163"/>
      <c r="U38" s="163"/>
      <c r="V38" s="163"/>
      <c r="W38" s="163"/>
    </row>
    <row r="39" spans="1:23" ht="14.4">
      <c r="A39" s="69" t="s">
        <v>1907</v>
      </c>
      <c r="B39" s="354" t="s">
        <v>1906</v>
      </c>
      <c r="C39" s="355" t="s">
        <v>1905</v>
      </c>
      <c r="D39" s="143">
        <v>36</v>
      </c>
      <c r="F39" s="143">
        <f>D39*$F$9</f>
        <v>13.554</v>
      </c>
      <c r="G39" s="143">
        <f>D39*$G$9</f>
        <v>13.554</v>
      </c>
      <c r="H39" s="143">
        <f>D39*$H$9</f>
        <v>16.272000000000002</v>
      </c>
      <c r="I39" s="143">
        <f>D39*$I$9</f>
        <v>13.644</v>
      </c>
      <c r="J39" s="143">
        <f>D39*$J$9</f>
        <v>17.963999999999999</v>
      </c>
      <c r="K39" s="143">
        <f>D39*$K$9</f>
        <v>15.48</v>
      </c>
      <c r="L39" s="143">
        <f>D39*$L$9</f>
        <v>17.387999999999998</v>
      </c>
      <c r="M39"/>
      <c r="N39" s="163"/>
      <c r="O39" s="163"/>
      <c r="P39" s="163"/>
      <c r="Q39" s="163"/>
      <c r="R39" s="163"/>
      <c r="S39" s="163"/>
      <c r="T39" s="163"/>
      <c r="U39" s="163"/>
      <c r="V39" s="163"/>
      <c r="W39" s="163"/>
    </row>
    <row r="40" spans="1:23">
      <c r="A40" s="69" t="s">
        <v>996</v>
      </c>
      <c r="B40" s="48" t="s">
        <v>997</v>
      </c>
      <c r="C40" s="88" t="s">
        <v>998</v>
      </c>
      <c r="D40" s="114">
        <v>5</v>
      </c>
      <c r="F40" s="262">
        <f t="shared" si="0"/>
        <v>1.8825000000000001</v>
      </c>
      <c r="G40" s="262">
        <f t="shared" si="1"/>
        <v>1.8825000000000001</v>
      </c>
      <c r="H40" s="47">
        <f t="shared" si="2"/>
        <v>2.2600000000000002</v>
      </c>
      <c r="I40" s="47">
        <f t="shared" si="3"/>
        <v>1.895</v>
      </c>
      <c r="J40" s="47">
        <f t="shared" si="4"/>
        <v>2.4950000000000001</v>
      </c>
      <c r="K40" s="47">
        <f t="shared" si="5"/>
        <v>2.15</v>
      </c>
      <c r="L40" s="47">
        <f t="shared" si="6"/>
        <v>2.415</v>
      </c>
      <c r="M40" s="163"/>
      <c r="N40" s="163"/>
      <c r="O40" s="163"/>
      <c r="P40" s="163"/>
      <c r="Q40" s="163"/>
      <c r="R40" s="163"/>
      <c r="S40" s="163"/>
      <c r="T40" s="163"/>
      <c r="U40" s="163"/>
      <c r="V40" s="163"/>
      <c r="W40" s="163"/>
    </row>
    <row r="41" spans="1:23">
      <c r="A41" s="69" t="s">
        <v>999</v>
      </c>
      <c r="B41" s="48" t="s">
        <v>1000</v>
      </c>
      <c r="C41" s="88" t="s">
        <v>1001</v>
      </c>
      <c r="D41" s="114">
        <v>58</v>
      </c>
      <c r="F41" s="262">
        <f t="shared" si="0"/>
        <v>21.837</v>
      </c>
      <c r="G41" s="262">
        <f t="shared" si="1"/>
        <v>21.837</v>
      </c>
      <c r="H41" s="47">
        <f t="shared" si="2"/>
        <v>26.216000000000001</v>
      </c>
      <c r="I41" s="47">
        <f t="shared" si="3"/>
        <v>21.981999999999999</v>
      </c>
      <c r="J41" s="47">
        <f t="shared" si="4"/>
        <v>28.942</v>
      </c>
      <c r="K41" s="47">
        <f t="shared" si="5"/>
        <v>24.94</v>
      </c>
      <c r="L41" s="47">
        <f t="shared" si="6"/>
        <v>28.013999999999999</v>
      </c>
      <c r="M41" s="163"/>
      <c r="N41" s="163"/>
      <c r="O41" s="163"/>
      <c r="P41" s="163"/>
      <c r="Q41" s="163"/>
      <c r="R41" s="163"/>
      <c r="S41" s="163"/>
      <c r="T41" s="163"/>
      <c r="U41" s="163"/>
      <c r="V41" s="163"/>
      <c r="W41" s="163"/>
    </row>
    <row r="42" spans="1:23">
      <c r="A42" s="69" t="s">
        <v>1002</v>
      </c>
      <c r="B42" s="48" t="s">
        <v>1003</v>
      </c>
      <c r="C42" s="88" t="s">
        <v>1004</v>
      </c>
      <c r="D42" s="114">
        <v>447</v>
      </c>
      <c r="F42" s="262">
        <f t="shared" si="0"/>
        <v>168.2955</v>
      </c>
      <c r="G42" s="262">
        <f t="shared" si="1"/>
        <v>168.2955</v>
      </c>
      <c r="H42" s="47">
        <f t="shared" si="2"/>
        <v>202.04400000000001</v>
      </c>
      <c r="I42" s="47">
        <f t="shared" si="3"/>
        <v>169.41300000000001</v>
      </c>
      <c r="J42" s="47">
        <f t="shared" si="4"/>
        <v>223.053</v>
      </c>
      <c r="K42" s="47">
        <f t="shared" si="5"/>
        <v>192.21</v>
      </c>
      <c r="L42" s="47">
        <f t="shared" si="6"/>
        <v>215.90099999999998</v>
      </c>
      <c r="M42" s="163"/>
      <c r="N42" s="163"/>
      <c r="O42" s="163"/>
      <c r="P42" s="163"/>
      <c r="Q42" s="163"/>
      <c r="R42" s="163"/>
      <c r="S42" s="163"/>
      <c r="T42" s="163"/>
      <c r="U42" s="163"/>
      <c r="V42" s="163"/>
      <c r="W42" s="163"/>
    </row>
    <row r="43" spans="1:23">
      <c r="A43" s="42" t="s">
        <v>1005</v>
      </c>
      <c r="B43" s="42" t="s">
        <v>1006</v>
      </c>
      <c r="C43" s="40" t="s">
        <v>1007</v>
      </c>
      <c r="D43" s="114">
        <v>10</v>
      </c>
      <c r="F43" s="262">
        <f t="shared" si="0"/>
        <v>3.7650000000000001</v>
      </c>
      <c r="G43" s="262">
        <f t="shared" si="1"/>
        <v>3.7650000000000001</v>
      </c>
      <c r="H43" s="47">
        <f t="shared" si="2"/>
        <v>4.5200000000000005</v>
      </c>
      <c r="I43" s="47">
        <f t="shared" si="3"/>
        <v>3.79</v>
      </c>
      <c r="J43" s="47">
        <f t="shared" si="4"/>
        <v>4.99</v>
      </c>
      <c r="K43" s="47">
        <f t="shared" si="5"/>
        <v>4.3</v>
      </c>
      <c r="L43" s="47">
        <f t="shared" si="6"/>
        <v>4.83</v>
      </c>
      <c r="M43" s="163"/>
      <c r="N43" s="163"/>
      <c r="O43" s="163"/>
      <c r="P43" s="163"/>
      <c r="Q43" s="163"/>
      <c r="R43" s="163"/>
      <c r="S43" s="163"/>
      <c r="T43" s="163"/>
      <c r="U43" s="163"/>
      <c r="V43" s="163"/>
      <c r="W43" s="163"/>
    </row>
    <row r="44" spans="1:23">
      <c r="A44" s="69" t="s">
        <v>1008</v>
      </c>
      <c r="B44" s="48" t="s">
        <v>1009</v>
      </c>
      <c r="C44" s="44" t="s">
        <v>1010</v>
      </c>
      <c r="D44" s="47">
        <v>6</v>
      </c>
      <c r="F44" s="262">
        <f t="shared" ref="F44" si="14">D44*$F$9</f>
        <v>2.2589999999999999</v>
      </c>
      <c r="G44" s="262">
        <f t="shared" ref="G44" si="15">D44*$G$9</f>
        <v>2.2589999999999999</v>
      </c>
      <c r="H44" s="47">
        <f t="shared" ref="H44" si="16">D44*$H$9</f>
        <v>2.7120000000000002</v>
      </c>
      <c r="I44" s="47">
        <f t="shared" ref="I44" si="17">D44*$I$9</f>
        <v>2.274</v>
      </c>
      <c r="J44" s="47">
        <f t="shared" ref="J44" si="18">D44*$J$9</f>
        <v>2.9939999999999998</v>
      </c>
      <c r="K44" s="47">
        <f t="shared" ref="K44" si="19">D44*$K$9</f>
        <v>2.58</v>
      </c>
      <c r="L44" s="47">
        <f t="shared" ref="L44" si="20">D44*$L$9</f>
        <v>2.8979999999999997</v>
      </c>
      <c r="M44" s="163"/>
      <c r="N44" s="163"/>
      <c r="O44" s="163"/>
      <c r="P44" s="163"/>
      <c r="Q44" s="163"/>
      <c r="R44" s="163"/>
      <c r="S44" s="163"/>
      <c r="T44" s="163"/>
      <c r="U44" s="163"/>
      <c r="V44" s="163"/>
      <c r="W44" s="163"/>
    </row>
    <row r="45" spans="1:23">
      <c r="A45" s="69"/>
      <c r="B45" s="48"/>
      <c r="C45" s="88"/>
      <c r="D45" s="47"/>
      <c r="F45" s="262"/>
      <c r="G45" s="262"/>
      <c r="H45" s="47"/>
      <c r="I45" s="47"/>
      <c r="J45" s="47"/>
      <c r="K45" s="47"/>
      <c r="L45" s="47"/>
      <c r="M45" s="163"/>
      <c r="N45" s="163"/>
      <c r="O45" s="163"/>
      <c r="P45" s="163"/>
      <c r="Q45" s="163"/>
      <c r="R45" s="163"/>
      <c r="S45" s="163"/>
      <c r="T45" s="163"/>
      <c r="U45" s="163"/>
      <c r="V45" s="163"/>
      <c r="W45" s="163"/>
    </row>
    <row r="46" spans="1:23">
      <c r="A46" s="15" t="s">
        <v>1011</v>
      </c>
      <c r="B46" s="41"/>
      <c r="C46" s="41"/>
      <c r="D46" s="125"/>
      <c r="F46" s="261"/>
      <c r="G46" s="261"/>
      <c r="H46" s="261"/>
      <c r="I46" s="261"/>
      <c r="J46" s="261"/>
      <c r="K46" s="261"/>
      <c r="L46" s="261"/>
      <c r="M46" s="163"/>
      <c r="N46" s="163"/>
      <c r="O46" s="163"/>
      <c r="P46" s="163"/>
      <c r="Q46" s="163"/>
      <c r="R46" s="163"/>
      <c r="S46" s="163"/>
      <c r="T46" s="163"/>
      <c r="U46" s="163"/>
      <c r="V46" s="163"/>
      <c r="W46" s="163"/>
    </row>
    <row r="47" spans="1:23">
      <c r="A47" s="132" t="s">
        <v>1012</v>
      </c>
      <c r="B47" s="235" t="s">
        <v>1013</v>
      </c>
      <c r="C47" s="46" t="s">
        <v>1014</v>
      </c>
      <c r="D47" s="114">
        <v>18</v>
      </c>
      <c r="F47" s="262">
        <f t="shared" si="0"/>
        <v>6.7770000000000001</v>
      </c>
      <c r="G47" s="262">
        <f t="shared" si="1"/>
        <v>6.7770000000000001</v>
      </c>
      <c r="H47" s="47">
        <f t="shared" si="2"/>
        <v>8.136000000000001</v>
      </c>
      <c r="I47" s="47">
        <f t="shared" si="3"/>
        <v>6.8220000000000001</v>
      </c>
      <c r="J47" s="47">
        <f t="shared" si="4"/>
        <v>8.9819999999999993</v>
      </c>
      <c r="K47" s="47">
        <f t="shared" si="5"/>
        <v>7.74</v>
      </c>
      <c r="L47" s="47">
        <f t="shared" si="6"/>
        <v>8.6939999999999991</v>
      </c>
      <c r="M47" s="163"/>
      <c r="N47" s="163"/>
      <c r="O47" s="163"/>
      <c r="P47" s="163"/>
      <c r="Q47" s="163"/>
      <c r="R47" s="163"/>
      <c r="S47" s="163"/>
      <c r="T47" s="163"/>
      <c r="U47" s="163"/>
      <c r="V47" s="163"/>
      <c r="W47" s="163"/>
    </row>
    <row r="48" spans="1:23">
      <c r="A48" s="132" t="s">
        <v>1015</v>
      </c>
      <c r="B48" s="235" t="s">
        <v>1016</v>
      </c>
      <c r="C48" s="46" t="s">
        <v>1017</v>
      </c>
      <c r="D48" s="114">
        <v>66</v>
      </c>
      <c r="F48" s="262">
        <f t="shared" si="0"/>
        <v>24.849</v>
      </c>
      <c r="G48" s="262">
        <f t="shared" si="1"/>
        <v>24.849</v>
      </c>
      <c r="H48" s="47">
        <f t="shared" si="2"/>
        <v>29.832000000000001</v>
      </c>
      <c r="I48" s="47">
        <f t="shared" si="3"/>
        <v>25.013999999999999</v>
      </c>
      <c r="J48" s="47">
        <f t="shared" si="4"/>
        <v>32.933999999999997</v>
      </c>
      <c r="K48" s="47">
        <f t="shared" si="5"/>
        <v>28.38</v>
      </c>
      <c r="L48" s="47">
        <f t="shared" si="6"/>
        <v>31.878</v>
      </c>
      <c r="M48" s="163"/>
      <c r="N48" s="163"/>
      <c r="O48" s="163"/>
      <c r="P48" s="163"/>
      <c r="Q48" s="163"/>
      <c r="R48" s="163"/>
      <c r="S48" s="163"/>
      <c r="T48" s="163"/>
      <c r="U48" s="163"/>
      <c r="V48" s="163"/>
      <c r="W48" s="163"/>
    </row>
    <row r="49" spans="1:23">
      <c r="A49" s="129"/>
      <c r="B49" s="129"/>
      <c r="C49" s="26"/>
      <c r="D49" s="47"/>
      <c r="F49" s="262"/>
      <c r="G49" s="262"/>
      <c r="H49" s="47"/>
      <c r="I49" s="47"/>
      <c r="J49" s="47"/>
      <c r="K49" s="47"/>
      <c r="L49" s="47"/>
      <c r="M49" s="163"/>
      <c r="N49" s="163"/>
      <c r="O49" s="163"/>
      <c r="P49" s="163"/>
      <c r="Q49" s="163"/>
      <c r="R49" s="163"/>
      <c r="S49" s="163"/>
      <c r="T49" s="163"/>
      <c r="U49" s="163"/>
      <c r="V49" s="163"/>
      <c r="W49" s="163"/>
    </row>
    <row r="50" spans="1:23">
      <c r="A50" s="15" t="s">
        <v>1018</v>
      </c>
      <c r="B50" s="41"/>
      <c r="C50" s="41"/>
      <c r="D50" s="125"/>
      <c r="F50" s="261"/>
      <c r="G50" s="261"/>
      <c r="H50" s="261"/>
      <c r="I50" s="261"/>
      <c r="J50" s="261"/>
      <c r="K50" s="261"/>
      <c r="L50" s="261"/>
      <c r="M50" s="163"/>
      <c r="N50" s="163"/>
      <c r="O50" s="163"/>
      <c r="P50" s="163"/>
      <c r="Q50" s="163"/>
      <c r="R50" s="163"/>
      <c r="S50" s="163"/>
      <c r="T50" s="163"/>
      <c r="U50" s="163"/>
      <c r="V50" s="163"/>
      <c r="W50" s="163"/>
    </row>
    <row r="51" spans="1:23">
      <c r="A51" s="230" t="s">
        <v>1019</v>
      </c>
      <c r="B51" s="230" t="s">
        <v>1019</v>
      </c>
      <c r="C51" s="46" t="s">
        <v>1020</v>
      </c>
      <c r="D51" s="114">
        <v>28</v>
      </c>
      <c r="F51" s="262">
        <f t="shared" si="0"/>
        <v>10.542</v>
      </c>
      <c r="G51" s="262">
        <f t="shared" si="1"/>
        <v>10.542</v>
      </c>
      <c r="H51" s="47">
        <f t="shared" si="2"/>
        <v>12.656000000000001</v>
      </c>
      <c r="I51" s="47">
        <f t="shared" si="3"/>
        <v>10.612</v>
      </c>
      <c r="J51" s="47">
        <f t="shared" si="4"/>
        <v>13.972</v>
      </c>
      <c r="K51" s="47">
        <f t="shared" si="5"/>
        <v>12.04</v>
      </c>
      <c r="L51" s="47">
        <f t="shared" si="6"/>
        <v>13.523999999999999</v>
      </c>
      <c r="M51" s="163"/>
      <c r="N51" s="163"/>
      <c r="O51" s="163"/>
      <c r="P51" s="163"/>
      <c r="Q51" s="163"/>
      <c r="R51" s="163"/>
      <c r="S51" s="163"/>
      <c r="T51" s="163"/>
      <c r="U51" s="163"/>
      <c r="V51" s="163"/>
      <c r="W51" s="163"/>
    </row>
    <row r="52" spans="1:23" ht="14.25" customHeight="1">
      <c r="A52" s="230" t="s">
        <v>1021</v>
      </c>
      <c r="B52" s="230" t="s">
        <v>1021</v>
      </c>
      <c r="C52" s="105" t="s">
        <v>1022</v>
      </c>
      <c r="D52" s="114">
        <v>48</v>
      </c>
      <c r="F52" s="262">
        <f t="shared" si="0"/>
        <v>18.071999999999999</v>
      </c>
      <c r="G52" s="262">
        <f t="shared" si="1"/>
        <v>18.071999999999999</v>
      </c>
      <c r="H52" s="47">
        <f t="shared" si="2"/>
        <v>21.696000000000002</v>
      </c>
      <c r="I52" s="47">
        <f t="shared" si="3"/>
        <v>18.192</v>
      </c>
      <c r="J52" s="47">
        <f t="shared" si="4"/>
        <v>23.951999999999998</v>
      </c>
      <c r="K52" s="47">
        <f t="shared" si="5"/>
        <v>20.64</v>
      </c>
      <c r="L52" s="47">
        <f t="shared" si="6"/>
        <v>23.183999999999997</v>
      </c>
      <c r="M52" s="163"/>
      <c r="N52" s="163"/>
      <c r="O52" s="163"/>
      <c r="P52" s="163"/>
      <c r="Q52" s="163"/>
      <c r="R52" s="163"/>
      <c r="S52" s="163"/>
      <c r="T52" s="163"/>
      <c r="U52" s="163"/>
      <c r="V52" s="163"/>
      <c r="W52" s="163"/>
    </row>
    <row r="53" spans="1:23" ht="14.25" customHeight="1">
      <c r="A53" s="48" t="s">
        <v>1023</v>
      </c>
      <c r="B53" s="48" t="s">
        <v>1024</v>
      </c>
      <c r="C53" s="26" t="s">
        <v>1025</v>
      </c>
      <c r="D53" s="47">
        <v>21</v>
      </c>
      <c r="F53" s="262">
        <f t="shared" si="0"/>
        <v>7.9065000000000003</v>
      </c>
      <c r="G53" s="262">
        <f t="shared" si="1"/>
        <v>7.9065000000000003</v>
      </c>
      <c r="H53" s="47">
        <f t="shared" si="2"/>
        <v>9.4920000000000009</v>
      </c>
      <c r="I53" s="47">
        <f t="shared" si="3"/>
        <v>7.9589999999999996</v>
      </c>
      <c r="J53" s="47">
        <f t="shared" si="4"/>
        <v>10.478999999999999</v>
      </c>
      <c r="K53" s="47">
        <f t="shared" si="5"/>
        <v>9.0299999999999994</v>
      </c>
      <c r="L53" s="47">
        <f t="shared" si="6"/>
        <v>10.142999999999999</v>
      </c>
      <c r="M53" s="163"/>
      <c r="N53" s="163"/>
      <c r="O53" s="163"/>
      <c r="P53" s="163"/>
      <c r="Q53" s="163"/>
      <c r="R53" s="163"/>
      <c r="S53" s="163"/>
      <c r="T53" s="163"/>
      <c r="U53" s="163"/>
      <c r="V53" s="163"/>
      <c r="W53" s="163"/>
    </row>
    <row r="54" spans="1:23" ht="14.25" customHeight="1">
      <c r="A54" s="69" t="s">
        <v>1026</v>
      </c>
      <c r="B54" s="69" t="s">
        <v>1027</v>
      </c>
      <c r="C54" s="40" t="s">
        <v>1028</v>
      </c>
      <c r="D54" s="198">
        <v>24</v>
      </c>
      <c r="F54" s="262">
        <f t="shared" si="0"/>
        <v>9.0359999999999996</v>
      </c>
      <c r="G54" s="262">
        <f t="shared" si="1"/>
        <v>9.0359999999999996</v>
      </c>
      <c r="H54" s="47">
        <f t="shared" si="2"/>
        <v>10.848000000000001</v>
      </c>
      <c r="I54" s="47">
        <f t="shared" si="3"/>
        <v>9.0960000000000001</v>
      </c>
      <c r="J54" s="47">
        <f t="shared" si="4"/>
        <v>11.975999999999999</v>
      </c>
      <c r="K54" s="47">
        <f t="shared" si="5"/>
        <v>10.32</v>
      </c>
      <c r="L54" s="47">
        <f t="shared" si="6"/>
        <v>11.591999999999999</v>
      </c>
      <c r="M54" s="163"/>
      <c r="N54" s="163"/>
      <c r="O54" s="163"/>
      <c r="P54" s="163"/>
      <c r="Q54" s="163"/>
      <c r="R54" s="163"/>
      <c r="S54" s="163"/>
      <c r="T54" s="163"/>
      <c r="U54" s="163"/>
      <c r="V54" s="163"/>
      <c r="W54" s="163"/>
    </row>
    <row r="55" spans="1:23" ht="14.25" customHeight="1">
      <c r="A55" s="69" t="s">
        <v>1029</v>
      </c>
      <c r="B55" s="69" t="s">
        <v>1030</v>
      </c>
      <c r="C55" s="40" t="s">
        <v>1031</v>
      </c>
      <c r="D55" s="198">
        <v>28</v>
      </c>
      <c r="F55" s="262">
        <f t="shared" si="0"/>
        <v>10.542</v>
      </c>
      <c r="G55" s="262">
        <f t="shared" si="1"/>
        <v>10.542</v>
      </c>
      <c r="H55" s="47">
        <f t="shared" si="2"/>
        <v>12.656000000000001</v>
      </c>
      <c r="I55" s="47">
        <f t="shared" si="3"/>
        <v>10.612</v>
      </c>
      <c r="J55" s="47">
        <f t="shared" si="4"/>
        <v>13.972</v>
      </c>
      <c r="K55" s="47">
        <f t="shared" si="5"/>
        <v>12.04</v>
      </c>
      <c r="L55" s="47">
        <f t="shared" si="6"/>
        <v>13.523999999999999</v>
      </c>
      <c r="M55" s="163"/>
      <c r="N55" s="163"/>
      <c r="O55" s="163"/>
      <c r="P55" s="163"/>
      <c r="Q55" s="163"/>
      <c r="R55" s="163"/>
      <c r="S55" s="163"/>
      <c r="T55" s="163"/>
      <c r="U55" s="163"/>
      <c r="V55" s="163"/>
      <c r="W55" s="163"/>
    </row>
    <row r="56" spans="1:23">
      <c r="A56" s="69" t="s">
        <v>1032</v>
      </c>
      <c r="B56" s="71" t="s">
        <v>1033</v>
      </c>
      <c r="C56" s="88" t="s">
        <v>1034</v>
      </c>
      <c r="D56" s="47">
        <v>31</v>
      </c>
      <c r="F56" s="262">
        <f t="shared" si="0"/>
        <v>11.6715</v>
      </c>
      <c r="G56" s="262">
        <f t="shared" si="1"/>
        <v>11.6715</v>
      </c>
      <c r="H56" s="47">
        <f t="shared" si="2"/>
        <v>14.012</v>
      </c>
      <c r="I56" s="47">
        <f t="shared" si="3"/>
        <v>11.749000000000001</v>
      </c>
      <c r="J56" s="47">
        <f t="shared" si="4"/>
        <v>15.468999999999999</v>
      </c>
      <c r="K56" s="47">
        <f t="shared" si="5"/>
        <v>13.33</v>
      </c>
      <c r="L56" s="47">
        <f t="shared" si="6"/>
        <v>14.972999999999999</v>
      </c>
      <c r="M56" s="163"/>
      <c r="N56" s="163"/>
      <c r="O56" s="163"/>
      <c r="P56" s="163"/>
      <c r="Q56" s="163"/>
      <c r="R56" s="163"/>
      <c r="S56" s="163"/>
      <c r="T56" s="163"/>
      <c r="U56" s="163"/>
      <c r="V56" s="163"/>
      <c r="W56" s="163"/>
    </row>
    <row r="57" spans="1:23" ht="14.25" customHeight="1">
      <c r="A57" s="69" t="s">
        <v>1035</v>
      </c>
      <c r="B57" s="71" t="s">
        <v>1036</v>
      </c>
      <c r="C57" s="40" t="s">
        <v>1037</v>
      </c>
      <c r="D57" s="51">
        <v>35</v>
      </c>
      <c r="F57" s="262">
        <f t="shared" si="0"/>
        <v>13.1775</v>
      </c>
      <c r="G57" s="262">
        <f t="shared" si="1"/>
        <v>13.1775</v>
      </c>
      <c r="H57" s="47">
        <f t="shared" si="2"/>
        <v>15.82</v>
      </c>
      <c r="I57" s="47">
        <f t="shared" si="3"/>
        <v>13.265000000000001</v>
      </c>
      <c r="J57" s="47">
        <f t="shared" si="4"/>
        <v>17.465</v>
      </c>
      <c r="K57" s="47">
        <f t="shared" si="5"/>
        <v>15.049999999999999</v>
      </c>
      <c r="L57" s="47">
        <f t="shared" si="6"/>
        <v>16.905000000000001</v>
      </c>
      <c r="M57" s="163"/>
      <c r="N57" s="163"/>
      <c r="O57" s="163"/>
      <c r="P57" s="163"/>
      <c r="Q57" s="163"/>
      <c r="R57" s="163"/>
      <c r="S57" s="163"/>
      <c r="T57" s="163"/>
      <c r="U57" s="163"/>
      <c r="V57" s="163"/>
      <c r="W57" s="163"/>
    </row>
    <row r="58" spans="1:23" ht="14.25" customHeight="1">
      <c r="A58" s="48" t="s">
        <v>1038</v>
      </c>
      <c r="B58" s="48" t="s">
        <v>1039</v>
      </c>
      <c r="C58" s="26" t="s">
        <v>1040</v>
      </c>
      <c r="D58" s="47">
        <v>42</v>
      </c>
      <c r="F58" s="262">
        <f t="shared" si="0"/>
        <v>15.813000000000001</v>
      </c>
      <c r="G58" s="262">
        <f t="shared" si="1"/>
        <v>15.813000000000001</v>
      </c>
      <c r="H58" s="47">
        <f t="shared" si="2"/>
        <v>18.984000000000002</v>
      </c>
      <c r="I58" s="47">
        <f t="shared" si="3"/>
        <v>15.917999999999999</v>
      </c>
      <c r="J58" s="47">
        <f t="shared" si="4"/>
        <v>20.957999999999998</v>
      </c>
      <c r="K58" s="47">
        <f t="shared" si="5"/>
        <v>18.059999999999999</v>
      </c>
      <c r="L58" s="47">
        <f t="shared" si="6"/>
        <v>20.285999999999998</v>
      </c>
      <c r="M58" s="163"/>
      <c r="N58" s="163"/>
      <c r="O58" s="163"/>
      <c r="P58" s="163"/>
      <c r="Q58" s="163"/>
      <c r="R58" s="163"/>
      <c r="S58" s="163"/>
      <c r="T58" s="163"/>
      <c r="U58" s="163"/>
      <c r="V58" s="163"/>
      <c r="W58" s="163"/>
    </row>
    <row r="59" spans="1:23" ht="27.6">
      <c r="A59" s="48" t="s">
        <v>1041</v>
      </c>
      <c r="B59" s="48" t="s">
        <v>1042</v>
      </c>
      <c r="C59" s="88" t="s">
        <v>1043</v>
      </c>
      <c r="D59" s="47">
        <v>71</v>
      </c>
      <c r="F59" s="262">
        <f t="shared" si="0"/>
        <v>26.7315</v>
      </c>
      <c r="G59" s="262">
        <f t="shared" si="1"/>
        <v>26.7315</v>
      </c>
      <c r="H59" s="47">
        <f t="shared" si="2"/>
        <v>32.091999999999999</v>
      </c>
      <c r="I59" s="47">
        <f t="shared" si="3"/>
        <v>26.908999999999999</v>
      </c>
      <c r="J59" s="47">
        <f t="shared" si="4"/>
        <v>35.429000000000002</v>
      </c>
      <c r="K59" s="47">
        <f t="shared" si="5"/>
        <v>30.53</v>
      </c>
      <c r="L59" s="47">
        <f t="shared" si="6"/>
        <v>34.292999999999999</v>
      </c>
      <c r="M59" s="163"/>
      <c r="N59" s="163"/>
      <c r="O59" s="163"/>
      <c r="P59" s="163"/>
      <c r="Q59" s="163"/>
      <c r="R59" s="163"/>
      <c r="S59" s="163"/>
      <c r="T59" s="163"/>
      <c r="U59" s="163"/>
      <c r="V59" s="163"/>
      <c r="W59" s="163"/>
    </row>
    <row r="60" spans="1:23">
      <c r="A60" s="29" t="s">
        <v>1044</v>
      </c>
      <c r="B60" s="37" t="s">
        <v>1045</v>
      </c>
      <c r="C60" s="115" t="s">
        <v>1046</v>
      </c>
      <c r="D60" s="47">
        <v>79</v>
      </c>
      <c r="F60" s="262">
        <f t="shared" si="0"/>
        <v>29.743500000000001</v>
      </c>
      <c r="G60" s="262">
        <f t="shared" si="1"/>
        <v>29.743500000000001</v>
      </c>
      <c r="H60" s="47">
        <f t="shared" si="2"/>
        <v>35.707999999999998</v>
      </c>
      <c r="I60" s="47">
        <f t="shared" si="3"/>
        <v>29.940999999999999</v>
      </c>
      <c r="J60" s="47">
        <f t="shared" si="4"/>
        <v>39.420999999999999</v>
      </c>
      <c r="K60" s="47">
        <f t="shared" si="5"/>
        <v>33.97</v>
      </c>
      <c r="L60" s="47">
        <f t="shared" si="6"/>
        <v>38.156999999999996</v>
      </c>
      <c r="M60" s="163"/>
      <c r="N60" s="163"/>
      <c r="O60" s="163"/>
      <c r="P60" s="163"/>
      <c r="Q60" s="163"/>
      <c r="R60" s="163"/>
      <c r="S60" s="163"/>
      <c r="T60" s="163"/>
      <c r="U60" s="163"/>
      <c r="V60" s="163"/>
      <c r="W60" s="163"/>
    </row>
    <row r="61" spans="1:23">
      <c r="A61" s="69" t="s">
        <v>1047</v>
      </c>
      <c r="B61" s="48" t="s">
        <v>1048</v>
      </c>
      <c r="C61" s="88" t="s">
        <v>1049</v>
      </c>
      <c r="D61" s="47">
        <v>93</v>
      </c>
      <c r="F61" s="262">
        <f t="shared" si="0"/>
        <v>35.014499999999998</v>
      </c>
      <c r="G61" s="262">
        <f t="shared" si="1"/>
        <v>35.014499999999998</v>
      </c>
      <c r="H61" s="47">
        <f t="shared" si="2"/>
        <v>42.036000000000001</v>
      </c>
      <c r="I61" s="47">
        <f t="shared" si="3"/>
        <v>35.247</v>
      </c>
      <c r="J61" s="47">
        <f t="shared" si="4"/>
        <v>46.406999999999996</v>
      </c>
      <c r="K61" s="47">
        <f t="shared" si="5"/>
        <v>39.99</v>
      </c>
      <c r="L61" s="47">
        <f t="shared" si="6"/>
        <v>44.918999999999997</v>
      </c>
      <c r="M61" s="163"/>
      <c r="N61" s="163"/>
      <c r="O61" s="163"/>
      <c r="P61" s="163"/>
      <c r="Q61" s="163"/>
      <c r="R61" s="163"/>
      <c r="S61" s="163"/>
      <c r="T61" s="163"/>
      <c r="U61" s="163"/>
      <c r="V61" s="163"/>
      <c r="W61" s="163"/>
    </row>
    <row r="62" spans="1:23">
      <c r="A62" s="69" t="s">
        <v>1050</v>
      </c>
      <c r="B62" s="48" t="s">
        <v>1051</v>
      </c>
      <c r="C62" s="88" t="s">
        <v>1052</v>
      </c>
      <c r="D62" s="47">
        <v>105</v>
      </c>
      <c r="F62" s="262">
        <f t="shared" si="0"/>
        <v>39.532499999999999</v>
      </c>
      <c r="G62" s="262">
        <f t="shared" si="1"/>
        <v>39.532499999999999</v>
      </c>
      <c r="H62" s="47">
        <f t="shared" si="2"/>
        <v>47.46</v>
      </c>
      <c r="I62" s="47">
        <f t="shared" si="3"/>
        <v>39.795000000000002</v>
      </c>
      <c r="J62" s="47">
        <f t="shared" si="4"/>
        <v>52.395000000000003</v>
      </c>
      <c r="K62" s="47">
        <f t="shared" si="5"/>
        <v>45.15</v>
      </c>
      <c r="L62" s="47">
        <f t="shared" si="6"/>
        <v>50.714999999999996</v>
      </c>
      <c r="M62" s="163"/>
      <c r="N62" s="163"/>
      <c r="O62" s="163"/>
      <c r="P62" s="163"/>
      <c r="Q62" s="163"/>
      <c r="R62" s="163"/>
      <c r="S62" s="163"/>
      <c r="T62" s="163"/>
      <c r="U62" s="163"/>
      <c r="V62" s="163"/>
      <c r="W62" s="163"/>
    </row>
    <row r="63" spans="1:23">
      <c r="A63" s="69" t="s">
        <v>1053</v>
      </c>
      <c r="B63" s="48" t="s">
        <v>1054</v>
      </c>
      <c r="C63" s="88" t="s">
        <v>1055</v>
      </c>
      <c r="D63" s="47">
        <v>121</v>
      </c>
      <c r="F63" s="262">
        <f t="shared" si="0"/>
        <v>45.5565</v>
      </c>
      <c r="G63" s="262">
        <f t="shared" si="1"/>
        <v>45.5565</v>
      </c>
      <c r="H63" s="47">
        <f t="shared" si="2"/>
        <v>54.692</v>
      </c>
      <c r="I63" s="47">
        <f t="shared" si="3"/>
        <v>45.859000000000002</v>
      </c>
      <c r="J63" s="47">
        <f t="shared" si="4"/>
        <v>60.378999999999998</v>
      </c>
      <c r="K63" s="47">
        <f t="shared" si="5"/>
        <v>52.03</v>
      </c>
      <c r="L63" s="47">
        <f t="shared" si="6"/>
        <v>58.442999999999998</v>
      </c>
      <c r="M63" s="163"/>
      <c r="N63" s="163"/>
      <c r="O63" s="163"/>
      <c r="P63" s="163"/>
      <c r="Q63" s="163"/>
      <c r="R63" s="163"/>
      <c r="S63" s="163"/>
      <c r="T63" s="163"/>
      <c r="U63" s="163"/>
      <c r="V63" s="163"/>
      <c r="W63" s="163"/>
    </row>
    <row r="64" spans="1:23" ht="27.6">
      <c r="A64" s="69" t="s">
        <v>1056</v>
      </c>
      <c r="B64" s="48" t="s">
        <v>1057</v>
      </c>
      <c r="C64" s="88" t="s">
        <v>1058</v>
      </c>
      <c r="D64" s="47">
        <v>130</v>
      </c>
      <c r="F64" s="262">
        <f t="shared" si="0"/>
        <v>48.945</v>
      </c>
      <c r="G64" s="262">
        <f t="shared" si="1"/>
        <v>48.945</v>
      </c>
      <c r="H64" s="47">
        <f t="shared" si="2"/>
        <v>58.760000000000005</v>
      </c>
      <c r="I64" s="47">
        <f t="shared" si="3"/>
        <v>49.27</v>
      </c>
      <c r="J64" s="47">
        <f t="shared" si="4"/>
        <v>64.87</v>
      </c>
      <c r="K64" s="47">
        <f t="shared" si="5"/>
        <v>55.9</v>
      </c>
      <c r="L64" s="47">
        <f t="shared" si="6"/>
        <v>62.79</v>
      </c>
      <c r="M64" s="163"/>
      <c r="N64" s="163"/>
      <c r="O64" s="163"/>
      <c r="P64" s="163"/>
      <c r="Q64" s="163"/>
      <c r="R64" s="163"/>
      <c r="S64" s="163"/>
      <c r="T64" s="163"/>
      <c r="U64" s="163"/>
      <c r="V64" s="163"/>
      <c r="W64" s="163"/>
    </row>
    <row r="65" spans="1:23">
      <c r="A65" s="69" t="s">
        <v>1059</v>
      </c>
      <c r="B65" s="48" t="s">
        <v>1060</v>
      </c>
      <c r="C65" s="88" t="s">
        <v>1061</v>
      </c>
      <c r="D65" s="47">
        <v>3</v>
      </c>
      <c r="F65" s="262">
        <f t="shared" ref="F65" si="21">D65*$F$9</f>
        <v>1.1294999999999999</v>
      </c>
      <c r="G65" s="262">
        <f t="shared" ref="G65" si="22">D65*$G$9</f>
        <v>1.1294999999999999</v>
      </c>
      <c r="H65" s="47">
        <f t="shared" ref="H65" si="23">D65*$H$9</f>
        <v>1.3560000000000001</v>
      </c>
      <c r="I65" s="47">
        <f t="shared" ref="I65" si="24">D65*$I$9</f>
        <v>1.137</v>
      </c>
      <c r="J65" s="47">
        <f t="shared" ref="J65" si="25">D65*$J$9</f>
        <v>1.4969999999999999</v>
      </c>
      <c r="K65" s="47">
        <f t="shared" ref="K65" si="26">D65*$K$9</f>
        <v>1.29</v>
      </c>
      <c r="L65" s="47">
        <f t="shared" ref="L65" si="27">D65*$L$9</f>
        <v>1.4489999999999998</v>
      </c>
      <c r="M65" s="163"/>
      <c r="N65" s="163"/>
      <c r="O65" s="163"/>
      <c r="P65" s="163"/>
      <c r="Q65" s="163"/>
      <c r="R65" s="163"/>
      <c r="S65" s="163"/>
      <c r="T65" s="163"/>
      <c r="U65" s="163"/>
      <c r="V65" s="163"/>
      <c r="W65" s="163"/>
    </row>
    <row r="66" spans="1:23" ht="14.4">
      <c r="A66" s="356" t="s">
        <v>1062</v>
      </c>
      <c r="B66" s="69" t="s">
        <v>1063</v>
      </c>
      <c r="C66" s="2" t="s">
        <v>1612</v>
      </c>
      <c r="D66" s="47">
        <v>65</v>
      </c>
      <c r="F66" s="47">
        <f>D66*$F$9</f>
        <v>24.4725</v>
      </c>
      <c r="G66" s="47">
        <f>D66*$G$9</f>
        <v>24.4725</v>
      </c>
      <c r="H66" s="47">
        <f>D66*$H$9</f>
        <v>29.380000000000003</v>
      </c>
      <c r="I66" s="47">
        <f>D66*$I$9</f>
        <v>24.635000000000002</v>
      </c>
      <c r="J66" s="47">
        <f>D66*$J$9</f>
        <v>32.435000000000002</v>
      </c>
      <c r="K66" s="47">
        <f>D66*$K$9</f>
        <v>27.95</v>
      </c>
      <c r="L66" s="47">
        <f>D66*$L$9</f>
        <v>31.395</v>
      </c>
      <c r="M66"/>
      <c r="N66" s="163"/>
      <c r="O66" s="163"/>
      <c r="P66" s="163"/>
      <c r="Q66" s="163"/>
      <c r="R66" s="163"/>
      <c r="S66" s="163"/>
      <c r="T66" s="163"/>
      <c r="U66" s="163"/>
      <c r="V66" s="163"/>
      <c r="W66" s="163"/>
    </row>
    <row r="67" spans="1:23" ht="15">
      <c r="A67" s="356" t="s">
        <v>1064</v>
      </c>
      <c r="B67" s="357" t="s">
        <v>1065</v>
      </c>
      <c r="C67" s="358" t="s">
        <v>1066</v>
      </c>
      <c r="D67" s="47">
        <v>120</v>
      </c>
      <c r="F67" s="47">
        <f t="shared" si="0"/>
        <v>45.18</v>
      </c>
      <c r="G67" s="47">
        <f t="shared" si="1"/>
        <v>45.18</v>
      </c>
      <c r="H67" s="47">
        <f t="shared" si="2"/>
        <v>54.24</v>
      </c>
      <c r="I67" s="47">
        <f t="shared" si="3"/>
        <v>45.480000000000004</v>
      </c>
      <c r="J67" s="47">
        <f t="shared" si="4"/>
        <v>59.88</v>
      </c>
      <c r="K67" s="47">
        <f t="shared" si="5"/>
        <v>51.6</v>
      </c>
      <c r="L67" s="47">
        <f t="shared" si="6"/>
        <v>57.96</v>
      </c>
      <c r="M67"/>
      <c r="N67" s="163"/>
    </row>
    <row r="68" spans="1:23">
      <c r="A68" s="69" t="s">
        <v>1067</v>
      </c>
      <c r="B68" s="74" t="s">
        <v>1068</v>
      </c>
      <c r="C68" s="26" t="s">
        <v>1069</v>
      </c>
      <c r="D68" s="47">
        <v>465</v>
      </c>
      <c r="E68" s="163"/>
      <c r="F68" s="47">
        <f t="shared" ref="F68" si="28">D68*$F$9</f>
        <v>175.07249999999999</v>
      </c>
      <c r="G68" s="47">
        <f t="shared" ref="G68" si="29">D68*$G$9</f>
        <v>175.07249999999999</v>
      </c>
      <c r="H68" s="47">
        <f t="shared" ref="H68" si="30">D68*$H$9</f>
        <v>210.18</v>
      </c>
      <c r="I68" s="47">
        <f t="shared" ref="I68" si="31">D68*$I$9</f>
        <v>176.23500000000001</v>
      </c>
      <c r="J68" s="47">
        <f t="shared" ref="J68" si="32">D68*$J$9</f>
        <v>232.035</v>
      </c>
      <c r="K68" s="47">
        <f t="shared" ref="K68" si="33">D68*$K$9</f>
        <v>199.95</v>
      </c>
      <c r="L68" s="47">
        <f t="shared" ref="L68" si="34">D68*$L$9</f>
        <v>224.595</v>
      </c>
      <c r="M68" s="163"/>
      <c r="N68" s="163"/>
      <c r="O68" s="163"/>
      <c r="P68" s="163"/>
      <c r="Q68" s="163"/>
      <c r="R68" s="163"/>
    </row>
    <row r="69" spans="1:23">
      <c r="A69" s="29"/>
      <c r="B69" s="37"/>
      <c r="C69" s="115"/>
      <c r="D69" s="47"/>
      <c r="F69" s="262"/>
      <c r="G69" s="262"/>
      <c r="H69" s="47"/>
      <c r="I69" s="47"/>
      <c r="J69" s="47"/>
      <c r="K69" s="47"/>
      <c r="L69" s="47"/>
      <c r="M69" s="163"/>
      <c r="N69" s="163"/>
      <c r="O69" s="163"/>
      <c r="P69" s="163"/>
      <c r="Q69" s="163"/>
      <c r="R69" s="163"/>
      <c r="S69" s="163"/>
      <c r="T69" s="163"/>
      <c r="U69" s="163"/>
      <c r="V69" s="163"/>
      <c r="W69" s="163"/>
    </row>
    <row r="70" spans="1:23">
      <c r="A70" s="15" t="s">
        <v>1070</v>
      </c>
      <c r="B70" s="41"/>
      <c r="C70" s="334"/>
      <c r="D70" s="125"/>
      <c r="F70" s="261"/>
      <c r="G70" s="261"/>
      <c r="H70" s="261"/>
      <c r="I70" s="261"/>
      <c r="J70" s="261"/>
      <c r="K70" s="261"/>
      <c r="L70" s="261"/>
      <c r="M70" s="163"/>
      <c r="N70" s="163"/>
      <c r="O70" s="163"/>
      <c r="P70" s="163"/>
      <c r="Q70" s="163"/>
      <c r="R70" s="163"/>
      <c r="S70" s="163"/>
      <c r="T70" s="163"/>
      <c r="U70" s="163"/>
      <c r="V70" s="163"/>
      <c r="W70" s="163"/>
    </row>
    <row r="71" spans="1:23">
      <c r="A71" s="132" t="s">
        <v>1071</v>
      </c>
      <c r="B71" s="332" t="s">
        <v>1072</v>
      </c>
      <c r="C71" s="107" t="s">
        <v>1073</v>
      </c>
      <c r="D71" s="333">
        <v>24</v>
      </c>
      <c r="F71" s="262">
        <f t="shared" ref="F71:F127" si="35">D71*$F$9</f>
        <v>9.0359999999999996</v>
      </c>
      <c r="G71" s="262">
        <f t="shared" ref="G71:G127" si="36">D71*$G$9</f>
        <v>9.0359999999999996</v>
      </c>
      <c r="H71" s="47">
        <f t="shared" ref="H71:H127" si="37">D71*$H$9</f>
        <v>10.848000000000001</v>
      </c>
      <c r="I71" s="47">
        <f t="shared" ref="I71:I127" si="38">D71*$I$9</f>
        <v>9.0960000000000001</v>
      </c>
      <c r="J71" s="47">
        <f t="shared" ref="J71:J127" si="39">D71*$J$9</f>
        <v>11.975999999999999</v>
      </c>
      <c r="K71" s="47">
        <f t="shared" ref="K71:K127" si="40">D71*$K$9</f>
        <v>10.32</v>
      </c>
      <c r="L71" s="47">
        <f t="shared" ref="L71:L127" si="41">D71*$L$9</f>
        <v>11.591999999999999</v>
      </c>
      <c r="O71" s="163"/>
      <c r="P71" s="163"/>
      <c r="Q71" s="163"/>
      <c r="R71" s="163"/>
      <c r="S71" s="163"/>
      <c r="T71" s="163"/>
      <c r="U71" s="163"/>
      <c r="V71" s="163"/>
      <c r="W71" s="163"/>
    </row>
    <row r="72" spans="1:23" ht="14.4">
      <c r="A72" s="132" t="s">
        <v>1074</v>
      </c>
      <c r="B72" s="230" t="s">
        <v>1072</v>
      </c>
      <c r="C72" s="330" t="s">
        <v>1075</v>
      </c>
      <c r="D72" s="114">
        <v>24</v>
      </c>
      <c r="F72" s="262">
        <f t="shared" si="35"/>
        <v>9.0359999999999996</v>
      </c>
      <c r="G72" s="262">
        <f t="shared" si="36"/>
        <v>9.0359999999999996</v>
      </c>
      <c r="H72" s="47">
        <f t="shared" si="37"/>
        <v>10.848000000000001</v>
      </c>
      <c r="I72" s="47">
        <f t="shared" si="38"/>
        <v>9.0960000000000001</v>
      </c>
      <c r="J72" s="47">
        <f t="shared" si="39"/>
        <v>11.975999999999999</v>
      </c>
      <c r="K72" s="47">
        <f t="shared" si="40"/>
        <v>10.32</v>
      </c>
      <c r="L72" s="47">
        <f t="shared" si="41"/>
        <v>11.591999999999999</v>
      </c>
      <c r="M72" s="297"/>
      <c r="N72" s="163"/>
      <c r="O72" s="163"/>
      <c r="P72" s="163"/>
      <c r="Q72" s="163"/>
      <c r="R72" s="163"/>
      <c r="S72" s="163"/>
      <c r="T72" s="163"/>
      <c r="U72" s="163"/>
      <c r="V72" s="163"/>
      <c r="W72" s="163"/>
    </row>
    <row r="73" spans="1:23" ht="124.2">
      <c r="A73" s="376" t="s">
        <v>1076</v>
      </c>
      <c r="B73" s="377"/>
      <c r="C73" s="378" t="s">
        <v>1077</v>
      </c>
      <c r="D73" s="47">
        <v>25</v>
      </c>
      <c r="F73" s="47">
        <f>D73*$F$9</f>
        <v>9.4124999999999996</v>
      </c>
      <c r="G73" s="47">
        <f>D73*$G$9</f>
        <v>9.4124999999999996</v>
      </c>
      <c r="H73" s="47">
        <f>D73*$H$9</f>
        <v>11.3</v>
      </c>
      <c r="I73" s="47">
        <f>D73*$I$9</f>
        <v>9.4749999999999996</v>
      </c>
      <c r="J73" s="47">
        <f>D73*$J$9</f>
        <v>12.475</v>
      </c>
      <c r="K73" s="47">
        <f>D73*$K$9</f>
        <v>10.75</v>
      </c>
      <c r="L73" s="47">
        <f>D73*$L$9</f>
        <v>12.074999999999999</v>
      </c>
      <c r="M73" s="163"/>
      <c r="N73" s="163"/>
      <c r="O73" s="163"/>
      <c r="P73" s="163"/>
      <c r="Q73" s="163"/>
      <c r="R73" s="163"/>
      <c r="S73" s="163"/>
      <c r="T73" s="163"/>
      <c r="U73" s="163"/>
      <c r="V73" s="163"/>
      <c r="W73" s="163"/>
    </row>
    <row r="74" spans="1:23" ht="69">
      <c r="A74" s="376" t="s">
        <v>1078</v>
      </c>
      <c r="B74" s="151"/>
      <c r="C74" s="381" t="s">
        <v>1079</v>
      </c>
      <c r="D74" s="51">
        <v>30</v>
      </c>
      <c r="F74" s="47">
        <f>D74*$F$9</f>
        <v>11.295</v>
      </c>
      <c r="G74" s="47">
        <f>D74*$G$9</f>
        <v>11.295</v>
      </c>
      <c r="H74" s="47">
        <f>D74*$H$9</f>
        <v>13.56</v>
      </c>
      <c r="I74" s="47">
        <f>D74*$I$9</f>
        <v>11.370000000000001</v>
      </c>
      <c r="J74" s="47">
        <f>D74*$J$9</f>
        <v>14.97</v>
      </c>
      <c r="K74" s="47">
        <f>D74*$K$9</f>
        <v>12.9</v>
      </c>
      <c r="L74" s="47">
        <f>D74*$L$9</f>
        <v>14.49</v>
      </c>
      <c r="M74" s="380"/>
      <c r="N74" s="163"/>
      <c r="O74" s="163"/>
      <c r="P74" s="163"/>
      <c r="Q74" s="163"/>
      <c r="R74" s="163"/>
      <c r="S74" s="163"/>
      <c r="T74" s="163"/>
      <c r="U74" s="163"/>
      <c r="V74" s="163"/>
      <c r="W74" s="163"/>
    </row>
    <row r="75" spans="1:23">
      <c r="A75" s="15" t="s">
        <v>1080</v>
      </c>
      <c r="B75" s="41"/>
      <c r="C75" s="41"/>
      <c r="D75" s="125"/>
      <c r="F75" s="261"/>
      <c r="G75" s="261"/>
      <c r="H75" s="261"/>
      <c r="I75" s="261"/>
      <c r="J75" s="261"/>
      <c r="K75" s="261"/>
      <c r="L75" s="261"/>
      <c r="O75" s="163"/>
      <c r="P75" s="163"/>
      <c r="Q75" s="163"/>
      <c r="R75" s="163"/>
      <c r="S75" s="163"/>
      <c r="T75" s="163"/>
      <c r="U75" s="163"/>
      <c r="V75" s="163"/>
      <c r="W75" s="163"/>
    </row>
    <row r="76" spans="1:23">
      <c r="A76" s="69" t="s">
        <v>1081</v>
      </c>
      <c r="B76" s="48" t="s">
        <v>1082</v>
      </c>
      <c r="C76" s="40" t="s">
        <v>1083</v>
      </c>
      <c r="D76" s="114">
        <v>19</v>
      </c>
      <c r="F76" s="262">
        <f t="shared" si="35"/>
        <v>7.1535000000000002</v>
      </c>
      <c r="G76" s="262">
        <f t="shared" si="36"/>
        <v>7.1535000000000002</v>
      </c>
      <c r="H76" s="47">
        <f t="shared" si="37"/>
        <v>8.588000000000001</v>
      </c>
      <c r="I76" s="47">
        <f t="shared" si="38"/>
        <v>7.2010000000000005</v>
      </c>
      <c r="J76" s="47">
        <f t="shared" si="39"/>
        <v>9.4809999999999999</v>
      </c>
      <c r="K76" s="47">
        <f t="shared" si="40"/>
        <v>8.17</v>
      </c>
      <c r="L76" s="47">
        <f t="shared" si="41"/>
        <v>9.1769999999999996</v>
      </c>
      <c r="M76" s="163"/>
      <c r="N76" s="163"/>
      <c r="O76" s="163"/>
      <c r="P76" s="163"/>
      <c r="Q76" s="163"/>
      <c r="R76" s="163"/>
      <c r="S76" s="163"/>
      <c r="T76" s="163"/>
      <c r="U76" s="163"/>
      <c r="V76" s="163"/>
      <c r="W76" s="163"/>
    </row>
    <row r="77" spans="1:23">
      <c r="A77" s="69" t="s">
        <v>1084</v>
      </c>
      <c r="B77" s="48" t="s">
        <v>1085</v>
      </c>
      <c r="C77" s="40" t="s">
        <v>1086</v>
      </c>
      <c r="D77" s="114">
        <v>19</v>
      </c>
      <c r="F77" s="262">
        <f t="shared" si="35"/>
        <v>7.1535000000000002</v>
      </c>
      <c r="G77" s="262">
        <f t="shared" si="36"/>
        <v>7.1535000000000002</v>
      </c>
      <c r="H77" s="47">
        <f t="shared" si="37"/>
        <v>8.588000000000001</v>
      </c>
      <c r="I77" s="47">
        <f t="shared" si="38"/>
        <v>7.2010000000000005</v>
      </c>
      <c r="J77" s="47">
        <f t="shared" si="39"/>
        <v>9.4809999999999999</v>
      </c>
      <c r="K77" s="47">
        <f t="shared" si="40"/>
        <v>8.17</v>
      </c>
      <c r="L77" s="47">
        <f t="shared" si="41"/>
        <v>9.1769999999999996</v>
      </c>
      <c r="M77" s="163"/>
      <c r="N77" s="163"/>
      <c r="O77" s="163"/>
      <c r="P77" s="163"/>
      <c r="Q77" s="163"/>
      <c r="R77" s="163"/>
      <c r="S77" s="163"/>
      <c r="T77" s="163"/>
      <c r="U77" s="163"/>
      <c r="V77" s="163"/>
      <c r="W77" s="163"/>
    </row>
    <row r="78" spans="1:23">
      <c r="A78" s="69" t="s">
        <v>1087</v>
      </c>
      <c r="B78" s="48" t="s">
        <v>1088</v>
      </c>
      <c r="C78" s="40" t="s">
        <v>1089</v>
      </c>
      <c r="D78" s="114">
        <v>14</v>
      </c>
      <c r="F78" s="262">
        <f t="shared" si="35"/>
        <v>5.2709999999999999</v>
      </c>
      <c r="G78" s="262">
        <f t="shared" si="36"/>
        <v>5.2709999999999999</v>
      </c>
      <c r="H78" s="47">
        <f t="shared" si="37"/>
        <v>6.3280000000000003</v>
      </c>
      <c r="I78" s="47">
        <f t="shared" si="38"/>
        <v>5.306</v>
      </c>
      <c r="J78" s="47">
        <f t="shared" si="39"/>
        <v>6.9859999999999998</v>
      </c>
      <c r="K78" s="47">
        <f t="shared" si="40"/>
        <v>6.02</v>
      </c>
      <c r="L78" s="47">
        <f t="shared" si="41"/>
        <v>6.7619999999999996</v>
      </c>
      <c r="M78" s="163"/>
      <c r="N78" s="163"/>
      <c r="O78" s="163"/>
      <c r="P78" s="163"/>
      <c r="Q78" s="163"/>
      <c r="R78" s="163"/>
      <c r="S78" s="163"/>
      <c r="T78" s="163"/>
      <c r="U78" s="163"/>
      <c r="V78" s="163"/>
      <c r="W78" s="163"/>
    </row>
    <row r="79" spans="1:23">
      <c r="A79" s="69" t="s">
        <v>1090</v>
      </c>
      <c r="B79" s="48" t="s">
        <v>1091</v>
      </c>
      <c r="C79" s="40" t="s">
        <v>1092</v>
      </c>
      <c r="D79" s="114">
        <v>8</v>
      </c>
      <c r="F79" s="262">
        <f t="shared" si="35"/>
        <v>3.012</v>
      </c>
      <c r="G79" s="262">
        <f t="shared" si="36"/>
        <v>3.012</v>
      </c>
      <c r="H79" s="47">
        <f t="shared" si="37"/>
        <v>3.6160000000000001</v>
      </c>
      <c r="I79" s="47">
        <f t="shared" si="38"/>
        <v>3.032</v>
      </c>
      <c r="J79" s="47">
        <f t="shared" si="39"/>
        <v>3.992</v>
      </c>
      <c r="K79" s="47">
        <f t="shared" si="40"/>
        <v>3.44</v>
      </c>
      <c r="L79" s="47">
        <f t="shared" si="41"/>
        <v>3.8639999999999999</v>
      </c>
      <c r="M79" s="163"/>
      <c r="N79" s="163"/>
      <c r="O79" s="163"/>
      <c r="P79" s="163"/>
      <c r="Q79" s="163"/>
      <c r="R79" s="163"/>
      <c r="S79" s="163"/>
      <c r="T79" s="163"/>
      <c r="U79" s="163"/>
      <c r="V79" s="163"/>
      <c r="W79" s="163"/>
    </row>
    <row r="80" spans="1:23">
      <c r="A80" s="69"/>
      <c r="B80" s="48"/>
      <c r="C80" s="40"/>
      <c r="D80" s="47"/>
      <c r="F80" s="262"/>
      <c r="G80" s="262"/>
      <c r="H80" s="47"/>
      <c r="I80" s="47"/>
      <c r="J80" s="47"/>
      <c r="K80" s="47"/>
      <c r="L80" s="47"/>
      <c r="M80" s="163"/>
      <c r="N80" s="163"/>
      <c r="O80" s="163"/>
      <c r="P80" s="163"/>
      <c r="Q80" s="163"/>
      <c r="R80" s="163"/>
      <c r="S80" s="163"/>
      <c r="T80" s="163"/>
      <c r="U80" s="163"/>
      <c r="V80" s="163"/>
      <c r="W80" s="163"/>
    </row>
    <row r="81" spans="1:23">
      <c r="A81" s="15" t="s">
        <v>1093</v>
      </c>
      <c r="B81" s="41"/>
      <c r="C81" s="41"/>
      <c r="D81" s="125"/>
      <c r="F81" s="261"/>
      <c r="G81" s="261"/>
      <c r="H81" s="261"/>
      <c r="I81" s="261"/>
      <c r="J81" s="261"/>
      <c r="K81" s="261"/>
      <c r="L81" s="261"/>
      <c r="M81" s="163"/>
      <c r="N81" s="163"/>
      <c r="O81" s="163"/>
      <c r="P81" s="163"/>
      <c r="Q81" s="163"/>
      <c r="R81" s="163"/>
      <c r="S81" s="163"/>
      <c r="T81" s="163"/>
      <c r="U81" s="163"/>
      <c r="V81" s="163"/>
      <c r="W81" s="163"/>
    </row>
    <row r="82" spans="1:23">
      <c r="A82" s="78" t="s">
        <v>1094</v>
      </c>
      <c r="B82" s="78" t="s">
        <v>1095</v>
      </c>
      <c r="C82" s="191" t="s">
        <v>1096</v>
      </c>
      <c r="D82" s="114">
        <v>887</v>
      </c>
      <c r="F82" s="262">
        <f t="shared" si="35"/>
        <v>333.95550000000003</v>
      </c>
      <c r="G82" s="262">
        <f t="shared" si="36"/>
        <v>333.95550000000003</v>
      </c>
      <c r="H82" s="47">
        <f t="shared" si="37"/>
        <v>400.92400000000004</v>
      </c>
      <c r="I82" s="47">
        <f t="shared" si="38"/>
        <v>336.173</v>
      </c>
      <c r="J82" s="47">
        <f t="shared" si="39"/>
        <v>442.613</v>
      </c>
      <c r="K82" s="47">
        <f t="shared" si="40"/>
        <v>381.40999999999997</v>
      </c>
      <c r="L82" s="47">
        <f t="shared" si="41"/>
        <v>428.42099999999999</v>
      </c>
      <c r="M82" s="163"/>
      <c r="N82" s="163"/>
      <c r="O82" s="163"/>
      <c r="P82" s="163"/>
      <c r="Q82" s="163"/>
      <c r="R82" s="163"/>
      <c r="S82" s="163"/>
      <c r="T82" s="163"/>
      <c r="U82" s="163"/>
      <c r="V82" s="163"/>
      <c r="W82" s="163"/>
    </row>
    <row r="83" spans="1:23">
      <c r="A83" s="78" t="s">
        <v>1097</v>
      </c>
      <c r="B83" s="78" t="s">
        <v>1098</v>
      </c>
      <c r="C83" s="191" t="s">
        <v>1099</v>
      </c>
      <c r="D83" s="114">
        <v>698</v>
      </c>
      <c r="F83" s="262">
        <f t="shared" si="35"/>
        <v>262.79700000000003</v>
      </c>
      <c r="G83" s="262">
        <f t="shared" si="36"/>
        <v>262.79700000000003</v>
      </c>
      <c r="H83" s="47">
        <f t="shared" si="37"/>
        <v>315.49599999999998</v>
      </c>
      <c r="I83" s="47">
        <f t="shared" si="38"/>
        <v>264.54200000000003</v>
      </c>
      <c r="J83" s="47">
        <f t="shared" si="39"/>
        <v>348.30200000000002</v>
      </c>
      <c r="K83" s="47">
        <f t="shared" si="40"/>
        <v>300.14</v>
      </c>
      <c r="L83" s="47">
        <f t="shared" si="41"/>
        <v>337.13400000000001</v>
      </c>
      <c r="M83" s="163"/>
      <c r="N83" s="163"/>
      <c r="O83" s="163"/>
      <c r="P83" s="163"/>
      <c r="Q83" s="163"/>
      <c r="R83" s="163"/>
      <c r="S83" s="163"/>
      <c r="T83" s="163"/>
      <c r="U83" s="163"/>
      <c r="V83" s="163"/>
      <c r="W83" s="163"/>
    </row>
    <row r="84" spans="1:23">
      <c r="A84" s="71" t="s">
        <v>1100</v>
      </c>
      <c r="B84" s="129" t="s">
        <v>1101</v>
      </c>
      <c r="C84" s="191" t="s">
        <v>1102</v>
      </c>
      <c r="D84" s="114">
        <v>272</v>
      </c>
      <c r="F84" s="262">
        <f t="shared" si="35"/>
        <v>102.408</v>
      </c>
      <c r="G84" s="262">
        <f t="shared" si="36"/>
        <v>102.408</v>
      </c>
      <c r="H84" s="47">
        <f t="shared" si="37"/>
        <v>122.944</v>
      </c>
      <c r="I84" s="47">
        <f t="shared" si="38"/>
        <v>103.08799999999999</v>
      </c>
      <c r="J84" s="47">
        <f t="shared" si="39"/>
        <v>135.72800000000001</v>
      </c>
      <c r="K84" s="47">
        <f t="shared" si="40"/>
        <v>116.96</v>
      </c>
      <c r="L84" s="47">
        <f t="shared" si="41"/>
        <v>131.376</v>
      </c>
      <c r="M84" s="163"/>
      <c r="N84" s="163"/>
      <c r="O84" s="163"/>
      <c r="P84" s="163"/>
      <c r="Q84" s="163"/>
      <c r="R84" s="163"/>
      <c r="S84" s="163"/>
      <c r="T84" s="163"/>
      <c r="U84" s="163"/>
      <c r="V84" s="163"/>
      <c r="W84" s="163"/>
    </row>
    <row r="85" spans="1:23" ht="27.6">
      <c r="A85" s="119" t="s">
        <v>1103</v>
      </c>
      <c r="B85" s="199" t="s">
        <v>1104</v>
      </c>
      <c r="C85" s="276" t="s">
        <v>1105</v>
      </c>
      <c r="D85" s="77">
        <v>203</v>
      </c>
      <c r="F85" s="262">
        <f t="shared" si="35"/>
        <v>76.429500000000004</v>
      </c>
      <c r="G85" s="262">
        <f t="shared" si="36"/>
        <v>76.429500000000004</v>
      </c>
      <c r="H85" s="47">
        <f t="shared" si="37"/>
        <v>91.756</v>
      </c>
      <c r="I85" s="47">
        <f t="shared" si="38"/>
        <v>76.936999999999998</v>
      </c>
      <c r="J85" s="47">
        <f t="shared" si="39"/>
        <v>101.297</v>
      </c>
      <c r="K85" s="47">
        <f t="shared" si="40"/>
        <v>87.289999999999992</v>
      </c>
      <c r="L85" s="47">
        <f t="shared" si="41"/>
        <v>98.048999999999992</v>
      </c>
      <c r="M85" s="286"/>
      <c r="N85" s="163"/>
      <c r="O85" s="163"/>
      <c r="P85" s="163"/>
      <c r="Q85" s="163"/>
      <c r="R85" s="163"/>
      <c r="S85" s="163"/>
      <c r="T85" s="163"/>
      <c r="U85" s="163"/>
      <c r="V85" s="163"/>
      <c r="W85" s="163"/>
    </row>
    <row r="86" spans="1:23" ht="14.4">
      <c r="A86" s="43" t="s">
        <v>1106</v>
      </c>
      <c r="B86" s="43" t="s">
        <v>1107</v>
      </c>
      <c r="C86" s="191" t="s">
        <v>1108</v>
      </c>
      <c r="D86" s="114">
        <v>165</v>
      </c>
      <c r="F86" s="262">
        <f t="shared" si="35"/>
        <v>62.122500000000002</v>
      </c>
      <c r="G86" s="262">
        <f t="shared" si="36"/>
        <v>62.122500000000002</v>
      </c>
      <c r="H86" s="47">
        <f t="shared" si="37"/>
        <v>74.58</v>
      </c>
      <c r="I86" s="47">
        <f t="shared" si="38"/>
        <v>62.535000000000004</v>
      </c>
      <c r="J86" s="47">
        <f t="shared" si="39"/>
        <v>82.334999999999994</v>
      </c>
      <c r="K86" s="47">
        <f t="shared" si="40"/>
        <v>70.95</v>
      </c>
      <c r="L86" s="47">
        <f t="shared" si="41"/>
        <v>79.694999999999993</v>
      </c>
      <c r="M86" s="286"/>
      <c r="N86" s="163"/>
      <c r="O86" s="163"/>
      <c r="P86" s="163"/>
      <c r="Q86" s="163"/>
      <c r="R86" s="163"/>
      <c r="S86" s="163"/>
      <c r="T86" s="163"/>
      <c r="U86" s="163"/>
      <c r="V86" s="163"/>
      <c r="W86" s="163"/>
    </row>
    <row r="87" spans="1:23" ht="27.6">
      <c r="A87" s="21" t="s">
        <v>1109</v>
      </c>
      <c r="B87" s="156" t="s">
        <v>1110</v>
      </c>
      <c r="C87" s="276" t="s">
        <v>1111</v>
      </c>
      <c r="D87" s="77">
        <v>151</v>
      </c>
      <c r="F87" s="262">
        <f t="shared" si="35"/>
        <v>56.851500000000001</v>
      </c>
      <c r="G87" s="262">
        <f t="shared" si="36"/>
        <v>56.851500000000001</v>
      </c>
      <c r="H87" s="47">
        <f t="shared" si="37"/>
        <v>68.251999999999995</v>
      </c>
      <c r="I87" s="47">
        <f t="shared" si="38"/>
        <v>57.228999999999999</v>
      </c>
      <c r="J87" s="47">
        <f t="shared" si="39"/>
        <v>75.349000000000004</v>
      </c>
      <c r="K87" s="47">
        <f t="shared" si="40"/>
        <v>64.929999999999993</v>
      </c>
      <c r="L87" s="47">
        <f t="shared" si="41"/>
        <v>72.932999999999993</v>
      </c>
      <c r="M87" s="286"/>
      <c r="N87" s="163"/>
      <c r="O87" s="163"/>
      <c r="P87" s="163"/>
      <c r="Q87" s="163"/>
      <c r="R87" s="163"/>
      <c r="S87" s="163"/>
      <c r="T87" s="163"/>
      <c r="U87" s="163"/>
      <c r="V87" s="163"/>
      <c r="W87" s="163"/>
    </row>
    <row r="88" spans="1:23" ht="27.6">
      <c r="A88" s="21" t="s">
        <v>1112</v>
      </c>
      <c r="B88" s="156" t="s">
        <v>1113</v>
      </c>
      <c r="C88" s="276" t="s">
        <v>1114</v>
      </c>
      <c r="D88" s="77">
        <v>131</v>
      </c>
      <c r="F88" s="262">
        <f t="shared" si="35"/>
        <v>49.3215</v>
      </c>
      <c r="G88" s="262">
        <f t="shared" si="36"/>
        <v>49.3215</v>
      </c>
      <c r="H88" s="47">
        <f t="shared" si="37"/>
        <v>59.212000000000003</v>
      </c>
      <c r="I88" s="47">
        <f t="shared" si="38"/>
        <v>49.649000000000001</v>
      </c>
      <c r="J88" s="47">
        <f t="shared" si="39"/>
        <v>65.369</v>
      </c>
      <c r="K88" s="47">
        <f t="shared" si="40"/>
        <v>56.33</v>
      </c>
      <c r="L88" s="47">
        <f t="shared" si="41"/>
        <v>63.272999999999996</v>
      </c>
      <c r="M88" s="286"/>
      <c r="N88" s="163"/>
      <c r="O88" s="163"/>
      <c r="P88" s="163"/>
      <c r="Q88" s="163"/>
      <c r="R88" s="163"/>
      <c r="S88" s="163"/>
      <c r="T88" s="163"/>
      <c r="U88" s="163"/>
      <c r="V88" s="163"/>
      <c r="W88" s="163"/>
    </row>
    <row r="89" spans="1:23" ht="14.4">
      <c r="A89" s="43" t="s">
        <v>1115</v>
      </c>
      <c r="B89" s="43" t="s">
        <v>1116</v>
      </c>
      <c r="C89" s="191" t="s">
        <v>1117</v>
      </c>
      <c r="D89" s="114">
        <v>128</v>
      </c>
      <c r="F89" s="262">
        <f t="shared" si="35"/>
        <v>48.192</v>
      </c>
      <c r="G89" s="262">
        <f t="shared" si="36"/>
        <v>48.192</v>
      </c>
      <c r="H89" s="47">
        <f t="shared" si="37"/>
        <v>57.856000000000002</v>
      </c>
      <c r="I89" s="47">
        <f t="shared" si="38"/>
        <v>48.512</v>
      </c>
      <c r="J89" s="47">
        <f t="shared" si="39"/>
        <v>63.872</v>
      </c>
      <c r="K89" s="47">
        <f t="shared" si="40"/>
        <v>55.04</v>
      </c>
      <c r="L89" s="47">
        <f t="shared" si="41"/>
        <v>61.823999999999998</v>
      </c>
      <c r="M89" s="286"/>
      <c r="N89" s="163"/>
      <c r="O89" s="163"/>
      <c r="P89" s="163"/>
      <c r="Q89" s="163"/>
      <c r="R89" s="163"/>
      <c r="S89" s="163"/>
      <c r="T89" s="163"/>
      <c r="U89" s="163"/>
      <c r="V89" s="163"/>
      <c r="W89" s="163"/>
    </row>
    <row r="90" spans="1:23" ht="14.4">
      <c r="A90" s="57"/>
      <c r="B90" s="57"/>
      <c r="C90" s="191"/>
      <c r="D90" s="47"/>
      <c r="F90" s="262"/>
      <c r="G90" s="262"/>
      <c r="H90" s="47"/>
      <c r="I90" s="47"/>
      <c r="J90" s="47"/>
      <c r="K90" s="47"/>
      <c r="L90" s="47"/>
      <c r="M90" s="286"/>
      <c r="N90" s="163"/>
      <c r="O90" s="163"/>
      <c r="P90" s="163"/>
      <c r="Q90" s="163"/>
      <c r="R90" s="163"/>
      <c r="S90" s="163"/>
      <c r="T90" s="163"/>
      <c r="U90" s="163"/>
      <c r="V90" s="163"/>
      <c r="W90" s="163"/>
    </row>
    <row r="91" spans="1:23" ht="14.4">
      <c r="A91" s="15" t="s">
        <v>1118</v>
      </c>
      <c r="B91" s="41"/>
      <c r="C91" s="275"/>
      <c r="D91" s="125"/>
      <c r="F91" s="261"/>
      <c r="G91" s="261"/>
      <c r="H91" s="261"/>
      <c r="I91" s="261"/>
      <c r="J91" s="261"/>
      <c r="K91" s="261"/>
      <c r="L91" s="261"/>
      <c r="M91" s="286"/>
      <c r="N91" s="163"/>
      <c r="O91" s="163"/>
      <c r="P91" s="163"/>
      <c r="Q91" s="163"/>
      <c r="R91" s="163"/>
      <c r="S91" s="163"/>
      <c r="T91" s="163"/>
      <c r="U91" s="163"/>
      <c r="V91" s="163"/>
      <c r="W91" s="163"/>
    </row>
    <row r="92" spans="1:23" ht="14.4">
      <c r="A92" s="71" t="s">
        <v>1119</v>
      </c>
      <c r="B92" s="129" t="s">
        <v>1120</v>
      </c>
      <c r="C92" s="191" t="s">
        <v>1121</v>
      </c>
      <c r="D92" s="47">
        <v>747</v>
      </c>
      <c r="F92" s="262">
        <f t="shared" si="35"/>
        <v>281.24549999999999</v>
      </c>
      <c r="G92" s="262">
        <f t="shared" si="36"/>
        <v>281.24549999999999</v>
      </c>
      <c r="H92" s="47">
        <f t="shared" si="37"/>
        <v>337.64400000000001</v>
      </c>
      <c r="I92" s="47">
        <f t="shared" si="38"/>
        <v>283.113</v>
      </c>
      <c r="J92" s="47">
        <f t="shared" si="39"/>
        <v>372.75299999999999</v>
      </c>
      <c r="K92" s="47">
        <f t="shared" si="40"/>
        <v>321.20999999999998</v>
      </c>
      <c r="L92" s="47">
        <f t="shared" si="41"/>
        <v>360.80099999999999</v>
      </c>
      <c r="M92" s="286"/>
      <c r="N92" s="163"/>
      <c r="O92" s="163"/>
      <c r="P92" s="163"/>
      <c r="Q92" s="163"/>
      <c r="R92" s="163"/>
      <c r="S92" s="163"/>
      <c r="T92" s="163"/>
      <c r="U92" s="163"/>
      <c r="V92" s="163"/>
      <c r="W92" s="163"/>
    </row>
    <row r="93" spans="1:23" ht="27.6">
      <c r="A93" s="64" t="s">
        <v>1122</v>
      </c>
      <c r="B93" s="64" t="s">
        <v>1123</v>
      </c>
      <c r="C93" s="276" t="s">
        <v>1124</v>
      </c>
      <c r="D93" s="77">
        <v>344</v>
      </c>
      <c r="F93" s="262">
        <f t="shared" si="35"/>
        <v>129.51599999999999</v>
      </c>
      <c r="G93" s="262">
        <f t="shared" si="36"/>
        <v>129.51599999999999</v>
      </c>
      <c r="H93" s="47">
        <f t="shared" si="37"/>
        <v>155.488</v>
      </c>
      <c r="I93" s="47">
        <f t="shared" si="38"/>
        <v>130.376</v>
      </c>
      <c r="J93" s="47">
        <f t="shared" si="39"/>
        <v>171.65600000000001</v>
      </c>
      <c r="K93" s="47">
        <f t="shared" si="40"/>
        <v>147.91999999999999</v>
      </c>
      <c r="L93" s="47">
        <f t="shared" si="41"/>
        <v>166.15199999999999</v>
      </c>
      <c r="M93" s="163"/>
      <c r="N93" s="163"/>
      <c r="O93" s="163"/>
      <c r="P93" s="163"/>
      <c r="Q93" s="163"/>
      <c r="R93" s="163"/>
      <c r="S93" s="163"/>
      <c r="T93" s="163"/>
      <c r="U93" s="163"/>
      <c r="V93" s="163"/>
      <c r="W93" s="163"/>
    </row>
    <row r="94" spans="1:23" ht="27.6">
      <c r="A94" s="129" t="s">
        <v>1125</v>
      </c>
      <c r="B94" s="129" t="s">
        <v>1126</v>
      </c>
      <c r="C94" s="276" t="s">
        <v>1127</v>
      </c>
      <c r="D94" s="114">
        <v>167</v>
      </c>
      <c r="F94" s="262">
        <f t="shared" si="35"/>
        <v>62.875500000000002</v>
      </c>
      <c r="G94" s="262">
        <f t="shared" si="36"/>
        <v>62.875500000000002</v>
      </c>
      <c r="H94" s="47">
        <f t="shared" si="37"/>
        <v>75.484000000000009</v>
      </c>
      <c r="I94" s="47">
        <f t="shared" si="38"/>
        <v>63.292999999999999</v>
      </c>
      <c r="J94" s="47">
        <f t="shared" si="39"/>
        <v>83.332999999999998</v>
      </c>
      <c r="K94" s="47">
        <f t="shared" si="40"/>
        <v>71.81</v>
      </c>
      <c r="L94" s="47">
        <f t="shared" si="41"/>
        <v>80.661000000000001</v>
      </c>
      <c r="M94" s="163"/>
      <c r="N94" s="163"/>
      <c r="O94" s="163"/>
      <c r="P94" s="163"/>
      <c r="Q94" s="163"/>
      <c r="R94" s="163"/>
      <c r="S94" s="163"/>
      <c r="T94" s="163"/>
      <c r="U94" s="163"/>
      <c r="V94" s="163"/>
      <c r="W94" s="163"/>
    </row>
    <row r="95" spans="1:23" ht="27.6">
      <c r="A95" s="64" t="s">
        <v>1128</v>
      </c>
      <c r="B95" s="156" t="s">
        <v>1129</v>
      </c>
      <c r="C95" s="276" t="s">
        <v>1130</v>
      </c>
      <c r="D95" s="77">
        <v>265</v>
      </c>
      <c r="F95" s="262">
        <f t="shared" si="35"/>
        <v>99.772499999999994</v>
      </c>
      <c r="G95" s="262">
        <f t="shared" si="36"/>
        <v>99.772499999999994</v>
      </c>
      <c r="H95" s="47">
        <f t="shared" si="37"/>
        <v>119.78</v>
      </c>
      <c r="I95" s="47">
        <f t="shared" si="38"/>
        <v>100.435</v>
      </c>
      <c r="J95" s="47">
        <f t="shared" si="39"/>
        <v>132.23500000000001</v>
      </c>
      <c r="K95" s="47">
        <f t="shared" si="40"/>
        <v>113.95</v>
      </c>
      <c r="L95" s="47">
        <f t="shared" si="41"/>
        <v>127.99499999999999</v>
      </c>
      <c r="M95" s="163"/>
      <c r="N95" s="163"/>
      <c r="O95" s="163"/>
      <c r="P95" s="163"/>
      <c r="Q95" s="163"/>
      <c r="R95" s="163"/>
      <c r="S95" s="163"/>
      <c r="T95" s="163"/>
      <c r="U95" s="163"/>
      <c r="V95" s="163"/>
      <c r="W95" s="163"/>
    </row>
    <row r="96" spans="1:23">
      <c r="A96" s="55" t="s">
        <v>1131</v>
      </c>
      <c r="B96" s="90" t="s">
        <v>1132</v>
      </c>
      <c r="C96" s="276" t="s">
        <v>1133</v>
      </c>
      <c r="D96" s="143">
        <v>197</v>
      </c>
      <c r="F96" s="262">
        <f t="shared" si="35"/>
        <v>74.170500000000004</v>
      </c>
      <c r="G96" s="262">
        <f t="shared" si="36"/>
        <v>74.170500000000004</v>
      </c>
      <c r="H96" s="47">
        <f t="shared" si="37"/>
        <v>89.043999999999997</v>
      </c>
      <c r="I96" s="47">
        <f t="shared" si="38"/>
        <v>74.662999999999997</v>
      </c>
      <c r="J96" s="47">
        <f t="shared" si="39"/>
        <v>98.302999999999997</v>
      </c>
      <c r="K96" s="47">
        <f t="shared" si="40"/>
        <v>84.71</v>
      </c>
      <c r="L96" s="47">
        <f t="shared" si="41"/>
        <v>95.150999999999996</v>
      </c>
      <c r="M96" s="163"/>
      <c r="N96" s="163"/>
      <c r="O96" s="163"/>
      <c r="P96" s="163"/>
      <c r="Q96" s="163"/>
      <c r="R96" s="163"/>
      <c r="S96" s="163"/>
      <c r="T96" s="163"/>
      <c r="U96" s="163"/>
      <c r="V96" s="163"/>
      <c r="W96" s="163"/>
    </row>
    <row r="97" spans="1:23" ht="14.4">
      <c r="A97" s="359" t="s">
        <v>1615</v>
      </c>
      <c r="B97" s="360" t="s">
        <v>1616</v>
      </c>
      <c r="C97" s="337" t="s">
        <v>1621</v>
      </c>
      <c r="D97" s="143">
        <v>141</v>
      </c>
      <c r="F97" s="143">
        <f>D97*$F$9</f>
        <v>53.086500000000001</v>
      </c>
      <c r="G97" s="143">
        <f>D97*$G$9</f>
        <v>53.086500000000001</v>
      </c>
      <c r="H97" s="143">
        <f>D97*$H$9</f>
        <v>63.731999999999999</v>
      </c>
      <c r="I97" s="143">
        <f>D97*$I$9</f>
        <v>53.439</v>
      </c>
      <c r="J97" s="143">
        <f>D97*$J$9</f>
        <v>70.358999999999995</v>
      </c>
      <c r="K97" s="143">
        <f>D97*$K$9</f>
        <v>60.63</v>
      </c>
      <c r="L97" s="143">
        <f>D97*$L$9</f>
        <v>68.102999999999994</v>
      </c>
      <c r="M97"/>
      <c r="N97" s="163"/>
      <c r="O97" s="163"/>
      <c r="P97" s="163"/>
      <c r="Q97" s="163"/>
      <c r="R97" s="163"/>
      <c r="S97" s="163"/>
      <c r="T97" s="163"/>
      <c r="U97" s="163"/>
      <c r="V97" s="163"/>
      <c r="W97" s="163"/>
    </row>
    <row r="98" spans="1:23" ht="14.4">
      <c r="A98" s="335" t="s">
        <v>1617</v>
      </c>
      <c r="B98" s="360" t="s">
        <v>1619</v>
      </c>
      <c r="C98" s="337" t="s">
        <v>1622</v>
      </c>
      <c r="D98" s="143">
        <v>119</v>
      </c>
      <c r="F98" s="143">
        <f>D98*$F$9</f>
        <v>44.8035</v>
      </c>
      <c r="G98" s="143">
        <f>D98*$G$9</f>
        <v>44.8035</v>
      </c>
      <c r="H98" s="143">
        <f>D98*$H$9</f>
        <v>53.788000000000004</v>
      </c>
      <c r="I98" s="143">
        <f>D98*$I$9</f>
        <v>45.100999999999999</v>
      </c>
      <c r="J98" s="143">
        <f>D98*$J$9</f>
        <v>59.381</v>
      </c>
      <c r="K98" s="143">
        <f>D98*$K$9</f>
        <v>51.17</v>
      </c>
      <c r="L98" s="143">
        <f>D98*$L$9</f>
        <v>57.476999999999997</v>
      </c>
      <c r="M98"/>
      <c r="N98" s="163"/>
      <c r="O98" s="163"/>
      <c r="P98" s="163"/>
      <c r="Q98" s="163"/>
      <c r="R98" s="163"/>
      <c r="S98" s="163"/>
      <c r="T98" s="163"/>
      <c r="U98" s="163"/>
      <c r="V98" s="163"/>
      <c r="W98" s="163"/>
    </row>
    <row r="99" spans="1:23" ht="14.4">
      <c r="A99" s="335" t="s">
        <v>1618</v>
      </c>
      <c r="B99" s="360" t="s">
        <v>1620</v>
      </c>
      <c r="C99" s="337" t="s">
        <v>1623</v>
      </c>
      <c r="D99" s="143">
        <v>107</v>
      </c>
      <c r="F99" s="143">
        <f>D99*$F$9</f>
        <v>40.285499999999999</v>
      </c>
      <c r="G99" s="143">
        <f>D99*$G$9</f>
        <v>40.285499999999999</v>
      </c>
      <c r="H99" s="143">
        <f>D99*$H$9</f>
        <v>48.364000000000004</v>
      </c>
      <c r="I99" s="143">
        <f>D99*$I$9</f>
        <v>40.552999999999997</v>
      </c>
      <c r="J99" s="143">
        <f>D99*$J$9</f>
        <v>53.393000000000001</v>
      </c>
      <c r="K99" s="143">
        <f>D99*$K$9</f>
        <v>46.01</v>
      </c>
      <c r="L99" s="143">
        <f>D99*$L$9</f>
        <v>51.680999999999997</v>
      </c>
      <c r="M99"/>
      <c r="N99" s="163"/>
      <c r="O99" s="163"/>
      <c r="P99" s="163"/>
      <c r="Q99" s="163"/>
      <c r="R99" s="163"/>
      <c r="S99" s="163"/>
      <c r="T99" s="163"/>
      <c r="U99" s="163"/>
      <c r="V99" s="163"/>
      <c r="W99" s="163"/>
    </row>
    <row r="100" spans="1:23">
      <c r="A100" s="335"/>
      <c r="B100" s="336"/>
      <c r="C100" s="337"/>
      <c r="D100" s="143"/>
      <c r="F100" s="262"/>
      <c r="G100" s="262"/>
      <c r="H100" s="47"/>
      <c r="I100" s="47"/>
      <c r="J100" s="47"/>
      <c r="K100" s="47"/>
      <c r="L100" s="47"/>
      <c r="M100" s="163"/>
      <c r="N100" s="163"/>
      <c r="O100" s="163"/>
      <c r="P100" s="163"/>
      <c r="Q100" s="163"/>
      <c r="R100" s="163"/>
      <c r="S100" s="163"/>
      <c r="T100" s="163"/>
      <c r="U100" s="163"/>
      <c r="V100" s="163"/>
      <c r="W100" s="163"/>
    </row>
    <row r="101" spans="1:23">
      <c r="A101" s="15" t="s">
        <v>1135</v>
      </c>
      <c r="B101" s="41"/>
      <c r="C101" s="41"/>
      <c r="D101" s="125"/>
      <c r="F101" s="261"/>
      <c r="G101" s="261"/>
      <c r="H101" s="261"/>
      <c r="I101" s="261"/>
      <c r="J101" s="261"/>
      <c r="K101" s="261"/>
      <c r="L101" s="261"/>
      <c r="M101" s="163"/>
      <c r="N101" s="163"/>
      <c r="O101" s="163"/>
      <c r="P101" s="163"/>
      <c r="Q101" s="163"/>
      <c r="R101" s="163"/>
      <c r="S101" s="163"/>
      <c r="T101" s="163"/>
      <c r="U101" s="163"/>
      <c r="V101" s="163"/>
      <c r="W101" s="163"/>
    </row>
    <row r="102" spans="1:23">
      <c r="A102" s="76" t="s">
        <v>1136</v>
      </c>
      <c r="B102" s="129" t="s">
        <v>1137</v>
      </c>
      <c r="C102" s="40" t="s">
        <v>1138</v>
      </c>
      <c r="D102" s="114">
        <v>19</v>
      </c>
      <c r="F102" s="262">
        <f t="shared" si="35"/>
        <v>7.1535000000000002</v>
      </c>
      <c r="G102" s="262">
        <f t="shared" si="36"/>
        <v>7.1535000000000002</v>
      </c>
      <c r="H102" s="47">
        <f t="shared" si="37"/>
        <v>8.588000000000001</v>
      </c>
      <c r="I102" s="47">
        <f t="shared" si="38"/>
        <v>7.2010000000000005</v>
      </c>
      <c r="J102" s="47">
        <f t="shared" si="39"/>
        <v>9.4809999999999999</v>
      </c>
      <c r="K102" s="47">
        <f t="shared" si="40"/>
        <v>8.17</v>
      </c>
      <c r="L102" s="47">
        <f t="shared" si="41"/>
        <v>9.1769999999999996</v>
      </c>
      <c r="M102" s="163"/>
      <c r="N102" s="163"/>
      <c r="O102" s="163"/>
      <c r="P102" s="163"/>
      <c r="Q102" s="163"/>
      <c r="R102" s="163"/>
      <c r="S102" s="163"/>
      <c r="T102" s="163"/>
      <c r="U102" s="163"/>
      <c r="V102" s="163"/>
      <c r="W102" s="163"/>
    </row>
    <row r="103" spans="1:23">
      <c r="A103" s="200" t="s">
        <v>1549</v>
      </c>
      <c r="B103" s="96" t="s">
        <v>1140</v>
      </c>
      <c r="C103" s="107" t="s">
        <v>1141</v>
      </c>
      <c r="D103" s="114">
        <v>18</v>
      </c>
      <c r="F103" s="262">
        <f t="shared" si="35"/>
        <v>6.7770000000000001</v>
      </c>
      <c r="G103" s="262">
        <f t="shared" si="36"/>
        <v>6.7770000000000001</v>
      </c>
      <c r="H103" s="47">
        <f t="shared" si="37"/>
        <v>8.136000000000001</v>
      </c>
      <c r="I103" s="47">
        <f t="shared" si="38"/>
        <v>6.8220000000000001</v>
      </c>
      <c r="J103" s="47">
        <f t="shared" si="39"/>
        <v>8.9819999999999993</v>
      </c>
      <c r="K103" s="47">
        <f t="shared" si="40"/>
        <v>7.74</v>
      </c>
      <c r="L103" s="47">
        <f t="shared" si="41"/>
        <v>8.6939999999999991</v>
      </c>
      <c r="M103" s="163"/>
      <c r="N103" s="163"/>
      <c r="O103" s="163"/>
      <c r="P103" s="163"/>
      <c r="Q103" s="163"/>
      <c r="R103" s="163"/>
      <c r="S103" s="163"/>
      <c r="T103" s="163"/>
      <c r="U103" s="163"/>
      <c r="V103" s="163"/>
      <c r="W103" s="163"/>
    </row>
    <row r="104" spans="1:23">
      <c r="A104" s="200" t="s">
        <v>1142</v>
      </c>
      <c r="B104" s="96" t="s">
        <v>1143</v>
      </c>
      <c r="C104" s="107" t="s">
        <v>1144</v>
      </c>
      <c r="D104" s="114">
        <v>19</v>
      </c>
      <c r="F104" s="262">
        <f t="shared" si="35"/>
        <v>7.1535000000000002</v>
      </c>
      <c r="G104" s="262">
        <f t="shared" si="36"/>
        <v>7.1535000000000002</v>
      </c>
      <c r="H104" s="47">
        <f t="shared" si="37"/>
        <v>8.588000000000001</v>
      </c>
      <c r="I104" s="47">
        <f t="shared" si="38"/>
        <v>7.2010000000000005</v>
      </c>
      <c r="J104" s="47">
        <f t="shared" si="39"/>
        <v>9.4809999999999999</v>
      </c>
      <c r="K104" s="47">
        <f t="shared" si="40"/>
        <v>8.17</v>
      </c>
      <c r="L104" s="47">
        <f t="shared" si="41"/>
        <v>9.1769999999999996</v>
      </c>
      <c r="M104" s="163"/>
      <c r="N104" s="163"/>
      <c r="O104" s="163"/>
      <c r="P104" s="163"/>
      <c r="Q104" s="163"/>
      <c r="R104" s="163"/>
      <c r="S104" s="163"/>
      <c r="T104" s="163"/>
      <c r="U104" s="163"/>
      <c r="V104" s="163"/>
      <c r="W104" s="163"/>
    </row>
    <row r="105" spans="1:23">
      <c r="A105" s="76" t="s">
        <v>1145</v>
      </c>
      <c r="B105" s="129" t="s">
        <v>1146</v>
      </c>
      <c r="C105" s="40" t="s">
        <v>1147</v>
      </c>
      <c r="D105" s="114">
        <v>19</v>
      </c>
      <c r="F105" s="262">
        <f t="shared" si="35"/>
        <v>7.1535000000000002</v>
      </c>
      <c r="G105" s="262">
        <f t="shared" si="36"/>
        <v>7.1535000000000002</v>
      </c>
      <c r="H105" s="47">
        <f t="shared" si="37"/>
        <v>8.588000000000001</v>
      </c>
      <c r="I105" s="47">
        <f t="shared" si="38"/>
        <v>7.2010000000000005</v>
      </c>
      <c r="J105" s="47">
        <f t="shared" si="39"/>
        <v>9.4809999999999999</v>
      </c>
      <c r="K105" s="47">
        <f t="shared" si="40"/>
        <v>8.17</v>
      </c>
      <c r="L105" s="47">
        <f t="shared" si="41"/>
        <v>9.1769999999999996</v>
      </c>
      <c r="M105" s="163"/>
      <c r="N105" s="163"/>
      <c r="O105" s="163"/>
      <c r="P105" s="163"/>
      <c r="Q105" s="163"/>
      <c r="R105" s="163"/>
      <c r="S105" s="163"/>
      <c r="T105" s="163"/>
      <c r="U105" s="163"/>
      <c r="V105" s="163"/>
      <c r="W105" s="163"/>
    </row>
    <row r="106" spans="1:23">
      <c r="A106" s="76" t="s">
        <v>1148</v>
      </c>
      <c r="B106" s="129" t="s">
        <v>1149</v>
      </c>
      <c r="C106" s="26" t="s">
        <v>1150</v>
      </c>
      <c r="D106" s="114">
        <v>18</v>
      </c>
      <c r="F106" s="262">
        <f t="shared" si="35"/>
        <v>6.7770000000000001</v>
      </c>
      <c r="G106" s="262">
        <f t="shared" si="36"/>
        <v>6.7770000000000001</v>
      </c>
      <c r="H106" s="47">
        <f t="shared" si="37"/>
        <v>8.136000000000001</v>
      </c>
      <c r="I106" s="47">
        <f t="shared" si="38"/>
        <v>6.8220000000000001</v>
      </c>
      <c r="J106" s="47">
        <f t="shared" si="39"/>
        <v>8.9819999999999993</v>
      </c>
      <c r="K106" s="47">
        <f t="shared" si="40"/>
        <v>7.74</v>
      </c>
      <c r="L106" s="47">
        <f t="shared" si="41"/>
        <v>8.6939999999999991</v>
      </c>
      <c r="M106" s="163"/>
      <c r="N106" s="163"/>
      <c r="O106" s="163"/>
      <c r="P106" s="163"/>
      <c r="Q106" s="163"/>
      <c r="R106" s="163"/>
      <c r="S106" s="163"/>
      <c r="T106" s="163"/>
      <c r="U106" s="163"/>
      <c r="V106" s="163"/>
      <c r="W106" s="163"/>
    </row>
    <row r="107" spans="1:23">
      <c r="A107" s="129" t="s">
        <v>1151</v>
      </c>
      <c r="B107" s="129" t="s">
        <v>1152</v>
      </c>
      <c r="C107" s="107" t="s">
        <v>1153</v>
      </c>
      <c r="D107" s="114">
        <v>149</v>
      </c>
      <c r="F107" s="262">
        <f t="shared" si="35"/>
        <v>56.098500000000001</v>
      </c>
      <c r="G107" s="262">
        <f t="shared" si="36"/>
        <v>56.098500000000001</v>
      </c>
      <c r="H107" s="47">
        <f t="shared" si="37"/>
        <v>67.347999999999999</v>
      </c>
      <c r="I107" s="47">
        <f t="shared" si="38"/>
        <v>56.471000000000004</v>
      </c>
      <c r="J107" s="47">
        <f t="shared" si="39"/>
        <v>74.350999999999999</v>
      </c>
      <c r="K107" s="47">
        <f t="shared" si="40"/>
        <v>64.069999999999993</v>
      </c>
      <c r="L107" s="47">
        <f t="shared" si="41"/>
        <v>71.966999999999999</v>
      </c>
      <c r="M107" s="163"/>
      <c r="N107" s="163"/>
      <c r="O107" s="163"/>
      <c r="P107" s="163"/>
      <c r="Q107" s="163"/>
      <c r="R107" s="163"/>
      <c r="S107" s="163"/>
      <c r="T107" s="163"/>
      <c r="U107" s="163"/>
      <c r="V107" s="163"/>
      <c r="W107" s="163"/>
    </row>
    <row r="108" spans="1:23" ht="31.5" customHeight="1">
      <c r="A108" s="129" t="s">
        <v>1154</v>
      </c>
      <c r="B108" s="71" t="s">
        <v>1155</v>
      </c>
      <c r="C108" s="40" t="s">
        <v>1156</v>
      </c>
      <c r="D108" s="114">
        <v>23</v>
      </c>
      <c r="F108" s="262">
        <f t="shared" si="35"/>
        <v>8.6594999999999995</v>
      </c>
      <c r="G108" s="262">
        <f t="shared" si="36"/>
        <v>8.6594999999999995</v>
      </c>
      <c r="H108" s="47">
        <f t="shared" si="37"/>
        <v>10.396000000000001</v>
      </c>
      <c r="I108" s="47">
        <f t="shared" si="38"/>
        <v>8.7170000000000005</v>
      </c>
      <c r="J108" s="47">
        <f t="shared" si="39"/>
        <v>11.477</v>
      </c>
      <c r="K108" s="47">
        <f t="shared" si="40"/>
        <v>9.89</v>
      </c>
      <c r="L108" s="47">
        <f t="shared" si="41"/>
        <v>11.109</v>
      </c>
      <c r="M108" s="163"/>
      <c r="N108" s="163"/>
      <c r="O108" s="163"/>
      <c r="P108" s="163"/>
      <c r="Q108" s="163"/>
      <c r="R108" s="163"/>
      <c r="S108" s="163"/>
      <c r="T108" s="163"/>
      <c r="U108" s="163"/>
      <c r="V108" s="163"/>
      <c r="W108" s="163"/>
    </row>
    <row r="109" spans="1:23">
      <c r="A109" s="69"/>
      <c r="B109" s="48"/>
      <c r="C109" s="40"/>
      <c r="D109" s="47"/>
      <c r="F109" s="262"/>
      <c r="G109" s="262"/>
      <c r="H109" s="47"/>
      <c r="I109" s="47"/>
      <c r="J109" s="47"/>
      <c r="K109" s="47"/>
      <c r="L109" s="47"/>
      <c r="M109" s="163"/>
      <c r="N109" s="163"/>
      <c r="O109" s="163"/>
      <c r="P109" s="163"/>
      <c r="Q109" s="163"/>
      <c r="R109" s="163"/>
      <c r="S109" s="163"/>
      <c r="T109" s="163"/>
      <c r="U109" s="163"/>
      <c r="V109" s="163"/>
      <c r="W109" s="163"/>
    </row>
    <row r="110" spans="1:23">
      <c r="A110" s="15" t="s">
        <v>1157</v>
      </c>
      <c r="B110" s="41"/>
      <c r="C110" s="41"/>
      <c r="D110" s="125"/>
      <c r="F110" s="261"/>
      <c r="G110" s="261"/>
      <c r="H110" s="261"/>
      <c r="I110" s="261"/>
      <c r="J110" s="261"/>
      <c r="K110" s="261"/>
      <c r="L110" s="261"/>
      <c r="M110" s="163"/>
      <c r="N110" s="163"/>
      <c r="O110" s="163"/>
      <c r="P110" s="163"/>
      <c r="Q110" s="163"/>
      <c r="R110" s="163"/>
      <c r="S110" s="163"/>
      <c r="T110" s="163"/>
      <c r="U110" s="163"/>
      <c r="V110" s="163"/>
      <c r="W110" s="163"/>
    </row>
    <row r="111" spans="1:23">
      <c r="A111" s="69" t="s">
        <v>1158</v>
      </c>
      <c r="B111" s="48" t="s">
        <v>1159</v>
      </c>
      <c r="C111" s="40" t="s">
        <v>1160</v>
      </c>
      <c r="D111" s="114">
        <v>160</v>
      </c>
      <c r="F111" s="262">
        <f t="shared" si="35"/>
        <v>60.24</v>
      </c>
      <c r="G111" s="262">
        <f t="shared" si="36"/>
        <v>60.24</v>
      </c>
      <c r="H111" s="47">
        <f t="shared" si="37"/>
        <v>72.320000000000007</v>
      </c>
      <c r="I111" s="47">
        <f t="shared" si="38"/>
        <v>60.64</v>
      </c>
      <c r="J111" s="47">
        <f t="shared" si="39"/>
        <v>79.84</v>
      </c>
      <c r="K111" s="47">
        <f t="shared" si="40"/>
        <v>68.8</v>
      </c>
      <c r="L111" s="47">
        <f t="shared" si="41"/>
        <v>77.28</v>
      </c>
      <c r="M111" s="163"/>
      <c r="N111" s="163"/>
      <c r="O111" s="163"/>
      <c r="P111" s="163"/>
      <c r="Q111" s="163"/>
      <c r="R111" s="163"/>
      <c r="S111" s="163"/>
      <c r="T111" s="163"/>
      <c r="U111" s="163"/>
      <c r="V111" s="163"/>
      <c r="W111" s="163"/>
    </row>
    <row r="112" spans="1:23" s="59" customFormat="1">
      <c r="A112" s="69" t="s">
        <v>1161</v>
      </c>
      <c r="B112" s="48" t="s">
        <v>1162</v>
      </c>
      <c r="C112" s="40" t="s">
        <v>1163</v>
      </c>
      <c r="D112" s="114">
        <v>94</v>
      </c>
      <c r="F112" s="262">
        <f t="shared" si="35"/>
        <v>35.390999999999998</v>
      </c>
      <c r="G112" s="262">
        <f t="shared" si="36"/>
        <v>35.390999999999998</v>
      </c>
      <c r="H112" s="263">
        <f t="shared" si="37"/>
        <v>42.488</v>
      </c>
      <c r="I112" s="263">
        <f t="shared" si="38"/>
        <v>35.625999999999998</v>
      </c>
      <c r="J112" s="263">
        <f t="shared" si="39"/>
        <v>46.905999999999999</v>
      </c>
      <c r="K112" s="263">
        <f t="shared" si="40"/>
        <v>40.42</v>
      </c>
      <c r="L112" s="263">
        <f t="shared" si="41"/>
        <v>45.402000000000001</v>
      </c>
      <c r="M112" s="163"/>
      <c r="N112" s="163"/>
    </row>
    <row r="113" spans="1:23">
      <c r="A113" s="69" t="s">
        <v>1164</v>
      </c>
      <c r="B113" s="48" t="s">
        <v>1165</v>
      </c>
      <c r="C113" s="40" t="s">
        <v>1166</v>
      </c>
      <c r="D113" s="114">
        <v>153</v>
      </c>
      <c r="F113" s="262">
        <f t="shared" si="35"/>
        <v>57.604500000000002</v>
      </c>
      <c r="G113" s="262">
        <f t="shared" si="36"/>
        <v>57.604500000000002</v>
      </c>
      <c r="H113" s="47">
        <f t="shared" si="37"/>
        <v>69.156000000000006</v>
      </c>
      <c r="I113" s="47">
        <f t="shared" si="38"/>
        <v>57.987000000000002</v>
      </c>
      <c r="J113" s="47">
        <f t="shared" si="39"/>
        <v>76.346999999999994</v>
      </c>
      <c r="K113" s="47">
        <f t="shared" si="40"/>
        <v>65.789999999999992</v>
      </c>
      <c r="L113" s="47">
        <f t="shared" si="41"/>
        <v>73.899000000000001</v>
      </c>
      <c r="M113" s="163"/>
      <c r="N113" s="163"/>
      <c r="O113" s="163"/>
      <c r="P113" s="163"/>
      <c r="Q113" s="163"/>
      <c r="R113" s="163"/>
      <c r="S113" s="163"/>
      <c r="T113" s="163"/>
      <c r="U113" s="163"/>
      <c r="V113" s="163"/>
      <c r="W113" s="163"/>
    </row>
    <row r="114" spans="1:23">
      <c r="A114" s="69" t="s">
        <v>1167</v>
      </c>
      <c r="B114" s="48" t="s">
        <v>1168</v>
      </c>
      <c r="C114" s="40" t="s">
        <v>1169</v>
      </c>
      <c r="D114" s="143">
        <v>76</v>
      </c>
      <c r="E114" s="163"/>
      <c r="F114" s="262">
        <f t="shared" ref="F114" si="42">D114*$F$9</f>
        <v>28.614000000000001</v>
      </c>
      <c r="G114" s="262">
        <f t="shared" ref="G114" si="43">D114*$G$9</f>
        <v>28.614000000000001</v>
      </c>
      <c r="H114" s="47">
        <f t="shared" ref="H114" si="44">D114*$H$9</f>
        <v>34.352000000000004</v>
      </c>
      <c r="I114" s="47">
        <f t="shared" ref="I114" si="45">D114*$I$9</f>
        <v>28.804000000000002</v>
      </c>
      <c r="J114" s="47">
        <f t="shared" ref="J114" si="46">D114*$J$9</f>
        <v>37.923999999999999</v>
      </c>
      <c r="K114" s="47">
        <f t="shared" ref="K114" si="47">D114*$K$9</f>
        <v>32.68</v>
      </c>
      <c r="L114" s="47">
        <f t="shared" ref="L114" si="48">D114*$L$9</f>
        <v>36.707999999999998</v>
      </c>
      <c r="M114" s="163"/>
      <c r="N114" s="163"/>
    </row>
    <row r="115" spans="1:23">
      <c r="A115" s="29"/>
      <c r="B115" s="37"/>
      <c r="C115" s="80"/>
      <c r="D115" s="47"/>
      <c r="F115" s="262"/>
      <c r="G115" s="262"/>
      <c r="H115" s="47"/>
      <c r="I115" s="47"/>
      <c r="J115" s="47"/>
      <c r="K115" s="47"/>
      <c r="L115" s="47"/>
      <c r="M115" s="163"/>
      <c r="N115" s="163"/>
      <c r="O115" s="163"/>
      <c r="P115" s="163"/>
      <c r="Q115" s="163"/>
      <c r="R115" s="163"/>
      <c r="S115" s="163"/>
      <c r="T115" s="163"/>
      <c r="U115" s="163"/>
      <c r="V115" s="163"/>
      <c r="W115" s="163"/>
    </row>
    <row r="116" spans="1:23">
      <c r="A116" s="15" t="s">
        <v>1170</v>
      </c>
      <c r="B116" s="41"/>
      <c r="C116" s="41"/>
      <c r="D116" s="125"/>
      <c r="F116" s="261"/>
      <c r="G116" s="261"/>
      <c r="H116" s="261"/>
      <c r="I116" s="261"/>
      <c r="J116" s="261"/>
      <c r="K116" s="261"/>
      <c r="L116" s="261"/>
      <c r="M116" s="163"/>
      <c r="N116" s="163"/>
      <c r="O116" s="163"/>
      <c r="P116" s="163"/>
      <c r="Q116" s="163"/>
      <c r="R116" s="163"/>
      <c r="S116" s="163"/>
      <c r="T116" s="163"/>
      <c r="U116" s="163"/>
      <c r="V116" s="163"/>
      <c r="W116" s="163"/>
    </row>
    <row r="117" spans="1:23">
      <c r="A117" s="69" t="s">
        <v>1171</v>
      </c>
      <c r="B117" s="48" t="s">
        <v>1172</v>
      </c>
      <c r="C117" s="40" t="s">
        <v>1173</v>
      </c>
      <c r="D117" s="114">
        <v>12</v>
      </c>
      <c r="F117" s="262">
        <f t="shared" si="35"/>
        <v>4.5179999999999998</v>
      </c>
      <c r="G117" s="262">
        <f t="shared" si="36"/>
        <v>4.5179999999999998</v>
      </c>
      <c r="H117" s="47">
        <f t="shared" si="37"/>
        <v>5.4240000000000004</v>
      </c>
      <c r="I117" s="47">
        <f t="shared" si="38"/>
        <v>4.548</v>
      </c>
      <c r="J117" s="47">
        <f t="shared" si="39"/>
        <v>5.9879999999999995</v>
      </c>
      <c r="K117" s="47">
        <f t="shared" si="40"/>
        <v>5.16</v>
      </c>
      <c r="L117" s="47">
        <f t="shared" si="41"/>
        <v>5.7959999999999994</v>
      </c>
      <c r="M117" s="163"/>
      <c r="N117" s="163"/>
      <c r="O117" s="163"/>
      <c r="P117" s="163"/>
      <c r="Q117" s="163"/>
      <c r="R117" s="163"/>
      <c r="S117" s="163"/>
      <c r="T117" s="163"/>
      <c r="U117" s="163"/>
      <c r="V117" s="163"/>
      <c r="W117" s="163"/>
    </row>
    <row r="118" spans="1:23">
      <c r="A118" s="69" t="s">
        <v>1174</v>
      </c>
      <c r="B118" s="48" t="s">
        <v>1175</v>
      </c>
      <c r="C118" s="40" t="s">
        <v>1176</v>
      </c>
      <c r="D118" s="114">
        <v>8</v>
      </c>
      <c r="F118" s="262">
        <f t="shared" si="35"/>
        <v>3.012</v>
      </c>
      <c r="G118" s="262">
        <f t="shared" si="36"/>
        <v>3.012</v>
      </c>
      <c r="H118" s="47">
        <f t="shared" si="37"/>
        <v>3.6160000000000001</v>
      </c>
      <c r="I118" s="47">
        <f t="shared" si="38"/>
        <v>3.032</v>
      </c>
      <c r="J118" s="47">
        <f t="shared" si="39"/>
        <v>3.992</v>
      </c>
      <c r="K118" s="47">
        <f t="shared" si="40"/>
        <v>3.44</v>
      </c>
      <c r="L118" s="47">
        <f t="shared" si="41"/>
        <v>3.8639999999999999</v>
      </c>
      <c r="M118" s="163"/>
      <c r="N118" s="163"/>
      <c r="O118" s="163"/>
      <c r="P118" s="163"/>
      <c r="Q118" s="163"/>
      <c r="R118" s="163"/>
      <c r="S118" s="163"/>
      <c r="T118" s="163"/>
      <c r="U118" s="163"/>
      <c r="V118" s="163"/>
      <c r="W118" s="163"/>
    </row>
    <row r="119" spans="1:23">
      <c r="A119" s="129" t="s">
        <v>1177</v>
      </c>
      <c r="B119" s="129" t="s">
        <v>1178</v>
      </c>
      <c r="C119" s="26" t="s">
        <v>1179</v>
      </c>
      <c r="D119" s="114">
        <v>16</v>
      </c>
      <c r="F119" s="262">
        <f t="shared" si="35"/>
        <v>6.024</v>
      </c>
      <c r="G119" s="262">
        <f t="shared" si="36"/>
        <v>6.024</v>
      </c>
      <c r="H119" s="47">
        <f t="shared" si="37"/>
        <v>7.2320000000000002</v>
      </c>
      <c r="I119" s="47">
        <f t="shared" si="38"/>
        <v>6.0640000000000001</v>
      </c>
      <c r="J119" s="47">
        <f t="shared" si="39"/>
        <v>7.984</v>
      </c>
      <c r="K119" s="47">
        <f t="shared" si="40"/>
        <v>6.88</v>
      </c>
      <c r="L119" s="47">
        <f t="shared" si="41"/>
        <v>7.7279999999999998</v>
      </c>
      <c r="M119" s="163"/>
      <c r="N119" s="163"/>
      <c r="O119" s="163"/>
      <c r="P119" s="163"/>
      <c r="Q119" s="163"/>
      <c r="R119" s="163"/>
      <c r="S119" s="163"/>
      <c r="T119" s="163"/>
      <c r="U119" s="163"/>
      <c r="V119" s="163"/>
      <c r="W119" s="163"/>
    </row>
    <row r="120" spans="1:23">
      <c r="A120" s="129" t="s">
        <v>1180</v>
      </c>
      <c r="B120" s="129" t="s">
        <v>1181</v>
      </c>
      <c r="C120" s="26" t="s">
        <v>1182</v>
      </c>
      <c r="D120" s="114">
        <v>12</v>
      </c>
      <c r="F120" s="262">
        <f t="shared" si="35"/>
        <v>4.5179999999999998</v>
      </c>
      <c r="G120" s="262">
        <f t="shared" si="36"/>
        <v>4.5179999999999998</v>
      </c>
      <c r="H120" s="47">
        <f t="shared" si="37"/>
        <v>5.4240000000000004</v>
      </c>
      <c r="I120" s="47">
        <f t="shared" si="38"/>
        <v>4.548</v>
      </c>
      <c r="J120" s="47">
        <f t="shared" si="39"/>
        <v>5.9879999999999995</v>
      </c>
      <c r="K120" s="47">
        <f t="shared" si="40"/>
        <v>5.16</v>
      </c>
      <c r="L120" s="47">
        <f t="shared" si="41"/>
        <v>5.7959999999999994</v>
      </c>
      <c r="M120" s="163"/>
      <c r="N120" s="163"/>
      <c r="O120" s="163"/>
      <c r="P120" s="163"/>
      <c r="Q120" s="163"/>
      <c r="R120" s="163"/>
      <c r="S120" s="163"/>
      <c r="T120" s="163"/>
      <c r="U120" s="163"/>
      <c r="V120" s="163"/>
      <c r="W120" s="163"/>
    </row>
    <row r="121" spans="1:23">
      <c r="A121" s="129" t="s">
        <v>1183</v>
      </c>
      <c r="B121" s="129" t="s">
        <v>1184</v>
      </c>
      <c r="C121" s="26" t="s">
        <v>1185</v>
      </c>
      <c r="D121" s="114">
        <v>8</v>
      </c>
      <c r="F121" s="262">
        <f t="shared" si="35"/>
        <v>3.012</v>
      </c>
      <c r="G121" s="262">
        <f t="shared" si="36"/>
        <v>3.012</v>
      </c>
      <c r="H121" s="47">
        <f t="shared" si="37"/>
        <v>3.6160000000000001</v>
      </c>
      <c r="I121" s="47">
        <f t="shared" si="38"/>
        <v>3.032</v>
      </c>
      <c r="J121" s="47">
        <f t="shared" si="39"/>
        <v>3.992</v>
      </c>
      <c r="K121" s="47">
        <f t="shared" si="40"/>
        <v>3.44</v>
      </c>
      <c r="L121" s="47">
        <f t="shared" si="41"/>
        <v>3.8639999999999999</v>
      </c>
      <c r="M121" s="163"/>
      <c r="N121" s="163"/>
      <c r="O121" s="163"/>
      <c r="P121" s="163"/>
      <c r="Q121" s="163"/>
      <c r="R121" s="163"/>
      <c r="S121" s="163"/>
      <c r="T121" s="163"/>
      <c r="U121" s="163"/>
      <c r="V121" s="163"/>
      <c r="W121" s="163"/>
    </row>
    <row r="122" spans="1:23">
      <c r="A122" s="69" t="s">
        <v>1550</v>
      </c>
      <c r="B122" s="48" t="s">
        <v>1187</v>
      </c>
      <c r="C122" s="88" t="s">
        <v>1188</v>
      </c>
      <c r="D122" s="114">
        <v>14</v>
      </c>
      <c r="F122" s="262">
        <f t="shared" si="35"/>
        <v>5.2709999999999999</v>
      </c>
      <c r="G122" s="262">
        <f t="shared" si="36"/>
        <v>5.2709999999999999</v>
      </c>
      <c r="H122" s="47">
        <f t="shared" si="37"/>
        <v>6.3280000000000003</v>
      </c>
      <c r="I122" s="47">
        <f t="shared" si="38"/>
        <v>5.306</v>
      </c>
      <c r="J122" s="47">
        <f t="shared" si="39"/>
        <v>6.9859999999999998</v>
      </c>
      <c r="K122" s="47">
        <f t="shared" si="40"/>
        <v>6.02</v>
      </c>
      <c r="L122" s="47">
        <f t="shared" si="41"/>
        <v>6.7619999999999996</v>
      </c>
      <c r="M122" s="163"/>
      <c r="N122" s="163"/>
      <c r="O122" s="163"/>
      <c r="P122" s="163"/>
      <c r="Q122" s="163"/>
      <c r="R122" s="163"/>
      <c r="S122" s="163"/>
      <c r="T122" s="163"/>
      <c r="U122" s="163"/>
      <c r="V122" s="163"/>
      <c r="W122" s="163"/>
    </row>
    <row r="123" spans="1:23">
      <c r="A123" s="69" t="s">
        <v>1189</v>
      </c>
      <c r="B123" s="48" t="s">
        <v>1190</v>
      </c>
      <c r="C123" s="88" t="s">
        <v>1191</v>
      </c>
      <c r="D123" s="114">
        <v>13</v>
      </c>
      <c r="F123" s="262">
        <f t="shared" si="35"/>
        <v>4.8944999999999999</v>
      </c>
      <c r="G123" s="262">
        <f t="shared" si="36"/>
        <v>4.8944999999999999</v>
      </c>
      <c r="H123" s="47">
        <f t="shared" si="37"/>
        <v>5.8760000000000003</v>
      </c>
      <c r="I123" s="47">
        <f t="shared" si="38"/>
        <v>4.9269999999999996</v>
      </c>
      <c r="J123" s="47">
        <f t="shared" si="39"/>
        <v>6.4870000000000001</v>
      </c>
      <c r="K123" s="47">
        <f t="shared" si="40"/>
        <v>5.59</v>
      </c>
      <c r="L123" s="47">
        <f t="shared" si="41"/>
        <v>6.2789999999999999</v>
      </c>
      <c r="M123" s="163"/>
      <c r="N123" s="163"/>
      <c r="O123" s="163"/>
      <c r="P123" s="163"/>
      <c r="Q123" s="163"/>
      <c r="R123" s="163"/>
      <c r="S123" s="163"/>
      <c r="T123" s="163"/>
      <c r="U123" s="163"/>
      <c r="V123" s="163"/>
      <c r="W123" s="163"/>
    </row>
    <row r="124" spans="1:23">
      <c r="A124" s="69" t="s">
        <v>1192</v>
      </c>
      <c r="B124" s="48" t="s">
        <v>1193</v>
      </c>
      <c r="C124" s="88" t="s">
        <v>1194</v>
      </c>
      <c r="D124" s="114">
        <v>11</v>
      </c>
      <c r="F124" s="262">
        <f t="shared" si="35"/>
        <v>4.1414999999999997</v>
      </c>
      <c r="G124" s="262">
        <f t="shared" si="36"/>
        <v>4.1414999999999997</v>
      </c>
      <c r="H124" s="47">
        <f t="shared" si="37"/>
        <v>4.9720000000000004</v>
      </c>
      <c r="I124" s="47">
        <f t="shared" si="38"/>
        <v>4.1690000000000005</v>
      </c>
      <c r="J124" s="47">
        <f t="shared" si="39"/>
        <v>5.4889999999999999</v>
      </c>
      <c r="K124" s="47">
        <f t="shared" si="40"/>
        <v>4.7299999999999995</v>
      </c>
      <c r="L124" s="47">
        <f t="shared" si="41"/>
        <v>5.3129999999999997</v>
      </c>
      <c r="M124" s="163"/>
      <c r="N124" s="163"/>
      <c r="O124" s="163"/>
      <c r="P124" s="163"/>
      <c r="Q124" s="163"/>
      <c r="R124" s="163"/>
      <c r="S124" s="163"/>
      <c r="T124" s="163"/>
      <c r="U124" s="163"/>
      <c r="V124" s="163"/>
      <c r="W124" s="163"/>
    </row>
    <row r="125" spans="1:23" ht="14.4">
      <c r="A125" s="29" t="s">
        <v>1195</v>
      </c>
      <c r="B125" s="37" t="s">
        <v>1196</v>
      </c>
      <c r="C125" s="276" t="s">
        <v>1197</v>
      </c>
      <c r="D125" s="114">
        <v>35</v>
      </c>
      <c r="F125" s="262">
        <f t="shared" si="35"/>
        <v>13.1775</v>
      </c>
      <c r="G125" s="262">
        <f t="shared" si="36"/>
        <v>13.1775</v>
      </c>
      <c r="H125" s="47">
        <f t="shared" si="37"/>
        <v>15.82</v>
      </c>
      <c r="I125" s="47">
        <f t="shared" si="38"/>
        <v>13.265000000000001</v>
      </c>
      <c r="J125" s="47">
        <f t="shared" si="39"/>
        <v>17.465</v>
      </c>
      <c r="K125" s="47">
        <f t="shared" si="40"/>
        <v>15.049999999999999</v>
      </c>
      <c r="L125" s="47">
        <f t="shared" si="41"/>
        <v>16.905000000000001</v>
      </c>
      <c r="M125" s="286"/>
      <c r="N125" s="163"/>
      <c r="O125" s="163"/>
      <c r="P125" s="163"/>
      <c r="Q125" s="163"/>
      <c r="R125" s="163"/>
      <c r="S125" s="163"/>
      <c r="T125" s="163"/>
      <c r="U125" s="163"/>
      <c r="V125" s="163"/>
      <c r="W125" s="163"/>
    </row>
    <row r="126" spans="1:23">
      <c r="A126" s="69" t="s">
        <v>1551</v>
      </c>
      <c r="B126" s="48" t="s">
        <v>1199</v>
      </c>
      <c r="C126" s="88" t="s">
        <v>1200</v>
      </c>
      <c r="D126" s="114">
        <v>9</v>
      </c>
      <c r="F126" s="262">
        <f t="shared" si="35"/>
        <v>3.3885000000000001</v>
      </c>
      <c r="G126" s="262">
        <f t="shared" si="36"/>
        <v>3.3885000000000001</v>
      </c>
      <c r="H126" s="47">
        <f t="shared" si="37"/>
        <v>4.0680000000000005</v>
      </c>
      <c r="I126" s="47">
        <f t="shared" si="38"/>
        <v>3.411</v>
      </c>
      <c r="J126" s="47">
        <f t="shared" si="39"/>
        <v>4.4909999999999997</v>
      </c>
      <c r="K126" s="47">
        <f t="shared" si="40"/>
        <v>3.87</v>
      </c>
      <c r="L126" s="47">
        <f t="shared" si="41"/>
        <v>4.3469999999999995</v>
      </c>
      <c r="M126" s="163"/>
      <c r="N126" s="163"/>
      <c r="O126" s="163"/>
      <c r="P126" s="163"/>
      <c r="Q126" s="163"/>
      <c r="R126" s="163"/>
      <c r="S126" s="163"/>
      <c r="T126" s="163"/>
      <c r="U126" s="163"/>
      <c r="V126" s="163"/>
      <c r="W126" s="163"/>
    </row>
    <row r="127" spans="1:23">
      <c r="A127" s="69" t="s">
        <v>1552</v>
      </c>
      <c r="B127" s="48" t="s">
        <v>1202</v>
      </c>
      <c r="C127" s="88" t="s">
        <v>1203</v>
      </c>
      <c r="D127" s="114">
        <v>8</v>
      </c>
      <c r="F127" s="262">
        <f t="shared" si="35"/>
        <v>3.012</v>
      </c>
      <c r="G127" s="262">
        <f t="shared" si="36"/>
        <v>3.012</v>
      </c>
      <c r="H127" s="47">
        <f t="shared" si="37"/>
        <v>3.6160000000000001</v>
      </c>
      <c r="I127" s="47">
        <f t="shared" si="38"/>
        <v>3.032</v>
      </c>
      <c r="J127" s="47">
        <f t="shared" si="39"/>
        <v>3.992</v>
      </c>
      <c r="K127" s="47">
        <f t="shared" si="40"/>
        <v>3.44</v>
      </c>
      <c r="L127" s="47">
        <f t="shared" si="41"/>
        <v>3.8639999999999999</v>
      </c>
      <c r="M127" s="163"/>
      <c r="N127" s="163"/>
      <c r="O127" s="163"/>
      <c r="P127" s="163"/>
      <c r="Q127" s="163"/>
      <c r="R127" s="163"/>
      <c r="S127" s="163"/>
      <c r="T127" s="163"/>
      <c r="U127" s="163"/>
      <c r="V127" s="163"/>
      <c r="W127" s="163"/>
    </row>
    <row r="128" spans="1:23">
      <c r="A128" s="69" t="s">
        <v>1553</v>
      </c>
      <c r="B128" s="48" t="s">
        <v>1205</v>
      </c>
      <c r="C128" s="88" t="s">
        <v>1206</v>
      </c>
      <c r="D128" s="114">
        <v>6</v>
      </c>
      <c r="F128" s="262">
        <f t="shared" ref="F128:F196" si="49">D128*$F$9</f>
        <v>2.2589999999999999</v>
      </c>
      <c r="G128" s="262">
        <f t="shared" ref="G128:G196" si="50">D128*$G$9</f>
        <v>2.2589999999999999</v>
      </c>
      <c r="H128" s="47">
        <f t="shared" ref="H128:H196" si="51">D128*$H$9</f>
        <v>2.7120000000000002</v>
      </c>
      <c r="I128" s="47">
        <f t="shared" ref="I128:I196" si="52">D128*$I$9</f>
        <v>2.274</v>
      </c>
      <c r="J128" s="47">
        <f t="shared" ref="J128:J196" si="53">D128*$J$9</f>
        <v>2.9939999999999998</v>
      </c>
      <c r="K128" s="47">
        <f t="shared" ref="K128:K196" si="54">D128*$K$9</f>
        <v>2.58</v>
      </c>
      <c r="L128" s="47">
        <f t="shared" ref="L128:L196" si="55">D128*$L$9</f>
        <v>2.8979999999999997</v>
      </c>
      <c r="M128" s="163"/>
      <c r="N128" s="163"/>
      <c r="O128" s="163"/>
      <c r="P128" s="163"/>
      <c r="Q128" s="163"/>
      <c r="R128" s="163"/>
      <c r="S128" s="163"/>
      <c r="T128" s="163"/>
      <c r="U128" s="163"/>
      <c r="V128" s="163"/>
      <c r="W128" s="163"/>
    </row>
    <row r="129" spans="1:23">
      <c r="A129" s="69" t="s">
        <v>1554</v>
      </c>
      <c r="B129" s="48" t="s">
        <v>1208</v>
      </c>
      <c r="C129" s="88" t="s">
        <v>1209</v>
      </c>
      <c r="D129" s="114">
        <v>6</v>
      </c>
      <c r="F129" s="262">
        <f t="shared" si="49"/>
        <v>2.2589999999999999</v>
      </c>
      <c r="G129" s="262">
        <f t="shared" si="50"/>
        <v>2.2589999999999999</v>
      </c>
      <c r="H129" s="47">
        <f t="shared" si="51"/>
        <v>2.7120000000000002</v>
      </c>
      <c r="I129" s="47">
        <f t="shared" si="52"/>
        <v>2.274</v>
      </c>
      <c r="J129" s="47">
        <f t="shared" si="53"/>
        <v>2.9939999999999998</v>
      </c>
      <c r="K129" s="47">
        <f t="shared" si="54"/>
        <v>2.58</v>
      </c>
      <c r="L129" s="47">
        <f t="shared" si="55"/>
        <v>2.8979999999999997</v>
      </c>
      <c r="M129" s="163"/>
      <c r="N129" s="163"/>
      <c r="O129" s="163"/>
      <c r="P129" s="163"/>
      <c r="Q129" s="163"/>
      <c r="R129" s="163"/>
      <c r="S129" s="163"/>
      <c r="T129" s="163"/>
      <c r="U129" s="163"/>
      <c r="V129" s="163"/>
      <c r="W129" s="163"/>
    </row>
    <row r="130" spans="1:23">
      <c r="A130" s="69" t="s">
        <v>1210</v>
      </c>
      <c r="B130" s="48" t="s">
        <v>1211</v>
      </c>
      <c r="C130" s="88" t="s">
        <v>1212</v>
      </c>
      <c r="D130" s="114">
        <v>18</v>
      </c>
      <c r="F130" s="262">
        <f t="shared" si="49"/>
        <v>6.7770000000000001</v>
      </c>
      <c r="G130" s="262">
        <f t="shared" si="50"/>
        <v>6.7770000000000001</v>
      </c>
      <c r="H130" s="47">
        <f t="shared" si="51"/>
        <v>8.136000000000001</v>
      </c>
      <c r="I130" s="47">
        <f t="shared" si="52"/>
        <v>6.8220000000000001</v>
      </c>
      <c r="J130" s="47">
        <f t="shared" si="53"/>
        <v>8.9819999999999993</v>
      </c>
      <c r="K130" s="47">
        <f t="shared" si="54"/>
        <v>7.74</v>
      </c>
      <c r="L130" s="47">
        <f t="shared" si="55"/>
        <v>8.6939999999999991</v>
      </c>
      <c r="M130" s="163"/>
      <c r="N130" s="163"/>
      <c r="O130" s="163"/>
      <c r="P130" s="163"/>
      <c r="Q130" s="163"/>
      <c r="R130" s="163"/>
      <c r="S130" s="163"/>
      <c r="T130" s="163"/>
      <c r="U130" s="163"/>
      <c r="V130" s="163"/>
      <c r="W130" s="163"/>
    </row>
    <row r="131" spans="1:23">
      <c r="A131" s="129" t="s">
        <v>1213</v>
      </c>
      <c r="B131" s="129" t="s">
        <v>1214</v>
      </c>
      <c r="C131" s="26" t="s">
        <v>1215</v>
      </c>
      <c r="D131" s="114">
        <v>14</v>
      </c>
      <c r="F131" s="262">
        <f t="shared" si="49"/>
        <v>5.2709999999999999</v>
      </c>
      <c r="G131" s="262">
        <f t="shared" si="50"/>
        <v>5.2709999999999999</v>
      </c>
      <c r="H131" s="47">
        <f t="shared" si="51"/>
        <v>6.3280000000000003</v>
      </c>
      <c r="I131" s="47">
        <f t="shared" si="52"/>
        <v>5.306</v>
      </c>
      <c r="J131" s="47">
        <f t="shared" si="53"/>
        <v>6.9859999999999998</v>
      </c>
      <c r="K131" s="47">
        <f t="shared" si="54"/>
        <v>6.02</v>
      </c>
      <c r="L131" s="47">
        <f t="shared" si="55"/>
        <v>6.7619999999999996</v>
      </c>
      <c r="M131" s="163"/>
      <c r="N131" s="163"/>
      <c r="O131" s="163"/>
      <c r="P131" s="163"/>
      <c r="Q131" s="163"/>
      <c r="R131" s="163"/>
      <c r="S131" s="163"/>
      <c r="T131" s="163"/>
      <c r="U131" s="163"/>
      <c r="V131" s="163"/>
      <c r="W131" s="163"/>
    </row>
    <row r="132" spans="1:23">
      <c r="A132" s="129" t="s">
        <v>1216</v>
      </c>
      <c r="B132" s="129" t="s">
        <v>1217</v>
      </c>
      <c r="C132" s="26" t="s">
        <v>1218</v>
      </c>
      <c r="D132" s="114">
        <v>12</v>
      </c>
      <c r="F132" s="262">
        <f t="shared" si="49"/>
        <v>4.5179999999999998</v>
      </c>
      <c r="G132" s="262">
        <f t="shared" si="50"/>
        <v>4.5179999999999998</v>
      </c>
      <c r="H132" s="47">
        <f t="shared" si="51"/>
        <v>5.4240000000000004</v>
      </c>
      <c r="I132" s="47">
        <f t="shared" si="52"/>
        <v>4.548</v>
      </c>
      <c r="J132" s="47">
        <f t="shared" si="53"/>
        <v>5.9879999999999995</v>
      </c>
      <c r="K132" s="47">
        <f t="shared" si="54"/>
        <v>5.16</v>
      </c>
      <c r="L132" s="47">
        <f t="shared" si="55"/>
        <v>5.7959999999999994</v>
      </c>
      <c r="M132" s="163"/>
      <c r="N132" s="163"/>
      <c r="O132" s="163"/>
      <c r="P132" s="163"/>
      <c r="Q132" s="163"/>
      <c r="R132" s="163"/>
      <c r="S132" s="163"/>
      <c r="T132" s="163"/>
      <c r="U132" s="163"/>
      <c r="V132" s="163"/>
      <c r="W132" s="163"/>
    </row>
    <row r="133" spans="1:23">
      <c r="A133" s="129"/>
      <c r="B133" s="129"/>
      <c r="C133" s="135"/>
      <c r="D133" s="47"/>
      <c r="F133" s="262"/>
      <c r="G133" s="262"/>
      <c r="H133" s="47"/>
      <c r="I133" s="47"/>
      <c r="J133" s="47"/>
      <c r="K133" s="47"/>
      <c r="L133" s="47"/>
      <c r="M133" s="163"/>
      <c r="N133" s="163"/>
      <c r="O133" s="163"/>
      <c r="P133" s="163"/>
      <c r="Q133" s="163"/>
      <c r="R133" s="163"/>
      <c r="S133" s="163"/>
      <c r="T133" s="163"/>
      <c r="U133" s="163"/>
      <c r="V133" s="163"/>
      <c r="W133" s="163"/>
    </row>
    <row r="134" spans="1:23">
      <c r="A134" s="15" t="s">
        <v>1219</v>
      </c>
      <c r="B134" s="41"/>
      <c r="C134" s="41"/>
      <c r="D134" s="125"/>
      <c r="F134" s="261"/>
      <c r="G134" s="261"/>
      <c r="H134" s="261"/>
      <c r="I134" s="261"/>
      <c r="J134" s="261"/>
      <c r="K134" s="261"/>
      <c r="L134" s="261"/>
      <c r="M134" s="163"/>
      <c r="N134" s="163"/>
      <c r="O134" s="163"/>
      <c r="P134" s="163"/>
      <c r="Q134" s="163"/>
      <c r="R134" s="163"/>
      <c r="S134" s="163"/>
      <c r="T134" s="163"/>
      <c r="U134" s="163"/>
      <c r="V134" s="163"/>
      <c r="W134" s="163"/>
    </row>
    <row r="135" spans="1:23">
      <c r="A135" s="132" t="s">
        <v>1220</v>
      </c>
      <c r="B135" s="230" t="s">
        <v>1221</v>
      </c>
      <c r="C135" s="107" t="s">
        <v>1222</v>
      </c>
      <c r="D135" s="114">
        <v>11</v>
      </c>
      <c r="F135" s="262">
        <f t="shared" si="49"/>
        <v>4.1414999999999997</v>
      </c>
      <c r="G135" s="262">
        <f t="shared" si="50"/>
        <v>4.1414999999999997</v>
      </c>
      <c r="H135" s="47">
        <f t="shared" si="51"/>
        <v>4.9720000000000004</v>
      </c>
      <c r="I135" s="47">
        <f t="shared" si="52"/>
        <v>4.1690000000000005</v>
      </c>
      <c r="J135" s="47">
        <f t="shared" si="53"/>
        <v>5.4889999999999999</v>
      </c>
      <c r="K135" s="47">
        <f t="shared" si="54"/>
        <v>4.7299999999999995</v>
      </c>
      <c r="L135" s="47">
        <f t="shared" si="55"/>
        <v>5.3129999999999997</v>
      </c>
      <c r="M135" s="163"/>
      <c r="N135" s="163"/>
      <c r="O135" s="163"/>
      <c r="P135" s="163"/>
      <c r="Q135" s="163"/>
      <c r="R135" s="163"/>
      <c r="S135" s="163"/>
      <c r="T135" s="163"/>
      <c r="U135" s="163"/>
      <c r="V135" s="163"/>
      <c r="W135" s="163"/>
    </row>
    <row r="136" spans="1:23">
      <c r="A136" s="132" t="s">
        <v>1223</v>
      </c>
      <c r="B136" s="230" t="s">
        <v>1224</v>
      </c>
      <c r="C136" s="107" t="s">
        <v>1225</v>
      </c>
      <c r="D136" s="114">
        <v>9</v>
      </c>
      <c r="F136" s="262">
        <f t="shared" si="49"/>
        <v>3.3885000000000001</v>
      </c>
      <c r="G136" s="262">
        <f t="shared" si="50"/>
        <v>3.3885000000000001</v>
      </c>
      <c r="H136" s="47">
        <f t="shared" si="51"/>
        <v>4.0680000000000005</v>
      </c>
      <c r="I136" s="47">
        <f t="shared" si="52"/>
        <v>3.411</v>
      </c>
      <c r="J136" s="47">
        <f t="shared" si="53"/>
        <v>4.4909999999999997</v>
      </c>
      <c r="K136" s="47">
        <f t="shared" si="54"/>
        <v>3.87</v>
      </c>
      <c r="L136" s="47">
        <f t="shared" si="55"/>
        <v>4.3469999999999995</v>
      </c>
      <c r="M136" s="163"/>
      <c r="N136" s="163"/>
      <c r="O136" s="163"/>
      <c r="P136" s="163"/>
      <c r="Q136" s="163"/>
      <c r="R136" s="163"/>
      <c r="S136" s="163"/>
      <c r="T136" s="163"/>
      <c r="U136" s="163"/>
      <c r="V136" s="163"/>
      <c r="W136" s="163"/>
    </row>
    <row r="137" spans="1:23">
      <c r="A137" s="69"/>
      <c r="B137" s="48"/>
      <c r="C137" s="40"/>
      <c r="D137" s="47"/>
      <c r="F137" s="262"/>
      <c r="G137" s="262"/>
      <c r="H137" s="47"/>
      <c r="I137" s="47"/>
      <c r="J137" s="47"/>
      <c r="K137" s="47"/>
      <c r="L137" s="47"/>
      <c r="M137" s="163"/>
      <c r="N137" s="163"/>
      <c r="O137" s="163"/>
      <c r="P137" s="163"/>
      <c r="Q137" s="163"/>
      <c r="R137" s="163"/>
      <c r="S137" s="163"/>
      <c r="T137" s="163"/>
      <c r="U137" s="163"/>
      <c r="V137" s="163"/>
      <c r="W137" s="163"/>
    </row>
    <row r="138" spans="1:23">
      <c r="A138" s="15" t="s">
        <v>1226</v>
      </c>
      <c r="B138" s="41"/>
      <c r="C138" s="41"/>
      <c r="D138" s="125"/>
      <c r="F138" s="261"/>
      <c r="G138" s="261"/>
      <c r="H138" s="261"/>
      <c r="I138" s="261"/>
      <c r="J138" s="261"/>
      <c r="K138" s="261"/>
      <c r="L138" s="261"/>
      <c r="M138" s="163"/>
      <c r="N138" s="163"/>
      <c r="O138" s="163"/>
      <c r="P138" s="163"/>
      <c r="Q138" s="163"/>
      <c r="R138" s="163"/>
      <c r="S138" s="163"/>
      <c r="T138" s="163"/>
      <c r="U138" s="163"/>
      <c r="V138" s="163"/>
      <c r="W138" s="163"/>
    </row>
    <row r="139" spans="1:23">
      <c r="A139" s="69" t="s">
        <v>1227</v>
      </c>
      <c r="B139" s="48" t="s">
        <v>1228</v>
      </c>
      <c r="C139" s="107" t="s">
        <v>1229</v>
      </c>
      <c r="D139" s="114">
        <v>16</v>
      </c>
      <c r="F139" s="262">
        <f t="shared" si="49"/>
        <v>6.024</v>
      </c>
      <c r="G139" s="262">
        <f t="shared" si="50"/>
        <v>6.024</v>
      </c>
      <c r="H139" s="47">
        <f t="shared" si="51"/>
        <v>7.2320000000000002</v>
      </c>
      <c r="I139" s="47">
        <f t="shared" si="52"/>
        <v>6.0640000000000001</v>
      </c>
      <c r="J139" s="47">
        <f t="shared" si="53"/>
        <v>7.984</v>
      </c>
      <c r="K139" s="47">
        <f t="shared" si="54"/>
        <v>6.88</v>
      </c>
      <c r="L139" s="47">
        <f t="shared" si="55"/>
        <v>7.7279999999999998</v>
      </c>
      <c r="M139" s="163"/>
      <c r="N139" s="163"/>
      <c r="O139" s="163"/>
      <c r="P139" s="163"/>
      <c r="Q139" s="163"/>
      <c r="R139" s="163"/>
      <c r="S139" s="163"/>
      <c r="T139" s="163"/>
      <c r="U139" s="163"/>
      <c r="V139" s="163"/>
      <c r="W139" s="163"/>
    </row>
    <row r="140" spans="1:23" s="160" customFormat="1" ht="14.4">
      <c r="A140" s="69" t="s">
        <v>1230</v>
      </c>
      <c r="B140" s="48" t="s">
        <v>1231</v>
      </c>
      <c r="C140" s="276" t="s">
        <v>1232</v>
      </c>
      <c r="D140" s="143">
        <v>25</v>
      </c>
      <c r="F140" s="262">
        <f t="shared" si="49"/>
        <v>9.4124999999999996</v>
      </c>
      <c r="G140" s="262">
        <f t="shared" si="50"/>
        <v>9.4124999999999996</v>
      </c>
      <c r="H140" s="217">
        <f t="shared" si="51"/>
        <v>11.3</v>
      </c>
      <c r="I140" s="217">
        <f t="shared" si="52"/>
        <v>9.4749999999999996</v>
      </c>
      <c r="J140" s="217">
        <f t="shared" si="53"/>
        <v>12.475</v>
      </c>
      <c r="K140" s="217">
        <f t="shared" si="54"/>
        <v>10.75</v>
      </c>
      <c r="L140" s="217">
        <f t="shared" si="55"/>
        <v>12.074999999999999</v>
      </c>
      <c r="M140" s="286"/>
      <c r="N140" s="163"/>
      <c r="O140" s="166"/>
      <c r="P140" s="166"/>
      <c r="Q140" s="166"/>
      <c r="R140" s="166"/>
      <c r="S140" s="166"/>
      <c r="T140" s="166"/>
      <c r="U140" s="166"/>
      <c r="V140" s="166"/>
      <c r="W140" s="166"/>
    </row>
    <row r="141" spans="1:23">
      <c r="A141" s="69" t="s">
        <v>1233</v>
      </c>
      <c r="B141" s="48" t="s">
        <v>1234</v>
      </c>
      <c r="C141" s="40" t="s">
        <v>1235</v>
      </c>
      <c r="D141" s="114">
        <v>12</v>
      </c>
      <c r="F141" s="262">
        <f t="shared" si="49"/>
        <v>4.5179999999999998</v>
      </c>
      <c r="G141" s="262">
        <f t="shared" si="50"/>
        <v>4.5179999999999998</v>
      </c>
      <c r="H141" s="47">
        <f t="shared" si="51"/>
        <v>5.4240000000000004</v>
      </c>
      <c r="I141" s="47">
        <f t="shared" si="52"/>
        <v>4.548</v>
      </c>
      <c r="J141" s="47">
        <f t="shared" si="53"/>
        <v>5.9879999999999995</v>
      </c>
      <c r="K141" s="47">
        <f t="shared" si="54"/>
        <v>5.16</v>
      </c>
      <c r="L141" s="47">
        <f t="shared" si="55"/>
        <v>5.7959999999999994</v>
      </c>
      <c r="M141" s="163"/>
      <c r="N141" s="163"/>
      <c r="O141" s="163"/>
      <c r="P141" s="163"/>
      <c r="Q141" s="163"/>
      <c r="R141" s="163"/>
      <c r="S141" s="163"/>
      <c r="T141" s="163"/>
      <c r="U141" s="163"/>
      <c r="V141" s="163"/>
      <c r="W141" s="163"/>
    </row>
    <row r="142" spans="1:23" s="160" customFormat="1">
      <c r="A142" s="69" t="s">
        <v>1236</v>
      </c>
      <c r="B142" s="48" t="s">
        <v>1237</v>
      </c>
      <c r="C142" s="40" t="s">
        <v>1238</v>
      </c>
      <c r="D142" s="143">
        <v>27</v>
      </c>
      <c r="F142" s="262">
        <f t="shared" si="49"/>
        <v>10.1655</v>
      </c>
      <c r="G142" s="262">
        <f t="shared" si="50"/>
        <v>10.1655</v>
      </c>
      <c r="H142" s="217">
        <f t="shared" si="51"/>
        <v>12.204000000000001</v>
      </c>
      <c r="I142" s="217">
        <f t="shared" si="52"/>
        <v>10.233000000000001</v>
      </c>
      <c r="J142" s="217">
        <f t="shared" si="53"/>
        <v>13.473000000000001</v>
      </c>
      <c r="K142" s="217">
        <f t="shared" si="54"/>
        <v>11.61</v>
      </c>
      <c r="L142" s="217">
        <f t="shared" si="55"/>
        <v>13.041</v>
      </c>
      <c r="M142" s="163"/>
      <c r="N142" s="163"/>
      <c r="O142" s="166"/>
      <c r="P142" s="166"/>
      <c r="Q142" s="166"/>
      <c r="R142" s="166"/>
      <c r="S142" s="166"/>
      <c r="T142" s="166"/>
      <c r="U142" s="166"/>
      <c r="V142" s="166"/>
      <c r="W142" s="166"/>
    </row>
    <row r="143" spans="1:23">
      <c r="A143" s="69" t="s">
        <v>1239</v>
      </c>
      <c r="B143" s="48" t="s">
        <v>1231</v>
      </c>
      <c r="C143" s="107" t="s">
        <v>1240</v>
      </c>
      <c r="D143" s="114">
        <v>12</v>
      </c>
      <c r="F143" s="262">
        <f t="shared" si="49"/>
        <v>4.5179999999999998</v>
      </c>
      <c r="G143" s="262">
        <f t="shared" si="50"/>
        <v>4.5179999999999998</v>
      </c>
      <c r="H143" s="47">
        <f t="shared" si="51"/>
        <v>5.4240000000000004</v>
      </c>
      <c r="I143" s="47">
        <f t="shared" si="52"/>
        <v>4.548</v>
      </c>
      <c r="J143" s="47">
        <f t="shared" si="53"/>
        <v>5.9879999999999995</v>
      </c>
      <c r="K143" s="47">
        <f t="shared" si="54"/>
        <v>5.16</v>
      </c>
      <c r="L143" s="47">
        <f t="shared" si="55"/>
        <v>5.7959999999999994</v>
      </c>
      <c r="M143" s="163"/>
      <c r="N143" s="163"/>
      <c r="O143" s="163"/>
      <c r="P143" s="163"/>
      <c r="Q143" s="163"/>
      <c r="R143" s="163"/>
      <c r="S143" s="163"/>
      <c r="T143" s="163"/>
      <c r="U143" s="163"/>
      <c r="V143" s="163"/>
      <c r="W143" s="163"/>
    </row>
    <row r="144" spans="1:23">
      <c r="A144" s="69" t="s">
        <v>1241</v>
      </c>
      <c r="B144" s="48" t="s">
        <v>1242</v>
      </c>
      <c r="C144" s="40" t="s">
        <v>1243</v>
      </c>
      <c r="D144" s="143">
        <v>40</v>
      </c>
      <c r="F144" s="262">
        <f t="shared" ref="F144" si="56">D144*$F$9</f>
        <v>15.06</v>
      </c>
      <c r="G144" s="262">
        <f t="shared" ref="G144" si="57">D144*$G$9</f>
        <v>15.06</v>
      </c>
      <c r="H144" s="47">
        <f t="shared" ref="H144" si="58">D144*$H$9</f>
        <v>18.080000000000002</v>
      </c>
      <c r="I144" s="47">
        <f t="shared" ref="I144" si="59">D144*$I$9</f>
        <v>15.16</v>
      </c>
      <c r="J144" s="47">
        <f t="shared" ref="J144" si="60">D144*$J$9</f>
        <v>19.96</v>
      </c>
      <c r="K144" s="47">
        <f t="shared" ref="K144" si="61">D144*$K$9</f>
        <v>17.2</v>
      </c>
      <c r="L144" s="47">
        <f t="shared" ref="L144" si="62">D144*$L$9</f>
        <v>19.32</v>
      </c>
      <c r="M144" s="163"/>
      <c r="N144" s="163"/>
      <c r="O144" s="163"/>
      <c r="P144" s="163"/>
      <c r="Q144" s="163"/>
      <c r="R144" s="163"/>
      <c r="S144" s="163"/>
      <c r="T144" s="163"/>
      <c r="U144" s="163"/>
      <c r="V144" s="163"/>
      <c r="W144" s="163"/>
    </row>
    <row r="145" spans="1:23">
      <c r="A145" s="69"/>
      <c r="B145" s="48"/>
      <c r="C145" s="40"/>
      <c r="D145" s="47"/>
      <c r="F145" s="262"/>
      <c r="G145" s="262"/>
      <c r="H145" s="47"/>
      <c r="I145" s="47"/>
      <c r="J145" s="47"/>
      <c r="K145" s="47"/>
      <c r="L145" s="47"/>
      <c r="M145" s="163"/>
      <c r="N145" s="163"/>
      <c r="O145" s="163"/>
      <c r="P145" s="163"/>
      <c r="Q145" s="163"/>
      <c r="R145" s="163"/>
      <c r="S145" s="163"/>
      <c r="T145" s="163"/>
      <c r="U145" s="163"/>
      <c r="V145" s="163"/>
      <c r="W145" s="163"/>
    </row>
    <row r="146" spans="1:23">
      <c r="A146" s="15" t="s">
        <v>1244</v>
      </c>
      <c r="B146" s="41"/>
      <c r="C146" s="41"/>
      <c r="D146" s="125"/>
      <c r="E146" s="163"/>
      <c r="F146" s="261"/>
      <c r="G146" s="261"/>
      <c r="H146" s="261"/>
      <c r="I146" s="261"/>
      <c r="J146" s="261"/>
      <c r="K146" s="261"/>
      <c r="L146" s="261"/>
      <c r="M146" s="163"/>
      <c r="N146" s="163"/>
    </row>
    <row r="147" spans="1:23">
      <c r="A147" s="132" t="s">
        <v>1245</v>
      </c>
      <c r="B147" s="230" t="s">
        <v>1246</v>
      </c>
      <c r="C147" s="107" t="s">
        <v>1247</v>
      </c>
      <c r="D147" s="114">
        <v>8</v>
      </c>
      <c r="E147" s="163"/>
      <c r="F147" s="262">
        <f t="shared" si="49"/>
        <v>3.012</v>
      </c>
      <c r="G147" s="262">
        <f t="shared" si="50"/>
        <v>3.012</v>
      </c>
      <c r="H147" s="47">
        <f t="shared" si="51"/>
        <v>3.6160000000000001</v>
      </c>
      <c r="I147" s="47">
        <f t="shared" si="52"/>
        <v>3.032</v>
      </c>
      <c r="J147" s="47">
        <f t="shared" si="53"/>
        <v>3.992</v>
      </c>
      <c r="K147" s="47">
        <f t="shared" si="54"/>
        <v>3.44</v>
      </c>
      <c r="L147" s="47">
        <f t="shared" si="55"/>
        <v>3.8639999999999999</v>
      </c>
      <c r="M147" s="163"/>
      <c r="N147" s="163"/>
    </row>
    <row r="148" spans="1:23">
      <c r="A148" s="132" t="s">
        <v>1248</v>
      </c>
      <c r="B148" s="230" t="s">
        <v>1249</v>
      </c>
      <c r="C148" s="107" t="s">
        <v>1250</v>
      </c>
      <c r="D148" s="114">
        <v>171</v>
      </c>
      <c r="E148" s="163"/>
      <c r="F148" s="262">
        <f t="shared" si="49"/>
        <v>64.381500000000003</v>
      </c>
      <c r="G148" s="262">
        <f t="shared" si="50"/>
        <v>64.381500000000003</v>
      </c>
      <c r="H148" s="47">
        <f t="shared" si="51"/>
        <v>77.292000000000002</v>
      </c>
      <c r="I148" s="47">
        <f t="shared" si="52"/>
        <v>64.808999999999997</v>
      </c>
      <c r="J148" s="47">
        <f t="shared" si="53"/>
        <v>85.328999999999994</v>
      </c>
      <c r="K148" s="47">
        <f t="shared" si="54"/>
        <v>73.53</v>
      </c>
      <c r="L148" s="47">
        <f t="shared" si="55"/>
        <v>82.593000000000004</v>
      </c>
      <c r="M148" s="163"/>
      <c r="N148" s="163"/>
    </row>
    <row r="149" spans="1:23" ht="14.4">
      <c r="A149" s="132" t="s">
        <v>1555</v>
      </c>
      <c r="B149" s="230" t="s">
        <v>1252</v>
      </c>
      <c r="C149" s="276" t="s">
        <v>1253</v>
      </c>
      <c r="D149" s="114">
        <v>9</v>
      </c>
      <c r="E149" s="216"/>
      <c r="F149" s="262">
        <f t="shared" si="49"/>
        <v>3.3885000000000001</v>
      </c>
      <c r="G149" s="262">
        <f t="shared" si="50"/>
        <v>3.3885000000000001</v>
      </c>
      <c r="H149" s="264">
        <f t="shared" si="51"/>
        <v>4.0680000000000005</v>
      </c>
      <c r="I149" s="265">
        <f t="shared" si="52"/>
        <v>3.411</v>
      </c>
      <c r="J149" s="265">
        <f t="shared" si="53"/>
        <v>4.4909999999999997</v>
      </c>
      <c r="K149" s="266">
        <f t="shared" si="54"/>
        <v>3.87</v>
      </c>
      <c r="L149" s="193">
        <f t="shared" si="55"/>
        <v>4.3469999999999995</v>
      </c>
      <c r="M149" s="286"/>
      <c r="N149" s="163"/>
    </row>
    <row r="150" spans="1:23">
      <c r="A150" s="132" t="s">
        <v>1254</v>
      </c>
      <c r="B150" s="230" t="s">
        <v>1252</v>
      </c>
      <c r="C150" s="107" t="s">
        <v>1255</v>
      </c>
      <c r="D150" s="114">
        <v>151</v>
      </c>
      <c r="F150" s="262">
        <f t="shared" si="49"/>
        <v>56.851500000000001</v>
      </c>
      <c r="G150" s="262">
        <f t="shared" si="50"/>
        <v>56.851500000000001</v>
      </c>
      <c r="H150" s="264">
        <f t="shared" si="51"/>
        <v>68.251999999999995</v>
      </c>
      <c r="I150" s="264">
        <f t="shared" si="52"/>
        <v>57.228999999999999</v>
      </c>
      <c r="J150" s="265">
        <f t="shared" si="53"/>
        <v>75.349000000000004</v>
      </c>
      <c r="K150" s="265">
        <f t="shared" si="54"/>
        <v>64.929999999999993</v>
      </c>
      <c r="L150" s="266">
        <f t="shared" si="55"/>
        <v>72.932999999999993</v>
      </c>
      <c r="M150" s="163"/>
      <c r="N150" s="163"/>
    </row>
    <row r="151" spans="1:23">
      <c r="A151" s="132" t="s">
        <v>1556</v>
      </c>
      <c r="B151" s="230" t="s">
        <v>1257</v>
      </c>
      <c r="C151" s="107" t="s">
        <v>1258</v>
      </c>
      <c r="D151" s="114">
        <v>35</v>
      </c>
      <c r="F151" s="262">
        <f t="shared" si="49"/>
        <v>13.1775</v>
      </c>
      <c r="G151" s="262">
        <f t="shared" si="50"/>
        <v>13.1775</v>
      </c>
      <c r="H151" s="47">
        <f t="shared" si="51"/>
        <v>15.82</v>
      </c>
      <c r="I151" s="47">
        <f t="shared" si="52"/>
        <v>13.265000000000001</v>
      </c>
      <c r="J151" s="47">
        <f t="shared" si="53"/>
        <v>17.465</v>
      </c>
      <c r="K151" s="47">
        <f t="shared" si="54"/>
        <v>15.049999999999999</v>
      </c>
      <c r="L151" s="47">
        <f t="shared" si="55"/>
        <v>16.905000000000001</v>
      </c>
      <c r="M151" s="163"/>
      <c r="N151" s="163"/>
    </row>
    <row r="152" spans="1:23">
      <c r="A152" s="69" t="s">
        <v>1557</v>
      </c>
      <c r="B152" s="48" t="s">
        <v>1260</v>
      </c>
      <c r="C152" s="107" t="s">
        <v>1261</v>
      </c>
      <c r="D152" s="114">
        <v>12</v>
      </c>
      <c r="F152" s="262">
        <f t="shared" si="49"/>
        <v>4.5179999999999998</v>
      </c>
      <c r="G152" s="262">
        <f t="shared" si="50"/>
        <v>4.5179999999999998</v>
      </c>
      <c r="H152" s="47">
        <f t="shared" si="51"/>
        <v>5.4240000000000004</v>
      </c>
      <c r="I152" s="47">
        <f t="shared" si="52"/>
        <v>4.548</v>
      </c>
      <c r="J152" s="47">
        <f t="shared" si="53"/>
        <v>5.9879999999999995</v>
      </c>
      <c r="K152" s="47">
        <f t="shared" si="54"/>
        <v>5.16</v>
      </c>
      <c r="L152" s="47">
        <f t="shared" si="55"/>
        <v>5.7959999999999994</v>
      </c>
      <c r="M152" s="163"/>
      <c r="N152" s="163"/>
    </row>
    <row r="153" spans="1:23">
      <c r="A153" s="69" t="s">
        <v>1558</v>
      </c>
      <c r="B153" s="48" t="s">
        <v>1263</v>
      </c>
      <c r="C153" s="107" t="s">
        <v>1264</v>
      </c>
      <c r="D153" s="114">
        <v>15</v>
      </c>
      <c r="F153" s="262">
        <f t="shared" si="49"/>
        <v>5.6475</v>
      </c>
      <c r="G153" s="262">
        <f t="shared" si="50"/>
        <v>5.6475</v>
      </c>
      <c r="H153" s="47">
        <f t="shared" si="51"/>
        <v>6.78</v>
      </c>
      <c r="I153" s="47">
        <f t="shared" si="52"/>
        <v>5.6850000000000005</v>
      </c>
      <c r="J153" s="47">
        <f t="shared" si="53"/>
        <v>7.4850000000000003</v>
      </c>
      <c r="K153" s="47">
        <f t="shared" si="54"/>
        <v>6.45</v>
      </c>
      <c r="L153" s="47">
        <f t="shared" si="55"/>
        <v>7.2450000000000001</v>
      </c>
      <c r="M153" s="163"/>
      <c r="N153" s="163"/>
    </row>
    <row r="154" spans="1:23">
      <c r="A154" s="69" t="s">
        <v>1559</v>
      </c>
      <c r="B154" s="48" t="s">
        <v>1266</v>
      </c>
      <c r="C154" s="107" t="s">
        <v>1267</v>
      </c>
      <c r="D154" s="114">
        <v>6</v>
      </c>
      <c r="F154" s="262">
        <f t="shared" si="49"/>
        <v>2.2589999999999999</v>
      </c>
      <c r="G154" s="262">
        <f t="shared" si="50"/>
        <v>2.2589999999999999</v>
      </c>
      <c r="H154" s="47">
        <f t="shared" si="51"/>
        <v>2.7120000000000002</v>
      </c>
      <c r="I154" s="47">
        <f t="shared" si="52"/>
        <v>2.274</v>
      </c>
      <c r="J154" s="47">
        <f t="shared" si="53"/>
        <v>2.9939999999999998</v>
      </c>
      <c r="K154" s="47">
        <f t="shared" si="54"/>
        <v>2.58</v>
      </c>
      <c r="L154" s="47">
        <f t="shared" si="55"/>
        <v>2.8979999999999997</v>
      </c>
      <c r="M154" s="163"/>
      <c r="N154" s="163"/>
    </row>
    <row r="155" spans="1:23">
      <c r="A155" s="69" t="s">
        <v>1560</v>
      </c>
      <c r="B155" s="48" t="s">
        <v>1269</v>
      </c>
      <c r="C155" s="107" t="s">
        <v>1270</v>
      </c>
      <c r="D155" s="114">
        <v>9</v>
      </c>
      <c r="F155" s="262">
        <f t="shared" si="49"/>
        <v>3.3885000000000001</v>
      </c>
      <c r="G155" s="262">
        <f t="shared" si="50"/>
        <v>3.3885000000000001</v>
      </c>
      <c r="H155" s="47">
        <f t="shared" si="51"/>
        <v>4.0680000000000005</v>
      </c>
      <c r="I155" s="47">
        <f t="shared" si="52"/>
        <v>3.411</v>
      </c>
      <c r="J155" s="47">
        <f t="shared" si="53"/>
        <v>4.4909999999999997</v>
      </c>
      <c r="K155" s="47">
        <f t="shared" si="54"/>
        <v>3.87</v>
      </c>
      <c r="L155" s="47">
        <f t="shared" si="55"/>
        <v>4.3469999999999995</v>
      </c>
      <c r="M155" s="163"/>
      <c r="N155" s="163"/>
      <c r="O155" s="163"/>
      <c r="P155" s="163"/>
      <c r="Q155" s="163"/>
      <c r="R155" s="163"/>
      <c r="S155" s="163"/>
      <c r="T155" s="163"/>
      <c r="U155" s="163"/>
      <c r="V155" s="163"/>
      <c r="W155" s="163"/>
    </row>
    <row r="156" spans="1:23">
      <c r="A156" s="69" t="s">
        <v>1561</v>
      </c>
      <c r="B156" s="48" t="s">
        <v>1272</v>
      </c>
      <c r="C156" s="34" t="s">
        <v>1273</v>
      </c>
      <c r="D156" s="114">
        <v>13</v>
      </c>
      <c r="F156" s="262">
        <f t="shared" si="49"/>
        <v>4.8944999999999999</v>
      </c>
      <c r="G156" s="262">
        <f t="shared" si="50"/>
        <v>4.8944999999999999</v>
      </c>
      <c r="H156" s="47">
        <f t="shared" si="51"/>
        <v>5.8760000000000003</v>
      </c>
      <c r="I156" s="47">
        <f t="shared" si="52"/>
        <v>4.9269999999999996</v>
      </c>
      <c r="J156" s="47">
        <f t="shared" si="53"/>
        <v>6.4870000000000001</v>
      </c>
      <c r="K156" s="47">
        <f t="shared" si="54"/>
        <v>5.59</v>
      </c>
      <c r="L156" s="47">
        <f t="shared" si="55"/>
        <v>6.2789999999999999</v>
      </c>
      <c r="M156" s="163"/>
      <c r="N156" s="163"/>
      <c r="O156" s="163"/>
      <c r="P156" s="163"/>
      <c r="Q156" s="163"/>
      <c r="R156" s="163"/>
      <c r="S156" s="163"/>
      <c r="T156" s="163"/>
      <c r="U156" s="163"/>
      <c r="V156" s="163"/>
      <c r="W156" s="163"/>
    </row>
    <row r="157" spans="1:23">
      <c r="A157" s="69" t="s">
        <v>1562</v>
      </c>
      <c r="B157" s="48" t="s">
        <v>1563</v>
      </c>
      <c r="C157" s="107" t="s">
        <v>1276</v>
      </c>
      <c r="D157" s="114">
        <v>30</v>
      </c>
      <c r="F157" s="262">
        <f t="shared" si="49"/>
        <v>11.295</v>
      </c>
      <c r="G157" s="262">
        <f t="shared" si="50"/>
        <v>11.295</v>
      </c>
      <c r="H157" s="47">
        <f t="shared" si="51"/>
        <v>13.56</v>
      </c>
      <c r="I157" s="47">
        <f t="shared" si="52"/>
        <v>11.370000000000001</v>
      </c>
      <c r="J157" s="47">
        <f t="shared" si="53"/>
        <v>14.97</v>
      </c>
      <c r="K157" s="47">
        <f t="shared" si="54"/>
        <v>12.9</v>
      </c>
      <c r="L157" s="47">
        <f t="shared" si="55"/>
        <v>14.49</v>
      </c>
      <c r="M157" s="163"/>
      <c r="N157" s="163"/>
      <c r="O157" s="163"/>
      <c r="P157" s="163"/>
      <c r="Q157" s="163"/>
      <c r="R157" s="163"/>
      <c r="S157" s="163"/>
      <c r="T157" s="163"/>
      <c r="U157" s="163"/>
      <c r="V157" s="163"/>
      <c r="W157" s="163"/>
    </row>
    <row r="158" spans="1:23" ht="14.4">
      <c r="A158" s="132" t="s">
        <v>1564</v>
      </c>
      <c r="B158" s="230" t="s">
        <v>1278</v>
      </c>
      <c r="C158" s="276" t="s">
        <v>1279</v>
      </c>
      <c r="D158" s="114">
        <v>37</v>
      </c>
      <c r="F158" s="262">
        <f t="shared" si="49"/>
        <v>13.9305</v>
      </c>
      <c r="G158" s="262">
        <f t="shared" si="50"/>
        <v>13.9305</v>
      </c>
      <c r="H158" s="47">
        <f t="shared" si="51"/>
        <v>16.724</v>
      </c>
      <c r="I158" s="47">
        <f t="shared" si="52"/>
        <v>14.023</v>
      </c>
      <c r="J158" s="47">
        <f t="shared" si="53"/>
        <v>18.463000000000001</v>
      </c>
      <c r="K158" s="47">
        <f t="shared" si="54"/>
        <v>15.91</v>
      </c>
      <c r="L158" s="47">
        <f t="shared" si="55"/>
        <v>17.870999999999999</v>
      </c>
      <c r="M158" s="286"/>
      <c r="N158" s="163"/>
      <c r="O158" s="163"/>
      <c r="P158" s="163"/>
      <c r="Q158" s="163"/>
      <c r="R158" s="163"/>
      <c r="S158" s="163"/>
      <c r="T158" s="163"/>
      <c r="U158" s="163"/>
      <c r="V158" s="163"/>
      <c r="W158" s="163"/>
    </row>
    <row r="159" spans="1:23">
      <c r="A159" s="69" t="s">
        <v>1280</v>
      </c>
      <c r="B159" s="48" t="s">
        <v>1281</v>
      </c>
      <c r="C159" s="107" t="s">
        <v>1282</v>
      </c>
      <c r="D159" s="114">
        <v>191</v>
      </c>
      <c r="F159" s="262">
        <f t="shared" si="49"/>
        <v>71.911500000000004</v>
      </c>
      <c r="G159" s="262">
        <f t="shared" si="50"/>
        <v>71.911500000000004</v>
      </c>
      <c r="H159" s="47">
        <f t="shared" si="51"/>
        <v>86.332000000000008</v>
      </c>
      <c r="I159" s="47">
        <f t="shared" si="52"/>
        <v>72.388999999999996</v>
      </c>
      <c r="J159" s="47">
        <f t="shared" si="53"/>
        <v>95.308999999999997</v>
      </c>
      <c r="K159" s="47">
        <f t="shared" si="54"/>
        <v>82.13</v>
      </c>
      <c r="L159" s="47">
        <f t="shared" si="55"/>
        <v>92.253</v>
      </c>
      <c r="M159" s="163"/>
      <c r="N159" s="163"/>
      <c r="O159" s="163"/>
      <c r="P159" s="163"/>
      <c r="Q159" s="163"/>
      <c r="R159" s="163"/>
      <c r="S159" s="163"/>
      <c r="T159" s="163"/>
      <c r="U159" s="163"/>
      <c r="V159" s="163"/>
      <c r="W159" s="163"/>
    </row>
    <row r="160" spans="1:23">
      <c r="A160" s="69" t="s">
        <v>1283</v>
      </c>
      <c r="B160" s="48" t="s">
        <v>1284</v>
      </c>
      <c r="C160" s="107" t="s">
        <v>1285</v>
      </c>
      <c r="D160" s="114">
        <v>141</v>
      </c>
      <c r="F160" s="262">
        <f t="shared" si="49"/>
        <v>53.086500000000001</v>
      </c>
      <c r="G160" s="262">
        <f t="shared" si="50"/>
        <v>53.086500000000001</v>
      </c>
      <c r="H160" s="47">
        <f t="shared" si="51"/>
        <v>63.731999999999999</v>
      </c>
      <c r="I160" s="47">
        <f t="shared" si="52"/>
        <v>53.439</v>
      </c>
      <c r="J160" s="47">
        <f t="shared" si="53"/>
        <v>70.358999999999995</v>
      </c>
      <c r="K160" s="47">
        <f t="shared" si="54"/>
        <v>60.63</v>
      </c>
      <c r="L160" s="47">
        <f t="shared" si="55"/>
        <v>68.102999999999994</v>
      </c>
      <c r="M160" s="163"/>
      <c r="N160" s="163"/>
      <c r="O160" s="163"/>
      <c r="P160" s="163"/>
      <c r="Q160" s="163"/>
      <c r="R160" s="163"/>
      <c r="S160" s="163"/>
      <c r="T160" s="163"/>
      <c r="U160" s="163"/>
      <c r="V160" s="163"/>
      <c r="W160" s="163"/>
    </row>
    <row r="161" spans="1:14" ht="14.4">
      <c r="A161" s="69" t="s">
        <v>1286</v>
      </c>
      <c r="B161" s="69" t="s">
        <v>1287</v>
      </c>
      <c r="C161" s="40" t="s">
        <v>1288</v>
      </c>
      <c r="D161" s="143">
        <v>17</v>
      </c>
      <c r="F161" s="262">
        <f t="shared" ref="F161:F176" si="63">D161*$F$9</f>
        <v>6.4005000000000001</v>
      </c>
      <c r="G161" s="262">
        <f t="shared" ref="G161:G176" si="64">D161*$G$9</f>
        <v>6.4005000000000001</v>
      </c>
      <c r="H161" s="193">
        <f t="shared" ref="H161:H176" si="65">D161*$H$9</f>
        <v>7.6840000000000002</v>
      </c>
      <c r="I161" s="193">
        <f t="shared" ref="I161:I176" si="66">D161*$I$9</f>
        <v>6.4429999999999996</v>
      </c>
      <c r="J161" s="193">
        <f t="shared" ref="J161:J176" si="67">D161*$J$9</f>
        <v>8.4830000000000005</v>
      </c>
      <c r="K161" s="193">
        <f t="shared" ref="K161:K176" si="68">D161*$K$9</f>
        <v>7.31</v>
      </c>
      <c r="L161" s="193">
        <f t="shared" ref="L161:L176" si="69">D161*$L$9</f>
        <v>8.2110000000000003</v>
      </c>
      <c r="M161" s="286"/>
      <c r="N161" s="163"/>
    </row>
    <row r="162" spans="1:14" ht="14.4">
      <c r="A162" s="69" t="s">
        <v>1290</v>
      </c>
      <c r="B162" s="69" t="s">
        <v>1291</v>
      </c>
      <c r="C162" s="40" t="s">
        <v>1292</v>
      </c>
      <c r="D162" s="143">
        <v>24</v>
      </c>
      <c r="F162" s="262">
        <f t="shared" si="63"/>
        <v>9.0359999999999996</v>
      </c>
      <c r="G162" s="262">
        <f t="shared" si="64"/>
        <v>9.0359999999999996</v>
      </c>
      <c r="H162" s="193">
        <f t="shared" si="65"/>
        <v>10.848000000000001</v>
      </c>
      <c r="I162" s="193">
        <f t="shared" si="66"/>
        <v>9.0960000000000001</v>
      </c>
      <c r="J162" s="193">
        <f t="shared" si="67"/>
        <v>11.975999999999999</v>
      </c>
      <c r="K162" s="193">
        <f t="shared" si="68"/>
        <v>10.32</v>
      </c>
      <c r="L162" s="193">
        <f t="shared" si="69"/>
        <v>11.591999999999999</v>
      </c>
      <c r="M162" s="286"/>
      <c r="N162" s="163"/>
    </row>
    <row r="163" spans="1:14" ht="14.4">
      <c r="A163" s="69" t="s">
        <v>1294</v>
      </c>
      <c r="B163" s="69" t="s">
        <v>1295</v>
      </c>
      <c r="C163" s="40" t="s">
        <v>1296</v>
      </c>
      <c r="D163" s="143">
        <v>14</v>
      </c>
      <c r="F163" s="262">
        <f t="shared" si="63"/>
        <v>5.2709999999999999</v>
      </c>
      <c r="G163" s="262">
        <f t="shared" si="64"/>
        <v>5.2709999999999999</v>
      </c>
      <c r="H163" s="193">
        <f t="shared" si="65"/>
        <v>6.3280000000000003</v>
      </c>
      <c r="I163" s="193">
        <f t="shared" si="66"/>
        <v>5.306</v>
      </c>
      <c r="J163" s="193">
        <f t="shared" si="67"/>
        <v>6.9859999999999998</v>
      </c>
      <c r="K163" s="193">
        <f t="shared" si="68"/>
        <v>6.02</v>
      </c>
      <c r="L163" s="193">
        <f t="shared" si="69"/>
        <v>6.7619999999999996</v>
      </c>
      <c r="M163" s="286"/>
      <c r="N163" s="163"/>
    </row>
    <row r="164" spans="1:14" ht="14.4">
      <c r="A164" s="69" t="s">
        <v>1298</v>
      </c>
      <c r="B164" s="69" t="s">
        <v>1299</v>
      </c>
      <c r="C164" s="40" t="s">
        <v>1300</v>
      </c>
      <c r="D164" s="143">
        <v>32</v>
      </c>
      <c r="F164" s="262">
        <f t="shared" si="63"/>
        <v>12.048</v>
      </c>
      <c r="G164" s="262">
        <f t="shared" si="64"/>
        <v>12.048</v>
      </c>
      <c r="H164" s="193">
        <f t="shared" si="65"/>
        <v>14.464</v>
      </c>
      <c r="I164" s="193">
        <f t="shared" si="66"/>
        <v>12.128</v>
      </c>
      <c r="J164" s="193">
        <f t="shared" si="67"/>
        <v>15.968</v>
      </c>
      <c r="K164" s="193">
        <f t="shared" si="68"/>
        <v>13.76</v>
      </c>
      <c r="L164" s="193">
        <f t="shared" si="69"/>
        <v>15.456</v>
      </c>
      <c r="M164" s="286"/>
      <c r="N164" s="163"/>
    </row>
    <row r="165" spans="1:14" ht="14.4">
      <c r="A165" s="69" t="s">
        <v>1302</v>
      </c>
      <c r="B165" s="69" t="s">
        <v>1303</v>
      </c>
      <c r="C165" s="40" t="s">
        <v>1304</v>
      </c>
      <c r="D165" s="143">
        <v>46</v>
      </c>
      <c r="F165" s="262">
        <f t="shared" si="63"/>
        <v>17.318999999999999</v>
      </c>
      <c r="G165" s="262">
        <f t="shared" si="64"/>
        <v>17.318999999999999</v>
      </c>
      <c r="H165" s="193">
        <f t="shared" si="65"/>
        <v>20.792000000000002</v>
      </c>
      <c r="I165" s="193">
        <f t="shared" si="66"/>
        <v>17.434000000000001</v>
      </c>
      <c r="J165" s="193">
        <f t="shared" si="67"/>
        <v>22.954000000000001</v>
      </c>
      <c r="K165" s="193">
        <f t="shared" si="68"/>
        <v>19.78</v>
      </c>
      <c r="L165" s="193">
        <f t="shared" si="69"/>
        <v>22.218</v>
      </c>
      <c r="M165" s="286"/>
      <c r="N165" s="163"/>
    </row>
    <row r="166" spans="1:14" ht="14.4">
      <c r="A166" s="69" t="s">
        <v>1306</v>
      </c>
      <c r="B166" s="69" t="s">
        <v>1307</v>
      </c>
      <c r="C166" s="40" t="s">
        <v>1308</v>
      </c>
      <c r="D166" s="143">
        <v>37</v>
      </c>
      <c r="F166" s="262">
        <f t="shared" si="63"/>
        <v>13.9305</v>
      </c>
      <c r="G166" s="262">
        <f t="shared" si="64"/>
        <v>13.9305</v>
      </c>
      <c r="H166" s="193">
        <f t="shared" si="65"/>
        <v>16.724</v>
      </c>
      <c r="I166" s="193">
        <f t="shared" si="66"/>
        <v>14.023</v>
      </c>
      <c r="J166" s="193">
        <f t="shared" si="67"/>
        <v>18.463000000000001</v>
      </c>
      <c r="K166" s="193">
        <f t="shared" si="68"/>
        <v>15.91</v>
      </c>
      <c r="L166" s="193">
        <f t="shared" si="69"/>
        <v>17.870999999999999</v>
      </c>
      <c r="M166" s="286"/>
      <c r="N166" s="163"/>
    </row>
    <row r="167" spans="1:14" ht="14.4">
      <c r="A167" s="69" t="s">
        <v>1310</v>
      </c>
      <c r="B167" s="69" t="s">
        <v>1311</v>
      </c>
      <c r="C167" s="40" t="s">
        <v>1312</v>
      </c>
      <c r="D167" s="143">
        <v>12</v>
      </c>
      <c r="F167" s="262">
        <f t="shared" si="63"/>
        <v>4.5179999999999998</v>
      </c>
      <c r="G167" s="262">
        <f t="shared" si="64"/>
        <v>4.5179999999999998</v>
      </c>
      <c r="H167" s="193">
        <f t="shared" si="65"/>
        <v>5.4240000000000004</v>
      </c>
      <c r="I167" s="193">
        <f t="shared" si="66"/>
        <v>4.548</v>
      </c>
      <c r="J167" s="193">
        <f t="shared" si="67"/>
        <v>5.9879999999999995</v>
      </c>
      <c r="K167" s="193">
        <f t="shared" si="68"/>
        <v>5.16</v>
      </c>
      <c r="L167" s="193">
        <f t="shared" si="69"/>
        <v>5.7959999999999994</v>
      </c>
      <c r="M167" s="286"/>
      <c r="N167" s="163"/>
    </row>
    <row r="168" spans="1:14" ht="14.4">
      <c r="A168" s="69" t="s">
        <v>1314</v>
      </c>
      <c r="B168" s="69" t="s">
        <v>1315</v>
      </c>
      <c r="C168" s="40" t="s">
        <v>1316</v>
      </c>
      <c r="D168" s="143">
        <v>12</v>
      </c>
      <c r="F168" s="262">
        <f t="shared" si="63"/>
        <v>4.5179999999999998</v>
      </c>
      <c r="G168" s="262">
        <f t="shared" si="64"/>
        <v>4.5179999999999998</v>
      </c>
      <c r="H168" s="193">
        <f t="shared" si="65"/>
        <v>5.4240000000000004</v>
      </c>
      <c r="I168" s="193">
        <f t="shared" si="66"/>
        <v>4.548</v>
      </c>
      <c r="J168" s="193">
        <f t="shared" si="67"/>
        <v>5.9879999999999995</v>
      </c>
      <c r="K168" s="193">
        <f t="shared" si="68"/>
        <v>5.16</v>
      </c>
      <c r="L168" s="193">
        <f t="shared" si="69"/>
        <v>5.7959999999999994</v>
      </c>
      <c r="M168" s="286"/>
      <c r="N168" s="163"/>
    </row>
    <row r="169" spans="1:14" ht="14.4">
      <c r="A169" s="69" t="s">
        <v>1317</v>
      </c>
      <c r="B169" s="69" t="s">
        <v>1318</v>
      </c>
      <c r="C169" s="40" t="s">
        <v>1319</v>
      </c>
      <c r="D169" s="143">
        <v>10</v>
      </c>
      <c r="F169" s="262">
        <f t="shared" si="63"/>
        <v>3.7650000000000001</v>
      </c>
      <c r="G169" s="262">
        <f t="shared" si="64"/>
        <v>3.7650000000000001</v>
      </c>
      <c r="H169" s="193">
        <f t="shared" si="65"/>
        <v>4.5200000000000005</v>
      </c>
      <c r="I169" s="193">
        <f t="shared" si="66"/>
        <v>3.79</v>
      </c>
      <c r="J169" s="193">
        <f t="shared" si="67"/>
        <v>4.99</v>
      </c>
      <c r="K169" s="193">
        <f t="shared" si="68"/>
        <v>4.3</v>
      </c>
      <c r="L169" s="193">
        <f t="shared" si="69"/>
        <v>4.83</v>
      </c>
      <c r="M169" s="286"/>
      <c r="N169" s="163"/>
    </row>
    <row r="170" spans="1:14" ht="14.4">
      <c r="A170" s="69" t="s">
        <v>1321</v>
      </c>
      <c r="B170" s="69" t="s">
        <v>1322</v>
      </c>
      <c r="C170" s="40" t="s">
        <v>1323</v>
      </c>
      <c r="D170" s="143">
        <v>10</v>
      </c>
      <c r="F170" s="262">
        <f t="shared" si="63"/>
        <v>3.7650000000000001</v>
      </c>
      <c r="G170" s="262">
        <f t="shared" si="64"/>
        <v>3.7650000000000001</v>
      </c>
      <c r="H170" s="193">
        <f t="shared" si="65"/>
        <v>4.5200000000000005</v>
      </c>
      <c r="I170" s="193">
        <f t="shared" si="66"/>
        <v>3.79</v>
      </c>
      <c r="J170" s="193">
        <f t="shared" si="67"/>
        <v>4.99</v>
      </c>
      <c r="K170" s="193">
        <f t="shared" si="68"/>
        <v>4.3</v>
      </c>
      <c r="L170" s="193">
        <f t="shared" si="69"/>
        <v>4.83</v>
      </c>
      <c r="M170" s="286"/>
      <c r="N170" s="163"/>
    </row>
    <row r="171" spans="1:14" ht="14.4">
      <c r="A171" s="69" t="s">
        <v>1324</v>
      </c>
      <c r="B171" s="69" t="s">
        <v>1325</v>
      </c>
      <c r="C171" s="40" t="s">
        <v>1326</v>
      </c>
      <c r="D171" s="143">
        <v>12</v>
      </c>
      <c r="F171" s="262">
        <f t="shared" si="63"/>
        <v>4.5179999999999998</v>
      </c>
      <c r="G171" s="262">
        <f t="shared" si="64"/>
        <v>4.5179999999999998</v>
      </c>
      <c r="H171" s="193">
        <f t="shared" si="65"/>
        <v>5.4240000000000004</v>
      </c>
      <c r="I171" s="193">
        <f t="shared" si="66"/>
        <v>4.548</v>
      </c>
      <c r="J171" s="193">
        <f t="shared" si="67"/>
        <v>5.9879999999999995</v>
      </c>
      <c r="K171" s="193">
        <f t="shared" si="68"/>
        <v>5.16</v>
      </c>
      <c r="L171" s="193">
        <f t="shared" si="69"/>
        <v>5.7959999999999994</v>
      </c>
      <c r="M171" s="286"/>
      <c r="N171" s="163"/>
    </row>
    <row r="172" spans="1:14" ht="14.4">
      <c r="A172" s="69" t="s">
        <v>1327</v>
      </c>
      <c r="B172" s="69" t="s">
        <v>1328</v>
      </c>
      <c r="C172" s="40" t="s">
        <v>1329</v>
      </c>
      <c r="D172" s="143">
        <v>12</v>
      </c>
      <c r="F172" s="262">
        <f t="shared" si="63"/>
        <v>4.5179999999999998</v>
      </c>
      <c r="G172" s="262">
        <f t="shared" si="64"/>
        <v>4.5179999999999998</v>
      </c>
      <c r="H172" s="193">
        <f t="shared" si="65"/>
        <v>5.4240000000000004</v>
      </c>
      <c r="I172" s="193">
        <f t="shared" si="66"/>
        <v>4.548</v>
      </c>
      <c r="J172" s="193">
        <f t="shared" si="67"/>
        <v>5.9879999999999995</v>
      </c>
      <c r="K172" s="193">
        <f t="shared" si="68"/>
        <v>5.16</v>
      </c>
      <c r="L172" s="193">
        <f t="shared" si="69"/>
        <v>5.7959999999999994</v>
      </c>
      <c r="M172" s="286"/>
      <c r="N172" s="163"/>
    </row>
    <row r="173" spans="1:14" ht="14.4">
      <c r="A173" s="69" t="s">
        <v>1330</v>
      </c>
      <c r="B173" s="69" t="s">
        <v>1331</v>
      </c>
      <c r="C173" s="40" t="s">
        <v>1332</v>
      </c>
      <c r="D173" s="143">
        <v>14</v>
      </c>
      <c r="F173" s="262">
        <f t="shared" si="63"/>
        <v>5.2709999999999999</v>
      </c>
      <c r="G173" s="262">
        <f t="shared" si="64"/>
        <v>5.2709999999999999</v>
      </c>
      <c r="H173" s="193">
        <f t="shared" si="65"/>
        <v>6.3280000000000003</v>
      </c>
      <c r="I173" s="193">
        <f t="shared" si="66"/>
        <v>5.306</v>
      </c>
      <c r="J173" s="193">
        <f t="shared" si="67"/>
        <v>6.9859999999999998</v>
      </c>
      <c r="K173" s="193">
        <f t="shared" si="68"/>
        <v>6.02</v>
      </c>
      <c r="L173" s="193">
        <f t="shared" si="69"/>
        <v>6.7619999999999996</v>
      </c>
      <c r="M173" s="286"/>
      <c r="N173" s="163"/>
    </row>
    <row r="174" spans="1:14" ht="14.4">
      <c r="A174" s="69" t="s">
        <v>1333</v>
      </c>
      <c r="B174" s="69" t="s">
        <v>1334</v>
      </c>
      <c r="C174" s="40" t="s">
        <v>1335</v>
      </c>
      <c r="D174" s="143">
        <v>32</v>
      </c>
      <c r="F174" s="262">
        <f t="shared" si="63"/>
        <v>12.048</v>
      </c>
      <c r="G174" s="262">
        <f t="shared" si="64"/>
        <v>12.048</v>
      </c>
      <c r="H174" s="193">
        <f t="shared" si="65"/>
        <v>14.464</v>
      </c>
      <c r="I174" s="193">
        <f t="shared" si="66"/>
        <v>12.128</v>
      </c>
      <c r="J174" s="193">
        <f t="shared" si="67"/>
        <v>15.968</v>
      </c>
      <c r="K174" s="193">
        <f t="shared" si="68"/>
        <v>13.76</v>
      </c>
      <c r="L174" s="193">
        <f t="shared" si="69"/>
        <v>15.456</v>
      </c>
      <c r="M174" s="286"/>
      <c r="N174" s="163"/>
    </row>
    <row r="175" spans="1:14" ht="14.4">
      <c r="A175" s="69" t="s">
        <v>1336</v>
      </c>
      <c r="B175" s="69" t="s">
        <v>1337</v>
      </c>
      <c r="C175" s="40" t="s">
        <v>1338</v>
      </c>
      <c r="D175" s="143">
        <v>26</v>
      </c>
      <c r="F175" s="262">
        <f t="shared" si="63"/>
        <v>9.7889999999999997</v>
      </c>
      <c r="G175" s="262">
        <f t="shared" si="64"/>
        <v>9.7889999999999997</v>
      </c>
      <c r="H175" s="193">
        <f t="shared" si="65"/>
        <v>11.752000000000001</v>
      </c>
      <c r="I175" s="193">
        <f t="shared" si="66"/>
        <v>9.8539999999999992</v>
      </c>
      <c r="J175" s="193">
        <f t="shared" si="67"/>
        <v>12.974</v>
      </c>
      <c r="K175" s="193">
        <f t="shared" si="68"/>
        <v>11.18</v>
      </c>
      <c r="L175" s="193">
        <f t="shared" si="69"/>
        <v>12.558</v>
      </c>
      <c r="M175" s="286"/>
      <c r="N175" s="163"/>
    </row>
    <row r="176" spans="1:14" ht="14.4">
      <c r="A176" s="69" t="s">
        <v>1340</v>
      </c>
      <c r="B176" s="69" t="s">
        <v>1341</v>
      </c>
      <c r="C176" s="40" t="s">
        <v>1342</v>
      </c>
      <c r="D176" s="143">
        <v>24</v>
      </c>
      <c r="F176" s="262">
        <f t="shared" si="63"/>
        <v>9.0359999999999996</v>
      </c>
      <c r="G176" s="262">
        <f t="shared" si="64"/>
        <v>9.0359999999999996</v>
      </c>
      <c r="H176" s="193">
        <f t="shared" si="65"/>
        <v>10.848000000000001</v>
      </c>
      <c r="I176" s="193">
        <f t="shared" si="66"/>
        <v>9.0960000000000001</v>
      </c>
      <c r="J176" s="193">
        <f t="shared" si="67"/>
        <v>11.975999999999999</v>
      </c>
      <c r="K176" s="193">
        <f t="shared" si="68"/>
        <v>10.32</v>
      </c>
      <c r="L176" s="193">
        <f t="shared" si="69"/>
        <v>11.591999999999999</v>
      </c>
      <c r="M176" s="286"/>
      <c r="N176" s="163"/>
    </row>
    <row r="177" spans="1:23">
      <c r="A177" s="69"/>
      <c r="B177" s="48"/>
      <c r="C177" s="107"/>
      <c r="D177" s="47"/>
      <c r="F177" s="262"/>
      <c r="G177" s="262"/>
      <c r="H177" s="47"/>
      <c r="I177" s="47"/>
      <c r="J177" s="47"/>
      <c r="K177" s="47"/>
      <c r="L177" s="47"/>
      <c r="M177" s="163"/>
      <c r="N177" s="163"/>
    </row>
    <row r="178" spans="1:23">
      <c r="A178" s="15" t="s">
        <v>1343</v>
      </c>
      <c r="B178" s="41"/>
      <c r="C178" s="41"/>
      <c r="D178" s="125"/>
      <c r="F178" s="261"/>
      <c r="G178" s="261"/>
      <c r="H178" s="261"/>
      <c r="I178" s="261"/>
      <c r="J178" s="261"/>
      <c r="K178" s="261"/>
      <c r="L178" s="261"/>
      <c r="M178" s="163"/>
      <c r="N178" s="163"/>
    </row>
    <row r="179" spans="1:23">
      <c r="A179" s="69" t="s">
        <v>1344</v>
      </c>
      <c r="B179" s="69" t="s">
        <v>1345</v>
      </c>
      <c r="C179" s="40" t="s">
        <v>1346</v>
      </c>
      <c r="D179" s="114">
        <v>2471</v>
      </c>
      <c r="F179" s="262">
        <f t="shared" si="49"/>
        <v>930.33150000000001</v>
      </c>
      <c r="G179" s="262">
        <f t="shared" si="50"/>
        <v>930.33150000000001</v>
      </c>
      <c r="H179" s="193">
        <f t="shared" si="51"/>
        <v>1116.8920000000001</v>
      </c>
      <c r="I179" s="193">
        <f t="shared" si="52"/>
        <v>936.50900000000001</v>
      </c>
      <c r="J179" s="193">
        <f t="shared" si="53"/>
        <v>1233.029</v>
      </c>
      <c r="K179" s="193">
        <f t="shared" si="54"/>
        <v>1062.53</v>
      </c>
      <c r="L179" s="193">
        <f t="shared" si="55"/>
        <v>1193.4929999999999</v>
      </c>
      <c r="M179" s="163"/>
      <c r="N179" s="163"/>
    </row>
    <row r="180" spans="1:23">
      <c r="A180" s="69"/>
      <c r="B180" s="48"/>
      <c r="C180" s="40"/>
      <c r="D180" s="47"/>
      <c r="F180" s="262"/>
      <c r="G180" s="262"/>
      <c r="H180" s="47"/>
      <c r="I180" s="47"/>
      <c r="J180" s="47"/>
      <c r="K180" s="47"/>
      <c r="L180" s="47"/>
      <c r="M180" s="163"/>
      <c r="N180" s="163"/>
      <c r="O180" s="163"/>
      <c r="P180" s="163"/>
      <c r="Q180" s="163"/>
      <c r="R180" s="163"/>
      <c r="S180" s="163"/>
      <c r="T180" s="163"/>
      <c r="U180" s="163"/>
      <c r="V180" s="163"/>
      <c r="W180" s="163"/>
    </row>
    <row r="181" spans="1:23">
      <c r="A181" s="15" t="s">
        <v>1347</v>
      </c>
      <c r="B181" s="41"/>
      <c r="C181" s="41"/>
      <c r="D181" s="125"/>
      <c r="F181" s="261"/>
      <c r="G181" s="261"/>
      <c r="H181" s="261"/>
      <c r="I181" s="261"/>
      <c r="J181" s="261"/>
      <c r="K181" s="261"/>
      <c r="L181" s="261"/>
      <c r="M181" s="163"/>
      <c r="N181" s="163"/>
      <c r="O181" s="163"/>
      <c r="P181" s="163"/>
      <c r="Q181" s="163"/>
      <c r="R181" s="163"/>
      <c r="S181" s="163"/>
      <c r="T181" s="163"/>
      <c r="U181" s="163"/>
      <c r="V181" s="163"/>
      <c r="W181" s="163"/>
    </row>
    <row r="182" spans="1:23">
      <c r="A182" s="69" t="s">
        <v>1348</v>
      </c>
      <c r="B182" s="48" t="s">
        <v>1349</v>
      </c>
      <c r="C182" s="40" t="s">
        <v>1350</v>
      </c>
      <c r="D182" s="47">
        <v>3</v>
      </c>
      <c r="F182" s="262">
        <f t="shared" si="49"/>
        <v>1.1294999999999999</v>
      </c>
      <c r="G182" s="262">
        <f t="shared" si="50"/>
        <v>1.1294999999999999</v>
      </c>
      <c r="H182" s="47">
        <f t="shared" si="51"/>
        <v>1.3560000000000001</v>
      </c>
      <c r="I182" s="47">
        <f t="shared" si="52"/>
        <v>1.137</v>
      </c>
      <c r="J182" s="47">
        <f t="shared" si="53"/>
        <v>1.4969999999999999</v>
      </c>
      <c r="K182" s="47">
        <f t="shared" si="54"/>
        <v>1.29</v>
      </c>
      <c r="L182" s="47">
        <f t="shared" si="55"/>
        <v>1.4489999999999998</v>
      </c>
      <c r="M182" s="163"/>
      <c r="N182" s="163"/>
      <c r="O182" s="163"/>
      <c r="P182" s="163"/>
      <c r="Q182" s="163"/>
      <c r="R182" s="163"/>
      <c r="S182" s="163"/>
      <c r="T182" s="163"/>
      <c r="U182" s="163"/>
      <c r="V182" s="163"/>
      <c r="W182" s="163"/>
    </row>
    <row r="183" spans="1:23" ht="27.6">
      <c r="A183" s="42" t="s">
        <v>1351</v>
      </c>
      <c r="B183" s="129" t="s">
        <v>1352</v>
      </c>
      <c r="C183" s="40" t="s">
        <v>1353</v>
      </c>
      <c r="D183" s="47">
        <v>5</v>
      </c>
      <c r="F183" s="262">
        <f t="shared" si="49"/>
        <v>1.8825000000000001</v>
      </c>
      <c r="G183" s="262">
        <f t="shared" si="50"/>
        <v>1.8825000000000001</v>
      </c>
      <c r="H183" s="47">
        <f t="shared" si="51"/>
        <v>2.2600000000000002</v>
      </c>
      <c r="I183" s="47">
        <f t="shared" si="52"/>
        <v>1.895</v>
      </c>
      <c r="J183" s="47">
        <f t="shared" si="53"/>
        <v>2.4950000000000001</v>
      </c>
      <c r="K183" s="47">
        <f t="shared" si="54"/>
        <v>2.15</v>
      </c>
      <c r="L183" s="47">
        <f t="shared" si="55"/>
        <v>2.415</v>
      </c>
      <c r="M183" s="163"/>
      <c r="N183" s="163"/>
      <c r="O183" s="163"/>
      <c r="P183" s="163"/>
      <c r="Q183" s="163"/>
      <c r="R183" s="163"/>
      <c r="S183" s="163"/>
      <c r="T183" s="163"/>
      <c r="U183" s="163"/>
      <c r="V183" s="163"/>
      <c r="W183" s="163"/>
    </row>
    <row r="184" spans="1:23">
      <c r="A184" s="42" t="s">
        <v>1354</v>
      </c>
      <c r="B184" s="129" t="s">
        <v>1352</v>
      </c>
      <c r="C184" s="40" t="s">
        <v>1353</v>
      </c>
      <c r="D184" s="47">
        <v>5</v>
      </c>
      <c r="F184" s="262">
        <f t="shared" si="49"/>
        <v>1.8825000000000001</v>
      </c>
      <c r="G184" s="262">
        <f t="shared" si="50"/>
        <v>1.8825000000000001</v>
      </c>
      <c r="H184" s="47">
        <f t="shared" si="51"/>
        <v>2.2600000000000002</v>
      </c>
      <c r="I184" s="47">
        <f t="shared" si="52"/>
        <v>1.895</v>
      </c>
      <c r="J184" s="47">
        <f t="shared" si="53"/>
        <v>2.4950000000000001</v>
      </c>
      <c r="K184" s="47">
        <f t="shared" si="54"/>
        <v>2.15</v>
      </c>
      <c r="L184" s="47">
        <f t="shared" si="55"/>
        <v>2.415</v>
      </c>
      <c r="M184" s="163"/>
      <c r="N184" s="163"/>
      <c r="O184" s="163"/>
      <c r="P184" s="163"/>
      <c r="Q184" s="163"/>
      <c r="R184" s="163"/>
      <c r="S184" s="163"/>
      <c r="T184" s="163"/>
      <c r="U184" s="163"/>
      <c r="V184" s="163"/>
      <c r="W184" s="163"/>
    </row>
    <row r="185" spans="1:23">
      <c r="A185" s="69" t="s">
        <v>1355</v>
      </c>
      <c r="B185" s="48" t="s">
        <v>1356</v>
      </c>
      <c r="C185" s="40" t="s">
        <v>1357</v>
      </c>
      <c r="D185" s="47">
        <v>3</v>
      </c>
      <c r="F185" s="262">
        <f t="shared" si="49"/>
        <v>1.1294999999999999</v>
      </c>
      <c r="G185" s="262">
        <f t="shared" si="50"/>
        <v>1.1294999999999999</v>
      </c>
      <c r="H185" s="47">
        <f t="shared" si="51"/>
        <v>1.3560000000000001</v>
      </c>
      <c r="I185" s="47">
        <f t="shared" si="52"/>
        <v>1.137</v>
      </c>
      <c r="J185" s="47">
        <f t="shared" si="53"/>
        <v>1.4969999999999999</v>
      </c>
      <c r="K185" s="47">
        <f t="shared" si="54"/>
        <v>1.29</v>
      </c>
      <c r="L185" s="47">
        <f t="shared" si="55"/>
        <v>1.4489999999999998</v>
      </c>
      <c r="M185" s="163"/>
      <c r="N185" s="163"/>
      <c r="O185" s="163"/>
      <c r="P185" s="163"/>
      <c r="Q185" s="163"/>
      <c r="R185" s="163"/>
      <c r="S185" s="163"/>
      <c r="T185" s="163"/>
      <c r="U185" s="163"/>
      <c r="V185" s="163"/>
      <c r="W185" s="163"/>
    </row>
    <row r="186" spans="1:23" ht="27.6">
      <c r="A186" s="69" t="s">
        <v>1358</v>
      </c>
      <c r="B186" s="48" t="s">
        <v>1359</v>
      </c>
      <c r="C186" s="40" t="s">
        <v>1360</v>
      </c>
      <c r="D186" s="47">
        <v>6</v>
      </c>
      <c r="F186" s="262">
        <f t="shared" si="49"/>
        <v>2.2589999999999999</v>
      </c>
      <c r="G186" s="262">
        <f t="shared" si="50"/>
        <v>2.2589999999999999</v>
      </c>
      <c r="H186" s="47">
        <f t="shared" si="51"/>
        <v>2.7120000000000002</v>
      </c>
      <c r="I186" s="47">
        <f t="shared" si="52"/>
        <v>2.274</v>
      </c>
      <c r="J186" s="47">
        <f t="shared" si="53"/>
        <v>2.9939999999999998</v>
      </c>
      <c r="K186" s="47">
        <f t="shared" si="54"/>
        <v>2.58</v>
      </c>
      <c r="L186" s="47">
        <f t="shared" si="55"/>
        <v>2.8979999999999997</v>
      </c>
      <c r="M186" s="163"/>
      <c r="N186" s="163"/>
      <c r="O186" s="163"/>
      <c r="P186" s="163"/>
      <c r="Q186" s="163"/>
      <c r="R186" s="163"/>
      <c r="S186" s="163"/>
      <c r="T186" s="163"/>
      <c r="U186" s="163"/>
      <c r="V186" s="163"/>
      <c r="W186" s="163"/>
    </row>
    <row r="187" spans="1:23">
      <c r="A187" s="69" t="s">
        <v>1361</v>
      </c>
      <c r="B187" s="48" t="s">
        <v>1362</v>
      </c>
      <c r="C187" s="40" t="s">
        <v>1363</v>
      </c>
      <c r="D187" s="47">
        <v>6</v>
      </c>
      <c r="F187" s="262">
        <f t="shared" si="49"/>
        <v>2.2589999999999999</v>
      </c>
      <c r="G187" s="262">
        <f t="shared" si="50"/>
        <v>2.2589999999999999</v>
      </c>
      <c r="H187" s="47">
        <f t="shared" si="51"/>
        <v>2.7120000000000002</v>
      </c>
      <c r="I187" s="47">
        <f t="shared" si="52"/>
        <v>2.274</v>
      </c>
      <c r="J187" s="47">
        <f t="shared" si="53"/>
        <v>2.9939999999999998</v>
      </c>
      <c r="K187" s="47">
        <f t="shared" si="54"/>
        <v>2.58</v>
      </c>
      <c r="L187" s="47">
        <f t="shared" si="55"/>
        <v>2.8979999999999997</v>
      </c>
      <c r="M187" s="163"/>
      <c r="N187" s="163"/>
      <c r="O187" s="163"/>
      <c r="P187" s="163"/>
      <c r="Q187" s="163"/>
      <c r="R187" s="163"/>
      <c r="S187" s="163"/>
      <c r="T187" s="163"/>
      <c r="U187" s="163"/>
      <c r="V187" s="163"/>
      <c r="W187" s="163"/>
    </row>
    <row r="188" spans="1:23">
      <c r="A188" s="69" t="s">
        <v>1364</v>
      </c>
      <c r="B188" s="48" t="s">
        <v>1365</v>
      </c>
      <c r="C188" s="40" t="s">
        <v>1366</v>
      </c>
      <c r="D188" s="47">
        <v>2</v>
      </c>
      <c r="F188" s="262">
        <f t="shared" si="49"/>
        <v>0.753</v>
      </c>
      <c r="G188" s="262">
        <f t="shared" si="50"/>
        <v>0.753</v>
      </c>
      <c r="H188" s="47">
        <f t="shared" si="51"/>
        <v>0.90400000000000003</v>
      </c>
      <c r="I188" s="47">
        <f t="shared" si="52"/>
        <v>0.75800000000000001</v>
      </c>
      <c r="J188" s="47">
        <f t="shared" si="53"/>
        <v>0.998</v>
      </c>
      <c r="K188" s="47">
        <f t="shared" si="54"/>
        <v>0.86</v>
      </c>
      <c r="L188" s="47">
        <f t="shared" si="55"/>
        <v>0.96599999999999997</v>
      </c>
      <c r="M188" s="163"/>
      <c r="N188" s="163"/>
      <c r="O188" s="163"/>
      <c r="P188" s="163"/>
      <c r="Q188" s="163"/>
      <c r="R188" s="163"/>
      <c r="S188" s="163"/>
      <c r="T188" s="163"/>
      <c r="U188" s="163"/>
      <c r="V188" s="163"/>
      <c r="W188" s="163"/>
    </row>
    <row r="189" spans="1:23">
      <c r="A189" s="69" t="s">
        <v>1367</v>
      </c>
      <c r="B189" s="48" t="s">
        <v>1368</v>
      </c>
      <c r="C189" s="40" t="s">
        <v>1369</v>
      </c>
      <c r="D189" s="47">
        <v>2</v>
      </c>
      <c r="F189" s="262">
        <f t="shared" si="49"/>
        <v>0.753</v>
      </c>
      <c r="G189" s="262">
        <f t="shared" si="50"/>
        <v>0.753</v>
      </c>
      <c r="H189" s="47">
        <f t="shared" si="51"/>
        <v>0.90400000000000003</v>
      </c>
      <c r="I189" s="47">
        <f t="shared" si="52"/>
        <v>0.75800000000000001</v>
      </c>
      <c r="J189" s="47">
        <f t="shared" si="53"/>
        <v>0.998</v>
      </c>
      <c r="K189" s="47">
        <f t="shared" si="54"/>
        <v>0.86</v>
      </c>
      <c r="L189" s="47">
        <f t="shared" si="55"/>
        <v>0.96599999999999997</v>
      </c>
      <c r="M189" s="163"/>
      <c r="N189" s="163"/>
      <c r="O189" s="163"/>
      <c r="P189" s="163"/>
      <c r="Q189" s="163"/>
      <c r="R189" s="163"/>
      <c r="S189" s="163"/>
      <c r="T189" s="163"/>
      <c r="U189" s="163"/>
      <c r="V189" s="163"/>
      <c r="W189" s="163"/>
    </row>
    <row r="190" spans="1:23">
      <c r="A190" s="69" t="s">
        <v>1370</v>
      </c>
      <c r="B190" s="48" t="s">
        <v>1371</v>
      </c>
      <c r="C190" s="40" t="s">
        <v>1372</v>
      </c>
      <c r="D190" s="47">
        <v>2</v>
      </c>
      <c r="F190" s="262">
        <f t="shared" si="49"/>
        <v>0.753</v>
      </c>
      <c r="G190" s="262">
        <f t="shared" si="50"/>
        <v>0.753</v>
      </c>
      <c r="H190" s="47">
        <f t="shared" si="51"/>
        <v>0.90400000000000003</v>
      </c>
      <c r="I190" s="47">
        <f t="shared" si="52"/>
        <v>0.75800000000000001</v>
      </c>
      <c r="J190" s="47">
        <f t="shared" si="53"/>
        <v>0.998</v>
      </c>
      <c r="K190" s="47">
        <f t="shared" si="54"/>
        <v>0.86</v>
      </c>
      <c r="L190" s="47">
        <f t="shared" si="55"/>
        <v>0.96599999999999997</v>
      </c>
      <c r="M190" s="163"/>
      <c r="N190" s="163"/>
      <c r="O190" s="163"/>
      <c r="P190" s="163"/>
      <c r="Q190" s="163"/>
      <c r="R190" s="163"/>
      <c r="S190" s="163"/>
      <c r="T190" s="163"/>
      <c r="U190" s="163"/>
      <c r="V190" s="163"/>
      <c r="W190" s="163"/>
    </row>
    <row r="191" spans="1:23">
      <c r="A191" s="132" t="s">
        <v>1373</v>
      </c>
      <c r="B191" s="230" t="s">
        <v>1374</v>
      </c>
      <c r="C191" s="107" t="s">
        <v>1375</v>
      </c>
      <c r="D191" s="217">
        <v>5</v>
      </c>
      <c r="F191" s="262">
        <f t="shared" si="49"/>
        <v>1.8825000000000001</v>
      </c>
      <c r="G191" s="262">
        <f t="shared" si="50"/>
        <v>1.8825000000000001</v>
      </c>
      <c r="H191" s="47">
        <f t="shared" si="51"/>
        <v>2.2600000000000002</v>
      </c>
      <c r="I191" s="47">
        <f t="shared" si="52"/>
        <v>1.895</v>
      </c>
      <c r="J191" s="47">
        <f t="shared" si="53"/>
        <v>2.4950000000000001</v>
      </c>
      <c r="K191" s="47">
        <f t="shared" si="54"/>
        <v>2.15</v>
      </c>
      <c r="L191" s="47">
        <f t="shared" si="55"/>
        <v>2.415</v>
      </c>
      <c r="M191" s="163"/>
      <c r="N191" s="163"/>
      <c r="O191" s="163"/>
      <c r="P191" s="163"/>
      <c r="Q191" s="163"/>
      <c r="R191" s="163"/>
      <c r="S191" s="163"/>
      <c r="T191" s="163"/>
      <c r="U191" s="163"/>
      <c r="V191" s="163"/>
      <c r="W191" s="163"/>
    </row>
    <row r="192" spans="1:23">
      <c r="A192" s="132" t="s">
        <v>1376</v>
      </c>
      <c r="B192" s="230" t="s">
        <v>1377</v>
      </c>
      <c r="C192" s="107" t="s">
        <v>1378</v>
      </c>
      <c r="D192" s="217">
        <v>20</v>
      </c>
      <c r="F192" s="262">
        <f t="shared" si="49"/>
        <v>7.53</v>
      </c>
      <c r="G192" s="262">
        <f t="shared" si="50"/>
        <v>7.53</v>
      </c>
      <c r="H192" s="47">
        <f t="shared" si="51"/>
        <v>9.0400000000000009</v>
      </c>
      <c r="I192" s="47">
        <f t="shared" si="52"/>
        <v>7.58</v>
      </c>
      <c r="J192" s="47">
        <f t="shared" si="53"/>
        <v>9.98</v>
      </c>
      <c r="K192" s="47">
        <f t="shared" si="54"/>
        <v>8.6</v>
      </c>
      <c r="L192" s="47">
        <f t="shared" si="55"/>
        <v>9.66</v>
      </c>
      <c r="M192" s="163"/>
      <c r="N192" s="163"/>
      <c r="O192" s="163"/>
      <c r="P192" s="163"/>
      <c r="Q192" s="163"/>
      <c r="R192" s="163"/>
      <c r="S192" s="163"/>
      <c r="T192" s="163"/>
      <c r="U192" s="163"/>
      <c r="V192" s="163"/>
      <c r="W192" s="163"/>
    </row>
    <row r="193" spans="1:23">
      <c r="A193" s="132"/>
      <c r="B193" s="230"/>
      <c r="C193" s="107"/>
      <c r="D193" s="217"/>
      <c r="F193" s="262"/>
      <c r="G193" s="262"/>
      <c r="H193" s="47"/>
      <c r="I193" s="47"/>
      <c r="J193" s="47"/>
      <c r="K193" s="47"/>
      <c r="L193" s="47"/>
      <c r="M193" s="163"/>
      <c r="N193" s="163"/>
      <c r="O193" s="163"/>
      <c r="P193" s="163"/>
      <c r="Q193" s="163"/>
      <c r="R193" s="163"/>
      <c r="S193" s="163"/>
      <c r="T193" s="163"/>
      <c r="U193" s="163"/>
      <c r="V193" s="163"/>
      <c r="W193" s="163"/>
    </row>
    <row r="194" spans="1:23">
      <c r="A194" s="15" t="s">
        <v>1379</v>
      </c>
      <c r="B194" s="41"/>
      <c r="C194" s="41"/>
      <c r="D194" s="125"/>
      <c r="F194" s="261"/>
      <c r="G194" s="261"/>
      <c r="H194" s="261"/>
      <c r="I194" s="261"/>
      <c r="J194" s="261"/>
      <c r="K194" s="261"/>
      <c r="L194" s="261"/>
      <c r="M194" s="163"/>
      <c r="N194" s="163"/>
      <c r="O194" s="163"/>
      <c r="P194" s="163"/>
      <c r="Q194" s="163"/>
      <c r="R194" s="163"/>
      <c r="S194" s="163"/>
      <c r="T194" s="163"/>
      <c r="U194" s="163"/>
      <c r="V194" s="163"/>
      <c r="W194" s="163"/>
    </row>
    <row r="195" spans="1:23">
      <c r="A195" s="129" t="s">
        <v>1380</v>
      </c>
      <c r="B195" s="129" t="s">
        <v>1380</v>
      </c>
      <c r="C195" s="40" t="s">
        <v>1381</v>
      </c>
      <c r="D195" s="47">
        <v>23</v>
      </c>
      <c r="F195" s="262">
        <f t="shared" si="49"/>
        <v>8.6594999999999995</v>
      </c>
      <c r="G195" s="262">
        <f t="shared" si="50"/>
        <v>8.6594999999999995</v>
      </c>
      <c r="H195" s="47">
        <f t="shared" si="51"/>
        <v>10.396000000000001</v>
      </c>
      <c r="I195" s="47">
        <f t="shared" si="52"/>
        <v>8.7170000000000005</v>
      </c>
      <c r="J195" s="47">
        <f t="shared" si="53"/>
        <v>11.477</v>
      </c>
      <c r="K195" s="47">
        <f t="shared" si="54"/>
        <v>9.89</v>
      </c>
      <c r="L195" s="47">
        <f t="shared" si="55"/>
        <v>11.109</v>
      </c>
      <c r="M195" s="163"/>
      <c r="N195" s="163"/>
      <c r="O195" s="163"/>
      <c r="P195" s="163"/>
      <c r="Q195" s="163"/>
      <c r="R195" s="163"/>
      <c r="S195" s="163"/>
      <c r="T195" s="163"/>
      <c r="U195" s="163"/>
      <c r="V195" s="163"/>
      <c r="W195" s="163"/>
    </row>
    <row r="196" spans="1:23">
      <c r="A196" s="129" t="s">
        <v>1382</v>
      </c>
      <c r="B196" s="129" t="s">
        <v>1382</v>
      </c>
      <c r="C196" s="40" t="s">
        <v>1383</v>
      </c>
      <c r="D196" s="47">
        <v>10</v>
      </c>
      <c r="F196" s="262">
        <f t="shared" si="49"/>
        <v>3.7650000000000001</v>
      </c>
      <c r="G196" s="262">
        <f t="shared" si="50"/>
        <v>3.7650000000000001</v>
      </c>
      <c r="H196" s="47">
        <f t="shared" si="51"/>
        <v>4.5200000000000005</v>
      </c>
      <c r="I196" s="47">
        <f t="shared" si="52"/>
        <v>3.79</v>
      </c>
      <c r="J196" s="47">
        <f t="shared" si="53"/>
        <v>4.99</v>
      </c>
      <c r="K196" s="47">
        <f t="shared" si="54"/>
        <v>4.3</v>
      </c>
      <c r="L196" s="47">
        <f t="shared" si="55"/>
        <v>4.83</v>
      </c>
      <c r="M196" s="163"/>
      <c r="N196" s="163"/>
      <c r="O196" s="163"/>
      <c r="P196" s="163"/>
      <c r="Q196" s="163"/>
      <c r="R196" s="163"/>
      <c r="S196" s="163"/>
      <c r="T196" s="163"/>
      <c r="U196" s="163"/>
      <c r="V196" s="163"/>
      <c r="W196" s="163"/>
    </row>
    <row r="197" spans="1:23">
      <c r="A197" s="129" t="s">
        <v>1384</v>
      </c>
      <c r="B197" s="129" t="s">
        <v>1384</v>
      </c>
      <c r="C197" s="40" t="s">
        <v>1385</v>
      </c>
      <c r="D197" s="47">
        <v>2</v>
      </c>
      <c r="F197" s="262">
        <f t="shared" ref="F197:F260" si="70">D197*$F$9</f>
        <v>0.753</v>
      </c>
      <c r="G197" s="262">
        <f t="shared" ref="G197:G260" si="71">D197*$G$9</f>
        <v>0.753</v>
      </c>
      <c r="H197" s="47">
        <f t="shared" ref="H197:H260" si="72">D197*$H$9</f>
        <v>0.90400000000000003</v>
      </c>
      <c r="I197" s="47">
        <f t="shared" ref="I197:I260" si="73">D197*$I$9</f>
        <v>0.75800000000000001</v>
      </c>
      <c r="J197" s="47">
        <f t="shared" ref="J197:J260" si="74">D197*$J$9</f>
        <v>0.998</v>
      </c>
      <c r="K197" s="47">
        <f t="shared" ref="K197:K260" si="75">D197*$K$9</f>
        <v>0.86</v>
      </c>
      <c r="L197" s="47">
        <f t="shared" ref="L197:L260" si="76">D197*$L$9</f>
        <v>0.96599999999999997</v>
      </c>
      <c r="M197" s="163"/>
      <c r="N197" s="163"/>
      <c r="O197" s="163"/>
      <c r="P197" s="163"/>
      <c r="Q197" s="163"/>
      <c r="R197" s="163"/>
      <c r="S197" s="163"/>
      <c r="T197" s="163"/>
      <c r="U197" s="163"/>
      <c r="V197" s="163"/>
      <c r="W197" s="163"/>
    </row>
    <row r="198" spans="1:23">
      <c r="A198" s="129"/>
      <c r="B198" s="129"/>
      <c r="C198" s="40"/>
      <c r="D198" s="47"/>
      <c r="F198" s="262"/>
      <c r="G198" s="262"/>
      <c r="H198" s="47"/>
      <c r="I198" s="47"/>
      <c r="J198" s="47"/>
      <c r="K198" s="47"/>
      <c r="L198" s="47"/>
      <c r="M198" s="163"/>
      <c r="N198" s="163"/>
      <c r="O198" s="163"/>
      <c r="P198" s="163"/>
      <c r="Q198" s="163"/>
      <c r="R198" s="163"/>
      <c r="S198" s="163"/>
      <c r="T198" s="163"/>
      <c r="U198" s="163"/>
      <c r="V198" s="163"/>
      <c r="W198" s="163"/>
    </row>
    <row r="199" spans="1:23" ht="27.6">
      <c r="A199" s="15" t="s">
        <v>1386</v>
      </c>
      <c r="B199" s="41"/>
      <c r="C199" s="41"/>
      <c r="D199" s="125"/>
      <c r="F199" s="261"/>
      <c r="G199" s="261"/>
      <c r="H199" s="261"/>
      <c r="I199" s="261"/>
      <c r="J199" s="261"/>
      <c r="K199" s="261"/>
      <c r="L199" s="261"/>
      <c r="M199" s="163"/>
      <c r="N199" s="163"/>
      <c r="O199" s="163"/>
      <c r="P199" s="163"/>
      <c r="Q199" s="163"/>
      <c r="R199" s="163"/>
      <c r="S199" s="163"/>
      <c r="T199" s="163"/>
      <c r="U199" s="163"/>
      <c r="V199" s="163"/>
      <c r="W199" s="163"/>
    </row>
    <row r="200" spans="1:23">
      <c r="A200" s="129" t="s">
        <v>1387</v>
      </c>
      <c r="B200" s="129" t="s">
        <v>1388</v>
      </c>
      <c r="C200" s="40" t="s">
        <v>1389</v>
      </c>
      <c r="D200" s="47">
        <v>75</v>
      </c>
      <c r="F200" s="262">
        <f t="shared" si="70"/>
        <v>28.237500000000001</v>
      </c>
      <c r="G200" s="262">
        <f t="shared" si="71"/>
        <v>28.237500000000001</v>
      </c>
      <c r="H200" s="47">
        <f t="shared" si="72"/>
        <v>33.9</v>
      </c>
      <c r="I200" s="47">
        <f t="shared" si="73"/>
        <v>28.425000000000001</v>
      </c>
      <c r="J200" s="47">
        <f t="shared" si="74"/>
        <v>37.424999999999997</v>
      </c>
      <c r="K200" s="47">
        <f t="shared" si="75"/>
        <v>32.25</v>
      </c>
      <c r="L200" s="47">
        <f t="shared" si="76"/>
        <v>36.225000000000001</v>
      </c>
      <c r="M200" s="163"/>
      <c r="N200" s="163"/>
      <c r="O200" s="163"/>
      <c r="P200" s="163"/>
      <c r="Q200" s="163"/>
      <c r="R200" s="163"/>
      <c r="S200" s="163"/>
      <c r="T200" s="163"/>
      <c r="U200" s="163"/>
      <c r="V200" s="163"/>
      <c r="W200" s="163"/>
    </row>
    <row r="201" spans="1:23">
      <c r="A201" s="129" t="s">
        <v>1390</v>
      </c>
      <c r="B201" s="129" t="s">
        <v>1391</v>
      </c>
      <c r="C201" s="40" t="s">
        <v>1392</v>
      </c>
      <c r="D201" s="47">
        <v>36</v>
      </c>
      <c r="F201" s="262">
        <f t="shared" si="70"/>
        <v>13.554</v>
      </c>
      <c r="G201" s="262">
        <f t="shared" si="71"/>
        <v>13.554</v>
      </c>
      <c r="H201" s="47">
        <f t="shared" si="72"/>
        <v>16.272000000000002</v>
      </c>
      <c r="I201" s="47">
        <f t="shared" si="73"/>
        <v>13.644</v>
      </c>
      <c r="J201" s="47">
        <f t="shared" si="74"/>
        <v>17.963999999999999</v>
      </c>
      <c r="K201" s="47">
        <f t="shared" si="75"/>
        <v>15.48</v>
      </c>
      <c r="L201" s="47">
        <f t="shared" si="76"/>
        <v>17.387999999999998</v>
      </c>
      <c r="M201" s="163"/>
      <c r="N201" s="163"/>
      <c r="O201" s="163"/>
      <c r="P201" s="163"/>
      <c r="Q201" s="163"/>
      <c r="R201" s="163"/>
      <c r="S201" s="163"/>
      <c r="T201" s="163"/>
      <c r="U201" s="163"/>
      <c r="V201" s="163"/>
      <c r="W201" s="163"/>
    </row>
    <row r="202" spans="1:23">
      <c r="A202" s="129" t="s">
        <v>1393</v>
      </c>
      <c r="B202" s="129" t="s">
        <v>1394</v>
      </c>
      <c r="C202" s="40" t="s">
        <v>1395</v>
      </c>
      <c r="D202" s="47">
        <v>75</v>
      </c>
      <c r="F202" s="262">
        <f t="shared" si="70"/>
        <v>28.237500000000001</v>
      </c>
      <c r="G202" s="262">
        <f t="shared" si="71"/>
        <v>28.237500000000001</v>
      </c>
      <c r="H202" s="47">
        <f t="shared" si="72"/>
        <v>33.9</v>
      </c>
      <c r="I202" s="47">
        <f t="shared" si="73"/>
        <v>28.425000000000001</v>
      </c>
      <c r="J202" s="47">
        <f t="shared" si="74"/>
        <v>37.424999999999997</v>
      </c>
      <c r="K202" s="47">
        <f t="shared" si="75"/>
        <v>32.25</v>
      </c>
      <c r="L202" s="47">
        <f t="shared" si="76"/>
        <v>36.225000000000001</v>
      </c>
      <c r="M202" s="163"/>
      <c r="N202" s="163"/>
      <c r="O202" s="163"/>
      <c r="P202" s="163"/>
      <c r="Q202" s="163"/>
      <c r="R202" s="163"/>
      <c r="S202" s="163"/>
      <c r="T202" s="163"/>
      <c r="U202" s="163"/>
      <c r="V202" s="163"/>
      <c r="W202" s="163"/>
    </row>
    <row r="203" spans="1:23">
      <c r="A203" s="129" t="s">
        <v>1396</v>
      </c>
      <c r="B203" s="129" t="s">
        <v>1397</v>
      </c>
      <c r="C203" s="40" t="s">
        <v>1398</v>
      </c>
      <c r="D203" s="47">
        <v>36</v>
      </c>
      <c r="F203" s="262">
        <f t="shared" si="70"/>
        <v>13.554</v>
      </c>
      <c r="G203" s="262">
        <f t="shared" si="71"/>
        <v>13.554</v>
      </c>
      <c r="H203" s="47">
        <f t="shared" si="72"/>
        <v>16.272000000000002</v>
      </c>
      <c r="I203" s="47">
        <f t="shared" si="73"/>
        <v>13.644</v>
      </c>
      <c r="J203" s="47">
        <f t="shared" si="74"/>
        <v>17.963999999999999</v>
      </c>
      <c r="K203" s="47">
        <f t="shared" si="75"/>
        <v>15.48</v>
      </c>
      <c r="L203" s="47">
        <f t="shared" si="76"/>
        <v>17.387999999999998</v>
      </c>
      <c r="M203" s="163"/>
      <c r="N203" s="163"/>
      <c r="O203" s="163"/>
      <c r="P203" s="163"/>
      <c r="Q203" s="163"/>
      <c r="R203" s="163"/>
      <c r="S203" s="163"/>
      <c r="T203" s="163"/>
      <c r="U203" s="163"/>
      <c r="V203" s="163"/>
      <c r="W203" s="163"/>
    </row>
    <row r="204" spans="1:23">
      <c r="A204" s="129"/>
      <c r="B204" s="129"/>
      <c r="C204" s="40"/>
      <c r="D204" s="47"/>
      <c r="F204" s="262"/>
      <c r="G204" s="262"/>
      <c r="H204" s="47"/>
      <c r="I204" s="47"/>
      <c r="J204" s="47"/>
      <c r="K204" s="47"/>
      <c r="L204" s="47"/>
      <c r="M204" s="163"/>
      <c r="N204" s="163"/>
      <c r="O204" s="163"/>
      <c r="P204" s="163"/>
      <c r="Q204" s="163"/>
      <c r="R204" s="163"/>
      <c r="S204" s="163"/>
      <c r="T204" s="163"/>
      <c r="U204" s="163"/>
      <c r="V204" s="163"/>
      <c r="W204" s="163"/>
    </row>
    <row r="205" spans="1:23" ht="27.6">
      <c r="A205" s="15" t="s">
        <v>1399</v>
      </c>
      <c r="B205" s="41"/>
      <c r="C205" s="41"/>
      <c r="D205" s="125"/>
      <c r="F205" s="261"/>
      <c r="G205" s="261"/>
      <c r="H205" s="261"/>
      <c r="I205" s="261"/>
      <c r="J205" s="261"/>
      <c r="K205" s="261"/>
      <c r="L205" s="261"/>
      <c r="M205" s="163"/>
      <c r="N205" s="163"/>
      <c r="O205" s="163"/>
      <c r="P205" s="163"/>
      <c r="Q205" s="163"/>
      <c r="R205" s="163"/>
      <c r="S205" s="163"/>
      <c r="T205" s="163"/>
      <c r="U205" s="163"/>
      <c r="V205" s="163"/>
      <c r="W205" s="163"/>
    </row>
    <row r="206" spans="1:23">
      <c r="A206" s="96" t="s">
        <v>1400</v>
      </c>
      <c r="B206" s="96" t="s">
        <v>1401</v>
      </c>
      <c r="C206" s="107" t="s">
        <v>1402</v>
      </c>
      <c r="D206" s="217">
        <v>8</v>
      </c>
      <c r="F206" s="262">
        <f t="shared" si="70"/>
        <v>3.012</v>
      </c>
      <c r="G206" s="262">
        <f t="shared" si="71"/>
        <v>3.012</v>
      </c>
      <c r="H206" s="47">
        <f t="shared" si="72"/>
        <v>3.6160000000000001</v>
      </c>
      <c r="I206" s="47">
        <f t="shared" si="73"/>
        <v>3.032</v>
      </c>
      <c r="J206" s="47">
        <f t="shared" si="74"/>
        <v>3.992</v>
      </c>
      <c r="K206" s="47">
        <f t="shared" si="75"/>
        <v>3.44</v>
      </c>
      <c r="L206" s="47">
        <f t="shared" si="76"/>
        <v>3.8639999999999999</v>
      </c>
      <c r="M206" s="163"/>
      <c r="N206" s="163"/>
      <c r="O206" s="163"/>
      <c r="P206" s="163"/>
      <c r="Q206" s="163"/>
      <c r="R206" s="163"/>
      <c r="S206" s="163"/>
      <c r="T206" s="163"/>
      <c r="U206" s="163"/>
      <c r="V206" s="163"/>
      <c r="W206" s="163"/>
    </row>
    <row r="207" spans="1:23">
      <c r="A207" s="96" t="s">
        <v>1403</v>
      </c>
      <c r="B207" s="96" t="s">
        <v>1403</v>
      </c>
      <c r="C207" s="107" t="s">
        <v>1404</v>
      </c>
      <c r="D207" s="217">
        <v>6</v>
      </c>
      <c r="F207" s="262">
        <f t="shared" si="70"/>
        <v>2.2589999999999999</v>
      </c>
      <c r="G207" s="262">
        <f t="shared" si="71"/>
        <v>2.2589999999999999</v>
      </c>
      <c r="H207" s="47">
        <f t="shared" si="72"/>
        <v>2.7120000000000002</v>
      </c>
      <c r="I207" s="47">
        <f t="shared" si="73"/>
        <v>2.274</v>
      </c>
      <c r="J207" s="47">
        <f t="shared" si="74"/>
        <v>2.9939999999999998</v>
      </c>
      <c r="K207" s="47">
        <f t="shared" si="75"/>
        <v>2.58</v>
      </c>
      <c r="L207" s="47">
        <f t="shared" si="76"/>
        <v>2.8979999999999997</v>
      </c>
      <c r="M207" s="163"/>
      <c r="N207" s="163"/>
      <c r="O207" s="163"/>
      <c r="P207" s="163"/>
      <c r="Q207" s="163"/>
      <c r="R207" s="163"/>
      <c r="S207" s="163"/>
      <c r="T207" s="163"/>
      <c r="U207" s="163"/>
      <c r="V207" s="163"/>
      <c r="W207" s="163"/>
    </row>
    <row r="208" spans="1:23">
      <c r="A208" s="96" t="s">
        <v>1405</v>
      </c>
      <c r="B208" s="96" t="s">
        <v>1406</v>
      </c>
      <c r="C208" s="107" t="s">
        <v>1407</v>
      </c>
      <c r="D208" s="217">
        <v>18</v>
      </c>
      <c r="F208" s="262">
        <f t="shared" si="70"/>
        <v>6.7770000000000001</v>
      </c>
      <c r="G208" s="262">
        <f t="shared" si="71"/>
        <v>6.7770000000000001</v>
      </c>
      <c r="H208" s="47">
        <f t="shared" si="72"/>
        <v>8.136000000000001</v>
      </c>
      <c r="I208" s="47">
        <f t="shared" si="73"/>
        <v>6.8220000000000001</v>
      </c>
      <c r="J208" s="47">
        <f t="shared" si="74"/>
        <v>8.9819999999999993</v>
      </c>
      <c r="K208" s="47">
        <f t="shared" si="75"/>
        <v>7.74</v>
      </c>
      <c r="L208" s="47">
        <f t="shared" si="76"/>
        <v>8.6939999999999991</v>
      </c>
      <c r="M208" s="163"/>
      <c r="N208" s="163"/>
      <c r="O208" s="163"/>
      <c r="P208" s="163"/>
      <c r="Q208" s="163"/>
      <c r="R208" s="163"/>
      <c r="S208" s="163"/>
      <c r="T208" s="163"/>
      <c r="U208" s="163"/>
      <c r="V208" s="163"/>
      <c r="W208" s="163"/>
    </row>
    <row r="209" spans="1:23">
      <c r="A209" s="96" t="s">
        <v>1408</v>
      </c>
      <c r="B209" s="96" t="s">
        <v>1409</v>
      </c>
      <c r="C209" s="107" t="s">
        <v>1410</v>
      </c>
      <c r="D209" s="217">
        <v>8</v>
      </c>
      <c r="F209" s="262">
        <f t="shared" si="70"/>
        <v>3.012</v>
      </c>
      <c r="G209" s="262">
        <f t="shared" si="71"/>
        <v>3.012</v>
      </c>
      <c r="H209" s="47">
        <f t="shared" si="72"/>
        <v>3.6160000000000001</v>
      </c>
      <c r="I209" s="47">
        <f t="shared" si="73"/>
        <v>3.032</v>
      </c>
      <c r="J209" s="47">
        <f t="shared" si="74"/>
        <v>3.992</v>
      </c>
      <c r="K209" s="47">
        <f t="shared" si="75"/>
        <v>3.44</v>
      </c>
      <c r="L209" s="47">
        <f t="shared" si="76"/>
        <v>3.8639999999999999</v>
      </c>
      <c r="M209" s="163"/>
      <c r="N209" s="163"/>
      <c r="O209" s="163"/>
      <c r="P209" s="163"/>
      <c r="Q209" s="163"/>
      <c r="R209" s="163"/>
      <c r="S209" s="163"/>
      <c r="T209" s="163"/>
      <c r="U209" s="163"/>
      <c r="V209" s="163"/>
      <c r="W209" s="163"/>
    </row>
    <row r="210" spans="1:23">
      <c r="A210" s="96" t="s">
        <v>1411</v>
      </c>
      <c r="B210" s="96" t="s">
        <v>1412</v>
      </c>
      <c r="C210" s="107" t="s">
        <v>1413</v>
      </c>
      <c r="D210" s="217">
        <v>4</v>
      </c>
      <c r="F210" s="262">
        <f t="shared" si="70"/>
        <v>1.506</v>
      </c>
      <c r="G210" s="262">
        <f t="shared" si="71"/>
        <v>1.506</v>
      </c>
      <c r="H210" s="47">
        <f t="shared" si="72"/>
        <v>1.8080000000000001</v>
      </c>
      <c r="I210" s="47">
        <f t="shared" si="73"/>
        <v>1.516</v>
      </c>
      <c r="J210" s="47">
        <f t="shared" si="74"/>
        <v>1.996</v>
      </c>
      <c r="K210" s="47">
        <f t="shared" si="75"/>
        <v>1.72</v>
      </c>
      <c r="L210" s="47">
        <f t="shared" si="76"/>
        <v>1.9319999999999999</v>
      </c>
      <c r="M210" s="163"/>
      <c r="N210" s="163"/>
      <c r="O210" s="163"/>
      <c r="P210" s="163"/>
      <c r="Q210" s="163"/>
      <c r="R210" s="163"/>
      <c r="S210" s="163"/>
      <c r="T210" s="163"/>
      <c r="U210" s="163"/>
      <c r="V210" s="163"/>
      <c r="W210" s="163"/>
    </row>
    <row r="211" spans="1:23">
      <c r="A211" s="96" t="s">
        <v>1414</v>
      </c>
      <c r="B211" s="96" t="s">
        <v>1415</v>
      </c>
      <c r="C211" s="107" t="s">
        <v>1416</v>
      </c>
      <c r="D211" s="217">
        <v>4</v>
      </c>
      <c r="F211" s="262">
        <f t="shared" si="70"/>
        <v>1.506</v>
      </c>
      <c r="G211" s="262">
        <f t="shared" si="71"/>
        <v>1.506</v>
      </c>
      <c r="H211" s="47">
        <f t="shared" si="72"/>
        <v>1.8080000000000001</v>
      </c>
      <c r="I211" s="47">
        <f t="shared" si="73"/>
        <v>1.516</v>
      </c>
      <c r="J211" s="47">
        <f t="shared" si="74"/>
        <v>1.996</v>
      </c>
      <c r="K211" s="47">
        <f t="shared" si="75"/>
        <v>1.72</v>
      </c>
      <c r="L211" s="47">
        <f t="shared" si="76"/>
        <v>1.9319999999999999</v>
      </c>
      <c r="M211" s="163"/>
      <c r="N211" s="163"/>
      <c r="O211" s="163"/>
      <c r="P211" s="163"/>
      <c r="Q211" s="163"/>
      <c r="R211" s="163"/>
      <c r="S211" s="163"/>
      <c r="T211" s="163"/>
      <c r="U211" s="163"/>
      <c r="V211" s="163"/>
      <c r="W211" s="163"/>
    </row>
    <row r="212" spans="1:23">
      <c r="A212" s="96" t="s">
        <v>1417</v>
      </c>
      <c r="B212" s="96" t="s">
        <v>1418</v>
      </c>
      <c r="C212" s="107" t="s">
        <v>1419</v>
      </c>
      <c r="D212" s="217">
        <v>4</v>
      </c>
      <c r="F212" s="262">
        <f t="shared" si="70"/>
        <v>1.506</v>
      </c>
      <c r="G212" s="262">
        <f t="shared" si="71"/>
        <v>1.506</v>
      </c>
      <c r="H212" s="47">
        <f t="shared" si="72"/>
        <v>1.8080000000000001</v>
      </c>
      <c r="I212" s="47">
        <f t="shared" si="73"/>
        <v>1.516</v>
      </c>
      <c r="J212" s="47">
        <f t="shared" si="74"/>
        <v>1.996</v>
      </c>
      <c r="K212" s="47">
        <f t="shared" si="75"/>
        <v>1.72</v>
      </c>
      <c r="L212" s="47">
        <f t="shared" si="76"/>
        <v>1.9319999999999999</v>
      </c>
      <c r="M212" s="163"/>
      <c r="N212" s="163"/>
      <c r="O212" s="163"/>
      <c r="P212" s="163"/>
      <c r="Q212" s="163"/>
      <c r="R212" s="163"/>
      <c r="S212" s="163"/>
      <c r="T212" s="163"/>
      <c r="U212" s="163"/>
      <c r="V212" s="163"/>
      <c r="W212" s="163"/>
    </row>
    <row r="213" spans="1:23">
      <c r="A213" s="96" t="s">
        <v>1420</v>
      </c>
      <c r="B213" s="96" t="s">
        <v>1421</v>
      </c>
      <c r="C213" s="107" t="s">
        <v>1422</v>
      </c>
      <c r="D213" s="217">
        <v>4</v>
      </c>
      <c r="F213" s="262">
        <f t="shared" si="70"/>
        <v>1.506</v>
      </c>
      <c r="G213" s="262">
        <f t="shared" si="71"/>
        <v>1.506</v>
      </c>
      <c r="H213" s="47">
        <f t="shared" si="72"/>
        <v>1.8080000000000001</v>
      </c>
      <c r="I213" s="47">
        <f t="shared" si="73"/>
        <v>1.516</v>
      </c>
      <c r="J213" s="47">
        <f t="shared" si="74"/>
        <v>1.996</v>
      </c>
      <c r="K213" s="47">
        <f t="shared" si="75"/>
        <v>1.72</v>
      </c>
      <c r="L213" s="47">
        <f t="shared" si="76"/>
        <v>1.9319999999999999</v>
      </c>
      <c r="M213" s="163"/>
      <c r="N213" s="163"/>
      <c r="O213" s="163"/>
      <c r="P213" s="163"/>
      <c r="Q213" s="163"/>
      <c r="R213" s="163"/>
      <c r="S213" s="163"/>
      <c r="T213" s="163"/>
      <c r="U213" s="163"/>
      <c r="V213" s="163"/>
      <c r="W213" s="163"/>
    </row>
    <row r="214" spans="1:23">
      <c r="A214" s="96" t="s">
        <v>1423</v>
      </c>
      <c r="B214" s="96" t="s">
        <v>1424</v>
      </c>
      <c r="C214" s="107" t="s">
        <v>1425</v>
      </c>
      <c r="D214" s="217">
        <v>10</v>
      </c>
      <c r="F214" s="262">
        <f t="shared" si="70"/>
        <v>3.7650000000000001</v>
      </c>
      <c r="G214" s="262">
        <f t="shared" si="71"/>
        <v>3.7650000000000001</v>
      </c>
      <c r="H214" s="47">
        <f t="shared" si="72"/>
        <v>4.5200000000000005</v>
      </c>
      <c r="I214" s="47">
        <f t="shared" si="73"/>
        <v>3.79</v>
      </c>
      <c r="J214" s="47">
        <f t="shared" si="74"/>
        <v>4.99</v>
      </c>
      <c r="K214" s="47">
        <f t="shared" si="75"/>
        <v>4.3</v>
      </c>
      <c r="L214" s="47">
        <f t="shared" si="76"/>
        <v>4.83</v>
      </c>
      <c r="M214" s="163"/>
      <c r="N214" s="163"/>
      <c r="O214" s="163"/>
      <c r="P214" s="163"/>
      <c r="Q214" s="163"/>
      <c r="R214" s="163"/>
      <c r="S214" s="163"/>
      <c r="T214" s="163"/>
      <c r="U214" s="163"/>
      <c r="V214" s="163"/>
      <c r="W214" s="163"/>
    </row>
    <row r="215" spans="1:23">
      <c r="A215" s="96" t="s">
        <v>1426</v>
      </c>
      <c r="B215" s="96" t="s">
        <v>1427</v>
      </c>
      <c r="C215" s="107" t="s">
        <v>1428</v>
      </c>
      <c r="D215" s="217">
        <v>4</v>
      </c>
      <c r="F215" s="262">
        <f t="shared" si="70"/>
        <v>1.506</v>
      </c>
      <c r="G215" s="262">
        <f t="shared" si="71"/>
        <v>1.506</v>
      </c>
      <c r="H215" s="47">
        <f t="shared" si="72"/>
        <v>1.8080000000000001</v>
      </c>
      <c r="I215" s="47">
        <f t="shared" si="73"/>
        <v>1.516</v>
      </c>
      <c r="J215" s="47">
        <f t="shared" si="74"/>
        <v>1.996</v>
      </c>
      <c r="K215" s="47">
        <f t="shared" si="75"/>
        <v>1.72</v>
      </c>
      <c r="L215" s="47">
        <f t="shared" si="76"/>
        <v>1.9319999999999999</v>
      </c>
      <c r="M215" s="163"/>
      <c r="N215" s="163"/>
      <c r="O215" s="163"/>
      <c r="P215" s="163"/>
      <c r="Q215" s="163"/>
      <c r="R215" s="163"/>
      <c r="S215" s="163"/>
      <c r="T215" s="163"/>
      <c r="U215" s="163"/>
      <c r="V215" s="163"/>
      <c r="W215" s="163"/>
    </row>
    <row r="216" spans="1:23">
      <c r="A216" s="96" t="s">
        <v>1429</v>
      </c>
      <c r="B216" s="96" t="s">
        <v>1430</v>
      </c>
      <c r="C216" s="107" t="s">
        <v>1431</v>
      </c>
      <c r="D216" s="217">
        <v>18</v>
      </c>
      <c r="F216" s="262">
        <f t="shared" si="70"/>
        <v>6.7770000000000001</v>
      </c>
      <c r="G216" s="262">
        <f t="shared" si="71"/>
        <v>6.7770000000000001</v>
      </c>
      <c r="H216" s="47">
        <f t="shared" si="72"/>
        <v>8.136000000000001</v>
      </c>
      <c r="I216" s="47">
        <f t="shared" si="73"/>
        <v>6.8220000000000001</v>
      </c>
      <c r="J216" s="47">
        <f t="shared" si="74"/>
        <v>8.9819999999999993</v>
      </c>
      <c r="K216" s="47">
        <f t="shared" si="75"/>
        <v>7.74</v>
      </c>
      <c r="L216" s="47">
        <f t="shared" si="76"/>
        <v>8.6939999999999991</v>
      </c>
      <c r="M216" s="163"/>
      <c r="N216" s="163"/>
      <c r="O216" s="163"/>
      <c r="P216" s="163"/>
      <c r="Q216" s="163"/>
      <c r="R216" s="163"/>
      <c r="S216" s="163"/>
      <c r="T216" s="163"/>
      <c r="U216" s="163"/>
      <c r="V216" s="163"/>
      <c r="W216" s="163"/>
    </row>
    <row r="217" spans="1:23" ht="27.6">
      <c r="A217" s="129" t="s">
        <v>1432</v>
      </c>
      <c r="B217" s="129" t="s">
        <v>1433</v>
      </c>
      <c r="C217" s="40" t="s">
        <v>1434</v>
      </c>
      <c r="D217" s="47">
        <v>3</v>
      </c>
      <c r="F217" s="262">
        <f t="shared" ref="F217" si="77">D217*$F$9</f>
        <v>1.1294999999999999</v>
      </c>
      <c r="G217" s="262">
        <f t="shared" ref="G217" si="78">D217*$G$9</f>
        <v>1.1294999999999999</v>
      </c>
      <c r="H217" s="47">
        <f t="shared" ref="H217" si="79">D217*$H$9</f>
        <v>1.3560000000000001</v>
      </c>
      <c r="I217" s="47">
        <f t="shared" ref="I217" si="80">D217*$I$9</f>
        <v>1.137</v>
      </c>
      <c r="J217" s="47">
        <f t="shared" ref="J217" si="81">D217*$J$9</f>
        <v>1.4969999999999999</v>
      </c>
      <c r="K217" s="47">
        <f t="shared" ref="K217" si="82">D217*$K$9</f>
        <v>1.29</v>
      </c>
      <c r="L217" s="47">
        <f t="shared" ref="L217" si="83">D217*$L$9</f>
        <v>1.4489999999999998</v>
      </c>
      <c r="M217" s="163"/>
      <c r="N217" s="163"/>
      <c r="O217" s="163"/>
      <c r="P217" s="163"/>
      <c r="Q217" s="163"/>
      <c r="R217" s="163"/>
      <c r="S217" s="163"/>
      <c r="T217" s="163"/>
      <c r="U217" s="163"/>
      <c r="V217" s="163"/>
      <c r="W217" s="163"/>
    </row>
    <row r="218" spans="1:23">
      <c r="A218" s="15" t="s">
        <v>1435</v>
      </c>
      <c r="B218" s="41"/>
      <c r="C218" s="41"/>
      <c r="D218" s="125"/>
      <c r="F218" s="261"/>
      <c r="G218" s="261"/>
      <c r="H218" s="261"/>
      <c r="I218" s="261"/>
      <c r="J218" s="261"/>
      <c r="K218" s="261"/>
      <c r="L218" s="261"/>
      <c r="M218" s="163"/>
      <c r="N218" s="163"/>
      <c r="O218" s="163"/>
      <c r="P218" s="163"/>
      <c r="Q218" s="163"/>
      <c r="R218" s="163"/>
      <c r="S218" s="163"/>
      <c r="T218" s="163"/>
      <c r="U218" s="163"/>
      <c r="V218" s="163"/>
      <c r="W218" s="163"/>
    </row>
    <row r="219" spans="1:23" ht="27.6">
      <c r="A219" s="48" t="s">
        <v>1436</v>
      </c>
      <c r="B219" s="48" t="s">
        <v>1437</v>
      </c>
      <c r="C219" s="40" t="s">
        <v>1438</v>
      </c>
      <c r="D219" s="123">
        <v>69</v>
      </c>
      <c r="F219" s="262">
        <f t="shared" si="70"/>
        <v>25.9785</v>
      </c>
      <c r="G219" s="262">
        <f t="shared" si="71"/>
        <v>25.9785</v>
      </c>
      <c r="H219" s="47">
        <f t="shared" si="72"/>
        <v>31.188000000000002</v>
      </c>
      <c r="I219" s="47">
        <f t="shared" si="73"/>
        <v>26.151</v>
      </c>
      <c r="J219" s="47">
        <f t="shared" si="74"/>
        <v>34.430999999999997</v>
      </c>
      <c r="K219" s="47">
        <f t="shared" si="75"/>
        <v>29.669999999999998</v>
      </c>
      <c r="L219" s="47">
        <f t="shared" si="76"/>
        <v>33.326999999999998</v>
      </c>
      <c r="M219" s="163"/>
      <c r="N219" s="163"/>
      <c r="O219" s="163"/>
      <c r="P219" s="163"/>
      <c r="Q219" s="163"/>
      <c r="R219" s="163"/>
      <c r="S219" s="163"/>
      <c r="T219" s="163"/>
      <c r="U219" s="163"/>
      <c r="V219" s="163"/>
      <c r="W219" s="163"/>
    </row>
    <row r="220" spans="1:23" ht="27.6">
      <c r="A220" s="48" t="s">
        <v>1436</v>
      </c>
      <c r="B220" s="48" t="s">
        <v>1439</v>
      </c>
      <c r="C220" s="40" t="s">
        <v>1440</v>
      </c>
      <c r="D220" s="123">
        <v>62</v>
      </c>
      <c r="F220" s="262">
        <f t="shared" si="70"/>
        <v>23.343</v>
      </c>
      <c r="G220" s="262">
        <f t="shared" si="71"/>
        <v>23.343</v>
      </c>
      <c r="H220" s="47">
        <f t="shared" si="72"/>
        <v>28.024000000000001</v>
      </c>
      <c r="I220" s="47">
        <f t="shared" si="73"/>
        <v>23.498000000000001</v>
      </c>
      <c r="J220" s="47">
        <f t="shared" si="74"/>
        <v>30.937999999999999</v>
      </c>
      <c r="K220" s="47">
        <f t="shared" si="75"/>
        <v>26.66</v>
      </c>
      <c r="L220" s="47">
        <f t="shared" si="76"/>
        <v>29.945999999999998</v>
      </c>
      <c r="M220" s="163"/>
      <c r="N220" s="163"/>
      <c r="O220" s="163"/>
      <c r="P220" s="163"/>
      <c r="Q220" s="163"/>
      <c r="R220" s="163"/>
      <c r="S220" s="163"/>
      <c r="T220" s="163"/>
      <c r="U220" s="163"/>
      <c r="V220" s="163"/>
      <c r="W220" s="163"/>
    </row>
    <row r="221" spans="1:23" ht="27.6">
      <c r="A221" s="48" t="s">
        <v>1441</v>
      </c>
      <c r="B221" s="48" t="s">
        <v>1442</v>
      </c>
      <c r="C221" s="40" t="s">
        <v>1443</v>
      </c>
      <c r="D221" s="146">
        <v>48</v>
      </c>
      <c r="F221" s="262">
        <f t="shared" si="70"/>
        <v>18.071999999999999</v>
      </c>
      <c r="G221" s="262">
        <f t="shared" si="71"/>
        <v>18.071999999999999</v>
      </c>
      <c r="H221" s="47">
        <f t="shared" si="72"/>
        <v>21.696000000000002</v>
      </c>
      <c r="I221" s="47">
        <f t="shared" si="73"/>
        <v>18.192</v>
      </c>
      <c r="J221" s="47">
        <f t="shared" si="74"/>
        <v>23.951999999999998</v>
      </c>
      <c r="K221" s="47">
        <f t="shared" si="75"/>
        <v>20.64</v>
      </c>
      <c r="L221" s="47">
        <f t="shared" si="76"/>
        <v>23.183999999999997</v>
      </c>
      <c r="M221" s="163"/>
      <c r="N221" s="163"/>
      <c r="O221" s="163"/>
      <c r="P221" s="163"/>
      <c r="Q221" s="163"/>
      <c r="R221" s="163"/>
      <c r="S221" s="163"/>
      <c r="T221" s="163"/>
      <c r="U221" s="163"/>
      <c r="V221" s="163"/>
      <c r="W221" s="163"/>
    </row>
    <row r="222" spans="1:23">
      <c r="A222" s="84"/>
      <c r="B222" s="84"/>
      <c r="C222" s="40"/>
      <c r="D222" s="47"/>
      <c r="F222" s="262"/>
      <c r="G222" s="262"/>
      <c r="H222" s="47"/>
      <c r="I222" s="47"/>
      <c r="J222" s="47"/>
      <c r="K222" s="47"/>
      <c r="L222" s="47"/>
      <c r="M222" s="163"/>
      <c r="N222" s="163"/>
      <c r="O222" s="163"/>
      <c r="P222" s="163"/>
      <c r="Q222" s="163"/>
      <c r="R222" s="163"/>
      <c r="S222" s="163"/>
      <c r="T222" s="163"/>
      <c r="U222" s="163"/>
      <c r="V222" s="163"/>
      <c r="W222" s="163"/>
    </row>
    <row r="223" spans="1:23" ht="27.6">
      <c r="A223" s="15" t="s">
        <v>1444</v>
      </c>
      <c r="B223" s="41"/>
      <c r="C223" s="41"/>
      <c r="D223" s="125"/>
      <c r="F223" s="261"/>
      <c r="G223" s="261"/>
      <c r="H223" s="261"/>
      <c r="I223" s="261"/>
      <c r="J223" s="261"/>
      <c r="K223" s="261"/>
      <c r="L223" s="261"/>
      <c r="M223" s="163"/>
      <c r="N223" s="163"/>
      <c r="O223" s="163"/>
      <c r="P223" s="163"/>
      <c r="Q223" s="163"/>
      <c r="R223" s="163"/>
      <c r="S223" s="163"/>
      <c r="T223" s="163"/>
      <c r="U223" s="163"/>
      <c r="V223" s="163"/>
      <c r="W223" s="163"/>
    </row>
    <row r="224" spans="1:23" ht="27.6">
      <c r="A224" s="230" t="s">
        <v>1445</v>
      </c>
      <c r="B224" s="230" t="s">
        <v>1446</v>
      </c>
      <c r="C224" s="107" t="s">
        <v>1447</v>
      </c>
      <c r="D224" s="147">
        <v>50</v>
      </c>
      <c r="F224" s="262">
        <f t="shared" si="70"/>
        <v>18.824999999999999</v>
      </c>
      <c r="G224" s="262">
        <f t="shared" si="71"/>
        <v>18.824999999999999</v>
      </c>
      <c r="H224" s="47">
        <f t="shared" si="72"/>
        <v>22.6</v>
      </c>
      <c r="I224" s="47">
        <f t="shared" si="73"/>
        <v>18.95</v>
      </c>
      <c r="J224" s="47">
        <f t="shared" si="74"/>
        <v>24.95</v>
      </c>
      <c r="K224" s="47">
        <f t="shared" si="75"/>
        <v>21.5</v>
      </c>
      <c r="L224" s="47">
        <f t="shared" si="76"/>
        <v>24.15</v>
      </c>
      <c r="M224" s="163"/>
      <c r="N224" s="163"/>
      <c r="O224" s="163"/>
      <c r="P224" s="163"/>
      <c r="Q224" s="163"/>
      <c r="R224" s="163"/>
      <c r="S224" s="163"/>
      <c r="T224" s="163"/>
      <c r="U224" s="163"/>
      <c r="V224" s="163"/>
      <c r="W224" s="163"/>
    </row>
    <row r="225" spans="1:23" ht="27.6">
      <c r="A225" s="230" t="s">
        <v>1448</v>
      </c>
      <c r="B225" s="230" t="s">
        <v>1446</v>
      </c>
      <c r="C225" s="107" t="s">
        <v>1449</v>
      </c>
      <c r="D225" s="147">
        <v>18</v>
      </c>
      <c r="F225" s="262">
        <f t="shared" si="70"/>
        <v>6.7770000000000001</v>
      </c>
      <c r="G225" s="262">
        <f t="shared" si="71"/>
        <v>6.7770000000000001</v>
      </c>
      <c r="H225" s="47">
        <f t="shared" si="72"/>
        <v>8.136000000000001</v>
      </c>
      <c r="I225" s="47">
        <f t="shared" si="73"/>
        <v>6.8220000000000001</v>
      </c>
      <c r="J225" s="47">
        <f t="shared" si="74"/>
        <v>8.9819999999999993</v>
      </c>
      <c r="K225" s="47">
        <f t="shared" si="75"/>
        <v>7.74</v>
      </c>
      <c r="L225" s="47">
        <f t="shared" si="76"/>
        <v>8.6939999999999991</v>
      </c>
      <c r="M225" s="163"/>
      <c r="N225" s="163"/>
      <c r="O225" s="163"/>
      <c r="P225" s="163"/>
      <c r="Q225" s="163"/>
      <c r="R225" s="163"/>
      <c r="S225" s="163"/>
      <c r="T225" s="163"/>
      <c r="U225" s="163"/>
      <c r="V225" s="163"/>
      <c r="W225" s="163"/>
    </row>
    <row r="226" spans="1:23">
      <c r="A226" s="230" t="s">
        <v>1450</v>
      </c>
      <c r="B226" s="230" t="s">
        <v>1446</v>
      </c>
      <c r="C226" s="107" t="s">
        <v>1451</v>
      </c>
      <c r="D226" s="133">
        <v>36</v>
      </c>
      <c r="F226" s="262">
        <f t="shared" si="70"/>
        <v>13.554</v>
      </c>
      <c r="G226" s="262">
        <f t="shared" si="71"/>
        <v>13.554</v>
      </c>
      <c r="H226" s="47">
        <f t="shared" si="72"/>
        <v>16.272000000000002</v>
      </c>
      <c r="I226" s="47">
        <f t="shared" si="73"/>
        <v>13.644</v>
      </c>
      <c r="J226" s="47">
        <f t="shared" si="74"/>
        <v>17.963999999999999</v>
      </c>
      <c r="K226" s="47">
        <f t="shared" si="75"/>
        <v>15.48</v>
      </c>
      <c r="L226" s="47">
        <f t="shared" si="76"/>
        <v>17.387999999999998</v>
      </c>
      <c r="M226" s="163"/>
      <c r="N226" s="163"/>
      <c r="O226" s="163"/>
      <c r="P226" s="163"/>
      <c r="Q226" s="163"/>
      <c r="R226" s="163"/>
      <c r="S226" s="163"/>
      <c r="T226" s="163"/>
      <c r="U226" s="163"/>
      <c r="V226" s="163"/>
      <c r="W226" s="163"/>
    </row>
    <row r="227" spans="1:23">
      <c r="A227" s="48"/>
      <c r="B227" s="48"/>
      <c r="C227" s="40"/>
      <c r="D227" s="47"/>
      <c r="F227" s="262"/>
      <c r="G227" s="262"/>
      <c r="H227" s="47"/>
      <c r="I227" s="47"/>
      <c r="J227" s="47"/>
      <c r="K227" s="47"/>
      <c r="L227" s="47"/>
      <c r="M227" s="163"/>
      <c r="N227" s="163"/>
      <c r="O227" s="163"/>
      <c r="P227" s="163"/>
      <c r="Q227" s="163"/>
      <c r="R227" s="163"/>
      <c r="S227" s="163"/>
      <c r="T227" s="163"/>
      <c r="U227" s="163"/>
      <c r="V227" s="163"/>
      <c r="W227" s="163"/>
    </row>
    <row r="228" spans="1:23" ht="27.6">
      <c r="A228" s="15" t="s">
        <v>1452</v>
      </c>
      <c r="B228" s="41"/>
      <c r="C228" s="41"/>
      <c r="D228" s="125"/>
      <c r="F228" s="261"/>
      <c r="G228" s="261"/>
      <c r="H228" s="261"/>
      <c r="I228" s="261"/>
      <c r="J228" s="261"/>
      <c r="K228" s="261"/>
      <c r="L228" s="261"/>
      <c r="M228" s="163"/>
      <c r="N228" s="163"/>
      <c r="O228" s="163"/>
      <c r="P228" s="163"/>
      <c r="Q228" s="163"/>
      <c r="R228" s="163"/>
      <c r="S228" s="163"/>
      <c r="T228" s="163"/>
      <c r="U228" s="163"/>
      <c r="V228" s="163"/>
      <c r="W228" s="163"/>
    </row>
    <row r="229" spans="1:23">
      <c r="A229" s="69" t="s">
        <v>1453</v>
      </c>
      <c r="B229" s="48" t="s">
        <v>1446</v>
      </c>
      <c r="C229" s="40" t="s">
        <v>1454</v>
      </c>
      <c r="D229" s="123">
        <v>90</v>
      </c>
      <c r="F229" s="262">
        <f t="shared" si="70"/>
        <v>33.884999999999998</v>
      </c>
      <c r="G229" s="262">
        <f t="shared" si="71"/>
        <v>33.884999999999998</v>
      </c>
      <c r="H229" s="47">
        <f t="shared" si="72"/>
        <v>40.68</v>
      </c>
      <c r="I229" s="47">
        <f t="shared" si="73"/>
        <v>34.11</v>
      </c>
      <c r="J229" s="47">
        <f t="shared" si="74"/>
        <v>44.91</v>
      </c>
      <c r="K229" s="47">
        <f t="shared" si="75"/>
        <v>38.700000000000003</v>
      </c>
      <c r="L229" s="47">
        <f t="shared" si="76"/>
        <v>43.47</v>
      </c>
      <c r="M229" s="163"/>
      <c r="N229" s="163"/>
      <c r="O229" s="163"/>
      <c r="P229" s="163"/>
      <c r="Q229" s="163"/>
      <c r="R229" s="163"/>
      <c r="S229" s="163"/>
      <c r="T229" s="163"/>
      <c r="U229" s="163"/>
      <c r="V229" s="163"/>
      <c r="W229" s="163"/>
    </row>
    <row r="230" spans="1:23">
      <c r="A230" s="48" t="s">
        <v>1455</v>
      </c>
      <c r="B230" s="48" t="s">
        <v>1446</v>
      </c>
      <c r="C230" s="40" t="s">
        <v>1456</v>
      </c>
      <c r="D230" s="123">
        <v>18</v>
      </c>
      <c r="F230" s="262">
        <f t="shared" si="70"/>
        <v>6.7770000000000001</v>
      </c>
      <c r="G230" s="262">
        <f t="shared" si="71"/>
        <v>6.7770000000000001</v>
      </c>
      <c r="H230" s="47">
        <f t="shared" si="72"/>
        <v>8.136000000000001</v>
      </c>
      <c r="I230" s="47">
        <f t="shared" si="73"/>
        <v>6.8220000000000001</v>
      </c>
      <c r="J230" s="47">
        <f t="shared" si="74"/>
        <v>8.9819999999999993</v>
      </c>
      <c r="K230" s="47">
        <f t="shared" si="75"/>
        <v>7.74</v>
      </c>
      <c r="L230" s="47">
        <f t="shared" si="76"/>
        <v>8.6939999999999991</v>
      </c>
      <c r="M230" s="163"/>
      <c r="N230" s="163"/>
      <c r="O230" s="163"/>
      <c r="P230" s="163"/>
      <c r="Q230" s="163"/>
      <c r="R230" s="163"/>
      <c r="S230" s="163"/>
      <c r="T230" s="163"/>
      <c r="U230" s="163"/>
      <c r="V230" s="163"/>
      <c r="W230" s="163"/>
    </row>
    <row r="231" spans="1:23">
      <c r="A231" s="48" t="s">
        <v>1457</v>
      </c>
      <c r="B231" s="48" t="s">
        <v>1446</v>
      </c>
      <c r="C231" s="40" t="s">
        <v>1458</v>
      </c>
      <c r="D231" s="146">
        <v>36</v>
      </c>
      <c r="F231" s="262">
        <f t="shared" si="70"/>
        <v>13.554</v>
      </c>
      <c r="G231" s="262">
        <f t="shared" si="71"/>
        <v>13.554</v>
      </c>
      <c r="H231" s="47">
        <f t="shared" si="72"/>
        <v>16.272000000000002</v>
      </c>
      <c r="I231" s="47">
        <f t="shared" si="73"/>
        <v>13.644</v>
      </c>
      <c r="J231" s="47">
        <f t="shared" si="74"/>
        <v>17.963999999999999</v>
      </c>
      <c r="K231" s="47">
        <f t="shared" si="75"/>
        <v>15.48</v>
      </c>
      <c r="L231" s="47">
        <f t="shared" si="76"/>
        <v>17.387999999999998</v>
      </c>
      <c r="M231" s="163"/>
      <c r="N231" s="163"/>
      <c r="O231" s="163"/>
      <c r="P231" s="163"/>
      <c r="Q231" s="163"/>
      <c r="R231" s="163"/>
      <c r="S231" s="163"/>
      <c r="T231" s="163"/>
      <c r="U231" s="163"/>
      <c r="V231" s="163"/>
      <c r="W231" s="163"/>
    </row>
    <row r="232" spans="1:23">
      <c r="A232" s="48"/>
      <c r="B232" s="48"/>
      <c r="C232" s="40"/>
      <c r="D232" s="47"/>
      <c r="F232" s="262"/>
      <c r="G232" s="262"/>
      <c r="H232" s="47"/>
      <c r="I232" s="47"/>
      <c r="J232" s="47"/>
      <c r="K232" s="47"/>
      <c r="L232" s="47"/>
      <c r="M232" s="163"/>
      <c r="N232" s="163"/>
      <c r="O232" s="163"/>
      <c r="P232" s="163"/>
      <c r="Q232" s="163"/>
      <c r="R232" s="163"/>
      <c r="S232" s="163"/>
      <c r="T232" s="163"/>
      <c r="U232" s="163"/>
      <c r="V232" s="163"/>
      <c r="W232" s="163"/>
    </row>
    <row r="233" spans="1:23" ht="27.6">
      <c r="A233" s="15" t="s">
        <v>1459</v>
      </c>
      <c r="B233" s="41"/>
      <c r="C233" s="41"/>
      <c r="D233" s="125"/>
      <c r="F233" s="261"/>
      <c r="G233" s="261"/>
      <c r="H233" s="261"/>
      <c r="I233" s="261"/>
      <c r="J233" s="261"/>
      <c r="K233" s="261"/>
      <c r="L233" s="261"/>
      <c r="M233" s="163"/>
      <c r="N233" s="163"/>
      <c r="O233" s="163"/>
      <c r="P233" s="163"/>
      <c r="Q233" s="163"/>
      <c r="R233" s="163"/>
      <c r="S233" s="163"/>
      <c r="T233" s="163"/>
      <c r="U233" s="163"/>
      <c r="V233" s="163"/>
      <c r="W233" s="163"/>
    </row>
    <row r="234" spans="1:23" ht="27.6">
      <c r="A234" s="69" t="s">
        <v>1460</v>
      </c>
      <c r="B234" s="48" t="s">
        <v>1461</v>
      </c>
      <c r="C234" s="40" t="s">
        <v>1462</v>
      </c>
      <c r="D234" s="123">
        <v>11030</v>
      </c>
      <c r="F234" s="262">
        <f t="shared" si="70"/>
        <v>4152.7950000000001</v>
      </c>
      <c r="G234" s="262">
        <f t="shared" si="71"/>
        <v>4152.7950000000001</v>
      </c>
      <c r="H234" s="47">
        <f t="shared" si="72"/>
        <v>4985.5600000000004</v>
      </c>
      <c r="I234" s="47">
        <f t="shared" si="73"/>
        <v>4180.37</v>
      </c>
      <c r="J234" s="47">
        <f t="shared" si="74"/>
        <v>5503.97</v>
      </c>
      <c r="K234" s="47">
        <f t="shared" si="75"/>
        <v>4742.8999999999996</v>
      </c>
      <c r="L234" s="47">
        <f t="shared" si="76"/>
        <v>5327.49</v>
      </c>
      <c r="M234" s="163"/>
      <c r="N234" s="163"/>
      <c r="O234" s="163"/>
      <c r="P234" s="163"/>
      <c r="Q234" s="163"/>
      <c r="R234" s="163"/>
      <c r="S234" s="163"/>
      <c r="T234" s="163"/>
      <c r="U234" s="163"/>
      <c r="V234" s="163"/>
      <c r="W234" s="163"/>
    </row>
    <row r="235" spans="1:23" ht="41.4">
      <c r="A235" s="69" t="s">
        <v>1463</v>
      </c>
      <c r="B235" s="48" t="s">
        <v>1464</v>
      </c>
      <c r="C235" s="40" t="s">
        <v>1465</v>
      </c>
      <c r="D235" s="123">
        <v>6</v>
      </c>
      <c r="F235" s="262">
        <f t="shared" si="70"/>
        <v>2.2589999999999999</v>
      </c>
      <c r="G235" s="262">
        <f t="shared" si="71"/>
        <v>2.2589999999999999</v>
      </c>
      <c r="H235" s="47">
        <f t="shared" si="72"/>
        <v>2.7120000000000002</v>
      </c>
      <c r="I235" s="47">
        <f t="shared" si="73"/>
        <v>2.274</v>
      </c>
      <c r="J235" s="47">
        <f t="shared" si="74"/>
        <v>2.9939999999999998</v>
      </c>
      <c r="K235" s="47">
        <f t="shared" si="75"/>
        <v>2.58</v>
      </c>
      <c r="L235" s="47">
        <f t="shared" si="76"/>
        <v>2.8979999999999997</v>
      </c>
      <c r="M235" s="163"/>
      <c r="N235" s="163"/>
      <c r="O235" s="163"/>
      <c r="P235" s="163"/>
      <c r="Q235" s="163"/>
      <c r="R235" s="163"/>
      <c r="S235" s="163"/>
      <c r="T235" s="163"/>
      <c r="U235" s="163"/>
      <c r="V235" s="163"/>
      <c r="W235" s="163"/>
    </row>
    <row r="236" spans="1:23" ht="41.4">
      <c r="A236" s="69" t="s">
        <v>1466</v>
      </c>
      <c r="B236" s="48" t="s">
        <v>1467</v>
      </c>
      <c r="C236" s="40" t="s">
        <v>1468</v>
      </c>
      <c r="D236" s="193">
        <v>5</v>
      </c>
      <c r="F236" s="262">
        <f t="shared" si="70"/>
        <v>1.8825000000000001</v>
      </c>
      <c r="G236" s="262">
        <f t="shared" si="71"/>
        <v>1.8825000000000001</v>
      </c>
      <c r="H236" s="47">
        <f t="shared" si="72"/>
        <v>2.2600000000000002</v>
      </c>
      <c r="I236" s="47">
        <f t="shared" si="73"/>
        <v>1.895</v>
      </c>
      <c r="J236" s="47">
        <f t="shared" si="74"/>
        <v>2.4950000000000001</v>
      </c>
      <c r="K236" s="47">
        <f t="shared" si="75"/>
        <v>2.15</v>
      </c>
      <c r="L236" s="47">
        <f t="shared" si="76"/>
        <v>2.415</v>
      </c>
      <c r="M236" s="163"/>
      <c r="N236" s="163"/>
      <c r="O236" s="163"/>
      <c r="P236" s="163"/>
      <c r="Q236" s="163"/>
      <c r="R236" s="163"/>
      <c r="S236" s="163"/>
      <c r="T236" s="163"/>
      <c r="U236" s="163"/>
      <c r="V236" s="163"/>
      <c r="W236" s="163"/>
    </row>
    <row r="237" spans="1:23" ht="41.4">
      <c r="A237" s="69" t="s">
        <v>1469</v>
      </c>
      <c r="B237" s="48" t="s">
        <v>1470</v>
      </c>
      <c r="C237" s="40" t="s">
        <v>1471</v>
      </c>
      <c r="D237" s="193">
        <v>4</v>
      </c>
      <c r="F237" s="262">
        <f t="shared" si="70"/>
        <v>1.506</v>
      </c>
      <c r="G237" s="262">
        <f t="shared" si="71"/>
        <v>1.506</v>
      </c>
      <c r="H237" s="47">
        <f t="shared" si="72"/>
        <v>1.8080000000000001</v>
      </c>
      <c r="I237" s="47">
        <f t="shared" si="73"/>
        <v>1.516</v>
      </c>
      <c r="J237" s="47">
        <f t="shared" si="74"/>
        <v>1.996</v>
      </c>
      <c r="K237" s="47">
        <f t="shared" si="75"/>
        <v>1.72</v>
      </c>
      <c r="L237" s="47">
        <f t="shared" si="76"/>
        <v>1.9319999999999999</v>
      </c>
      <c r="M237" s="163"/>
      <c r="N237" s="163"/>
      <c r="O237" s="163"/>
      <c r="P237" s="163"/>
      <c r="Q237" s="163"/>
      <c r="R237" s="163"/>
      <c r="S237" s="163"/>
      <c r="T237" s="163"/>
      <c r="U237" s="163"/>
      <c r="V237" s="163"/>
      <c r="W237" s="163"/>
    </row>
    <row r="238" spans="1:23" ht="41.4">
      <c r="A238" s="69" t="s">
        <v>1472</v>
      </c>
      <c r="B238" s="48" t="s">
        <v>1473</v>
      </c>
      <c r="C238" s="40" t="s">
        <v>1474</v>
      </c>
      <c r="D238" s="193">
        <v>4</v>
      </c>
      <c r="F238" s="262">
        <f t="shared" si="70"/>
        <v>1.506</v>
      </c>
      <c r="G238" s="262">
        <f t="shared" si="71"/>
        <v>1.506</v>
      </c>
      <c r="H238" s="47">
        <f t="shared" si="72"/>
        <v>1.8080000000000001</v>
      </c>
      <c r="I238" s="47">
        <f t="shared" si="73"/>
        <v>1.516</v>
      </c>
      <c r="J238" s="47">
        <f t="shared" si="74"/>
        <v>1.996</v>
      </c>
      <c r="K238" s="47">
        <f t="shared" si="75"/>
        <v>1.72</v>
      </c>
      <c r="L238" s="47">
        <f t="shared" si="76"/>
        <v>1.9319999999999999</v>
      </c>
      <c r="M238" s="163"/>
      <c r="N238" s="163"/>
      <c r="O238" s="163"/>
      <c r="P238" s="163"/>
      <c r="Q238" s="163"/>
      <c r="R238" s="163"/>
      <c r="S238" s="163"/>
      <c r="T238" s="163"/>
      <c r="U238" s="163"/>
      <c r="V238" s="163"/>
      <c r="W238" s="163"/>
    </row>
    <row r="239" spans="1:23" ht="27.6">
      <c r="A239" s="69" t="s">
        <v>1475</v>
      </c>
      <c r="B239" s="48" t="s">
        <v>1476</v>
      </c>
      <c r="C239" s="40" t="s">
        <v>1477</v>
      </c>
      <c r="D239" s="193">
        <v>3</v>
      </c>
      <c r="F239" s="262">
        <f t="shared" si="70"/>
        <v>1.1294999999999999</v>
      </c>
      <c r="G239" s="262">
        <f t="shared" si="71"/>
        <v>1.1294999999999999</v>
      </c>
      <c r="H239" s="47">
        <f t="shared" si="72"/>
        <v>1.3560000000000001</v>
      </c>
      <c r="I239" s="47">
        <f t="shared" si="73"/>
        <v>1.137</v>
      </c>
      <c r="J239" s="47">
        <f t="shared" si="74"/>
        <v>1.4969999999999999</v>
      </c>
      <c r="K239" s="47">
        <f t="shared" si="75"/>
        <v>1.29</v>
      </c>
      <c r="L239" s="47">
        <f t="shared" si="76"/>
        <v>1.4489999999999998</v>
      </c>
      <c r="M239" s="163"/>
      <c r="N239" s="163"/>
      <c r="O239" s="163"/>
      <c r="P239" s="163"/>
      <c r="Q239" s="163"/>
      <c r="R239" s="163"/>
      <c r="S239" s="163"/>
      <c r="T239" s="163"/>
      <c r="U239" s="163"/>
      <c r="V239" s="163"/>
      <c r="W239" s="163"/>
    </row>
    <row r="240" spans="1:23" ht="27.6">
      <c r="A240" s="69" t="s">
        <v>1478</v>
      </c>
      <c r="B240" s="48" t="s">
        <v>1479</v>
      </c>
      <c r="C240" s="40" t="s">
        <v>1480</v>
      </c>
      <c r="D240" s="193">
        <v>2</v>
      </c>
      <c r="F240" s="262">
        <f t="shared" si="70"/>
        <v>0.753</v>
      </c>
      <c r="G240" s="262">
        <f t="shared" si="71"/>
        <v>0.753</v>
      </c>
      <c r="H240" s="47">
        <f t="shared" si="72"/>
        <v>0.90400000000000003</v>
      </c>
      <c r="I240" s="47">
        <f t="shared" si="73"/>
        <v>0.75800000000000001</v>
      </c>
      <c r="J240" s="47">
        <f t="shared" si="74"/>
        <v>0.998</v>
      </c>
      <c r="K240" s="47">
        <f t="shared" si="75"/>
        <v>0.86</v>
      </c>
      <c r="L240" s="47">
        <f t="shared" si="76"/>
        <v>0.96599999999999997</v>
      </c>
      <c r="M240" s="163"/>
      <c r="N240" s="163"/>
      <c r="O240" s="163"/>
      <c r="P240" s="163"/>
      <c r="Q240" s="163"/>
      <c r="R240" s="163"/>
      <c r="S240" s="163"/>
      <c r="T240" s="163"/>
      <c r="U240" s="163"/>
      <c r="V240" s="163"/>
      <c r="W240" s="163"/>
    </row>
    <row r="241" spans="1:23" ht="27.6">
      <c r="A241" s="69" t="s">
        <v>1481</v>
      </c>
      <c r="B241" s="48" t="s">
        <v>1482</v>
      </c>
      <c r="C241" s="40" t="s">
        <v>1483</v>
      </c>
      <c r="D241" s="193">
        <v>1</v>
      </c>
      <c r="F241" s="262">
        <f t="shared" si="70"/>
        <v>0.3765</v>
      </c>
      <c r="G241" s="262">
        <f t="shared" si="71"/>
        <v>0.3765</v>
      </c>
      <c r="H241" s="47">
        <f t="shared" si="72"/>
        <v>0.45200000000000001</v>
      </c>
      <c r="I241" s="47">
        <f t="shared" si="73"/>
        <v>0.379</v>
      </c>
      <c r="J241" s="47">
        <f t="shared" si="74"/>
        <v>0.499</v>
      </c>
      <c r="K241" s="47">
        <f t="shared" si="75"/>
        <v>0.43</v>
      </c>
      <c r="L241" s="47">
        <f t="shared" si="76"/>
        <v>0.48299999999999998</v>
      </c>
      <c r="M241" s="163"/>
      <c r="N241" s="163"/>
      <c r="O241" s="163"/>
      <c r="P241" s="163"/>
      <c r="Q241" s="163"/>
      <c r="R241" s="163"/>
      <c r="S241" s="163"/>
      <c r="T241" s="163"/>
      <c r="U241" s="163"/>
      <c r="V241" s="163"/>
      <c r="W241" s="163"/>
    </row>
    <row r="242" spans="1:23" ht="27.6">
      <c r="A242" s="69" t="s">
        <v>1484</v>
      </c>
      <c r="B242" s="48" t="s">
        <v>1485</v>
      </c>
      <c r="C242" s="40" t="s">
        <v>1486</v>
      </c>
      <c r="D242" s="193">
        <v>1</v>
      </c>
      <c r="F242" s="262">
        <f t="shared" si="70"/>
        <v>0.3765</v>
      </c>
      <c r="G242" s="262">
        <f t="shared" si="71"/>
        <v>0.3765</v>
      </c>
      <c r="H242" s="47">
        <f t="shared" si="72"/>
        <v>0.45200000000000001</v>
      </c>
      <c r="I242" s="47">
        <f t="shared" si="73"/>
        <v>0.379</v>
      </c>
      <c r="J242" s="47">
        <f t="shared" si="74"/>
        <v>0.499</v>
      </c>
      <c r="K242" s="47">
        <f t="shared" si="75"/>
        <v>0.43</v>
      </c>
      <c r="L242" s="47">
        <f t="shared" si="76"/>
        <v>0.48299999999999998</v>
      </c>
      <c r="M242" s="163"/>
      <c r="N242" s="163"/>
      <c r="O242" s="163"/>
      <c r="P242" s="163"/>
      <c r="Q242" s="163"/>
      <c r="R242" s="163"/>
      <c r="S242" s="163"/>
      <c r="T242" s="163"/>
      <c r="U242" s="163"/>
      <c r="V242" s="163"/>
      <c r="W242" s="163"/>
    </row>
    <row r="243" spans="1:23" ht="27.6">
      <c r="A243" s="69" t="s">
        <v>1487</v>
      </c>
      <c r="B243" s="48" t="s">
        <v>1488</v>
      </c>
      <c r="C243" s="40" t="s">
        <v>1489</v>
      </c>
      <c r="D243" s="193">
        <v>1</v>
      </c>
      <c r="F243" s="262">
        <f t="shared" si="70"/>
        <v>0.3765</v>
      </c>
      <c r="G243" s="262">
        <f t="shared" si="71"/>
        <v>0.3765</v>
      </c>
      <c r="H243" s="47">
        <f t="shared" si="72"/>
        <v>0.45200000000000001</v>
      </c>
      <c r="I243" s="47">
        <f t="shared" si="73"/>
        <v>0.379</v>
      </c>
      <c r="J243" s="47">
        <f t="shared" si="74"/>
        <v>0.499</v>
      </c>
      <c r="K243" s="47">
        <f t="shared" si="75"/>
        <v>0.43</v>
      </c>
      <c r="L243" s="47">
        <f t="shared" si="76"/>
        <v>0.48299999999999998</v>
      </c>
      <c r="M243" s="163"/>
      <c r="N243" s="163"/>
      <c r="O243" s="163"/>
      <c r="P243" s="163"/>
      <c r="Q243" s="163"/>
      <c r="R243" s="163"/>
      <c r="S243" s="163"/>
      <c r="T243" s="163"/>
      <c r="U243" s="163"/>
      <c r="V243" s="163"/>
      <c r="W243" s="163"/>
    </row>
    <row r="244" spans="1:23">
      <c r="A244" s="69" t="s">
        <v>1490</v>
      </c>
      <c r="B244" s="48" t="s">
        <v>1491</v>
      </c>
      <c r="C244" s="40" t="s">
        <v>1492</v>
      </c>
      <c r="D244" s="193">
        <v>25</v>
      </c>
      <c r="F244" s="262">
        <f t="shared" si="70"/>
        <v>9.4124999999999996</v>
      </c>
      <c r="G244" s="262">
        <f t="shared" si="71"/>
        <v>9.4124999999999996</v>
      </c>
      <c r="H244" s="47">
        <f t="shared" si="72"/>
        <v>11.3</v>
      </c>
      <c r="I244" s="47">
        <f t="shared" si="73"/>
        <v>9.4749999999999996</v>
      </c>
      <c r="J244" s="47">
        <f t="shared" si="74"/>
        <v>12.475</v>
      </c>
      <c r="K244" s="47">
        <f t="shared" si="75"/>
        <v>10.75</v>
      </c>
      <c r="L244" s="47">
        <f t="shared" si="76"/>
        <v>12.074999999999999</v>
      </c>
      <c r="M244" s="163"/>
      <c r="N244" s="163"/>
      <c r="O244" s="163"/>
      <c r="P244" s="163"/>
      <c r="Q244" s="163"/>
      <c r="R244" s="163"/>
      <c r="S244" s="163"/>
      <c r="T244" s="163"/>
      <c r="U244" s="163"/>
      <c r="V244" s="163"/>
      <c r="W244" s="163"/>
    </row>
    <row r="245" spans="1:23">
      <c r="A245" s="69" t="s">
        <v>1493</v>
      </c>
      <c r="B245" s="48" t="s">
        <v>1494</v>
      </c>
      <c r="C245" s="40" t="s">
        <v>1495</v>
      </c>
      <c r="D245" s="193">
        <v>14</v>
      </c>
      <c r="F245" s="262">
        <f t="shared" si="70"/>
        <v>5.2709999999999999</v>
      </c>
      <c r="G245" s="262">
        <f t="shared" si="71"/>
        <v>5.2709999999999999</v>
      </c>
      <c r="H245" s="47">
        <f t="shared" si="72"/>
        <v>6.3280000000000003</v>
      </c>
      <c r="I245" s="47">
        <f t="shared" si="73"/>
        <v>5.306</v>
      </c>
      <c r="J245" s="47">
        <f t="shared" si="74"/>
        <v>6.9859999999999998</v>
      </c>
      <c r="K245" s="47">
        <f t="shared" si="75"/>
        <v>6.02</v>
      </c>
      <c r="L245" s="47">
        <f t="shared" si="76"/>
        <v>6.7619999999999996</v>
      </c>
      <c r="M245" s="163"/>
      <c r="N245" s="163"/>
      <c r="O245" s="163"/>
      <c r="P245" s="163"/>
      <c r="Q245" s="163"/>
      <c r="R245" s="163"/>
      <c r="S245" s="163"/>
      <c r="T245" s="163"/>
      <c r="U245" s="163"/>
      <c r="V245" s="163"/>
      <c r="W245" s="163"/>
    </row>
    <row r="246" spans="1:23">
      <c r="A246" s="69" t="s">
        <v>1496</v>
      </c>
      <c r="B246" s="48" t="s">
        <v>1497</v>
      </c>
      <c r="C246" s="88" t="s">
        <v>1498</v>
      </c>
      <c r="D246" s="193">
        <v>3</v>
      </c>
      <c r="F246" s="262">
        <f t="shared" si="70"/>
        <v>1.1294999999999999</v>
      </c>
      <c r="G246" s="262">
        <f t="shared" si="71"/>
        <v>1.1294999999999999</v>
      </c>
      <c r="H246" s="47">
        <f t="shared" si="72"/>
        <v>1.3560000000000001</v>
      </c>
      <c r="I246" s="47">
        <f t="shared" si="73"/>
        <v>1.137</v>
      </c>
      <c r="J246" s="47">
        <f t="shared" si="74"/>
        <v>1.4969999999999999</v>
      </c>
      <c r="K246" s="47">
        <f t="shared" si="75"/>
        <v>1.29</v>
      </c>
      <c r="L246" s="47">
        <f t="shared" si="76"/>
        <v>1.4489999999999998</v>
      </c>
      <c r="M246" s="163"/>
      <c r="N246" s="163"/>
      <c r="O246" s="163"/>
      <c r="P246" s="163"/>
      <c r="Q246" s="163"/>
      <c r="R246" s="163"/>
      <c r="S246" s="163"/>
      <c r="T246" s="163"/>
      <c r="U246" s="163"/>
      <c r="V246" s="163"/>
      <c r="W246" s="163"/>
    </row>
    <row r="247" spans="1:23">
      <c r="A247" s="69" t="s">
        <v>1499</v>
      </c>
      <c r="B247" s="48" t="s">
        <v>1500</v>
      </c>
      <c r="C247" s="88" t="s">
        <v>1501</v>
      </c>
      <c r="D247" s="193">
        <v>3</v>
      </c>
      <c r="F247" s="262">
        <f t="shared" si="70"/>
        <v>1.1294999999999999</v>
      </c>
      <c r="G247" s="262">
        <f t="shared" si="71"/>
        <v>1.1294999999999999</v>
      </c>
      <c r="H247" s="47">
        <f t="shared" si="72"/>
        <v>1.3560000000000001</v>
      </c>
      <c r="I247" s="47">
        <f t="shared" si="73"/>
        <v>1.137</v>
      </c>
      <c r="J247" s="47">
        <f t="shared" si="74"/>
        <v>1.4969999999999999</v>
      </c>
      <c r="K247" s="47">
        <f t="shared" si="75"/>
        <v>1.29</v>
      </c>
      <c r="L247" s="47">
        <f t="shared" si="76"/>
        <v>1.4489999999999998</v>
      </c>
      <c r="M247" s="163"/>
      <c r="N247" s="163"/>
      <c r="O247" s="163"/>
      <c r="P247" s="163"/>
      <c r="Q247" s="163"/>
      <c r="R247" s="163"/>
      <c r="S247" s="163"/>
      <c r="T247" s="163"/>
      <c r="U247" s="163"/>
      <c r="V247" s="163"/>
      <c r="W247" s="163"/>
    </row>
    <row r="248" spans="1:23">
      <c r="A248" s="69" t="s">
        <v>1502</v>
      </c>
      <c r="B248" s="48" t="s">
        <v>1503</v>
      </c>
      <c r="C248" s="88" t="s">
        <v>1504</v>
      </c>
      <c r="D248" s="193">
        <v>2</v>
      </c>
      <c r="F248" s="262">
        <f t="shared" si="70"/>
        <v>0.753</v>
      </c>
      <c r="G248" s="262">
        <f t="shared" si="71"/>
        <v>0.753</v>
      </c>
      <c r="H248" s="47">
        <f t="shared" si="72"/>
        <v>0.90400000000000003</v>
      </c>
      <c r="I248" s="47">
        <f t="shared" si="73"/>
        <v>0.75800000000000001</v>
      </c>
      <c r="J248" s="47">
        <f t="shared" si="74"/>
        <v>0.998</v>
      </c>
      <c r="K248" s="47">
        <f t="shared" si="75"/>
        <v>0.86</v>
      </c>
      <c r="L248" s="47">
        <f t="shared" si="76"/>
        <v>0.96599999999999997</v>
      </c>
      <c r="M248" s="163"/>
      <c r="N248" s="163"/>
      <c r="O248" s="163"/>
      <c r="P248" s="163"/>
      <c r="Q248" s="163"/>
      <c r="R248" s="163"/>
      <c r="S248" s="163"/>
      <c r="T248" s="163"/>
      <c r="U248" s="163"/>
      <c r="V248" s="163"/>
      <c r="W248" s="163"/>
    </row>
    <row r="249" spans="1:23">
      <c r="A249" s="69" t="s">
        <v>1505</v>
      </c>
      <c r="B249" s="48" t="s">
        <v>1506</v>
      </c>
      <c r="C249" s="88" t="s">
        <v>1507</v>
      </c>
      <c r="D249" s="193">
        <v>5</v>
      </c>
      <c r="F249" s="262">
        <f t="shared" si="70"/>
        <v>1.8825000000000001</v>
      </c>
      <c r="G249" s="262">
        <f t="shared" si="71"/>
        <v>1.8825000000000001</v>
      </c>
      <c r="H249" s="47">
        <f t="shared" si="72"/>
        <v>2.2600000000000002</v>
      </c>
      <c r="I249" s="47">
        <f t="shared" si="73"/>
        <v>1.895</v>
      </c>
      <c r="J249" s="47">
        <f t="shared" si="74"/>
        <v>2.4950000000000001</v>
      </c>
      <c r="K249" s="47">
        <f t="shared" si="75"/>
        <v>2.15</v>
      </c>
      <c r="L249" s="47">
        <f t="shared" si="76"/>
        <v>2.415</v>
      </c>
      <c r="M249" s="163"/>
      <c r="N249" s="163"/>
      <c r="O249" s="163"/>
      <c r="P249" s="163"/>
      <c r="Q249" s="163"/>
      <c r="R249" s="163"/>
      <c r="S249" s="163"/>
      <c r="T249" s="163"/>
      <c r="U249" s="163"/>
      <c r="V249" s="163"/>
      <c r="W249" s="163"/>
    </row>
    <row r="250" spans="1:23">
      <c r="A250" s="69" t="s">
        <v>1508</v>
      </c>
      <c r="B250" s="69" t="s">
        <v>1509</v>
      </c>
      <c r="C250" s="40" t="s">
        <v>1510</v>
      </c>
      <c r="D250" s="193">
        <v>150</v>
      </c>
      <c r="F250" s="262">
        <f t="shared" si="70"/>
        <v>56.475000000000001</v>
      </c>
      <c r="G250" s="262">
        <f t="shared" si="71"/>
        <v>56.475000000000001</v>
      </c>
      <c r="H250" s="47">
        <f t="shared" si="72"/>
        <v>67.8</v>
      </c>
      <c r="I250" s="47">
        <f t="shared" si="73"/>
        <v>56.85</v>
      </c>
      <c r="J250" s="47">
        <f t="shared" si="74"/>
        <v>74.849999999999994</v>
      </c>
      <c r="K250" s="47">
        <f t="shared" si="75"/>
        <v>64.5</v>
      </c>
      <c r="L250" s="47">
        <f t="shared" si="76"/>
        <v>72.45</v>
      </c>
      <c r="M250" s="163"/>
      <c r="N250" s="163"/>
      <c r="O250" s="163"/>
      <c r="P250" s="163"/>
      <c r="Q250" s="163"/>
      <c r="R250" s="163"/>
      <c r="S250" s="163"/>
      <c r="T250" s="163"/>
      <c r="U250" s="163"/>
      <c r="V250" s="163"/>
      <c r="W250" s="163"/>
    </row>
    <row r="251" spans="1:23">
      <c r="A251" s="69" t="s">
        <v>1511</v>
      </c>
      <c r="B251" s="48" t="s">
        <v>1512</v>
      </c>
      <c r="C251" s="40" t="s">
        <v>1513</v>
      </c>
      <c r="D251" s="193">
        <v>1</v>
      </c>
      <c r="F251" s="262">
        <f t="shared" si="70"/>
        <v>0.3765</v>
      </c>
      <c r="G251" s="262">
        <f t="shared" si="71"/>
        <v>0.3765</v>
      </c>
      <c r="H251" s="47">
        <f t="shared" si="72"/>
        <v>0.45200000000000001</v>
      </c>
      <c r="I251" s="47">
        <f t="shared" si="73"/>
        <v>0.379</v>
      </c>
      <c r="J251" s="47">
        <f t="shared" si="74"/>
        <v>0.499</v>
      </c>
      <c r="K251" s="47">
        <f t="shared" si="75"/>
        <v>0.43</v>
      </c>
      <c r="L251" s="47">
        <f t="shared" si="76"/>
        <v>0.48299999999999998</v>
      </c>
      <c r="M251" s="163"/>
      <c r="N251" s="163"/>
      <c r="O251" s="163"/>
      <c r="P251" s="163"/>
      <c r="Q251" s="163"/>
      <c r="R251" s="163"/>
      <c r="S251" s="163"/>
      <c r="T251" s="163"/>
      <c r="U251" s="163"/>
      <c r="V251" s="163"/>
      <c r="W251" s="163"/>
    </row>
    <row r="252" spans="1:23">
      <c r="A252" s="69" t="s">
        <v>1514</v>
      </c>
      <c r="B252" s="48" t="s">
        <v>1388</v>
      </c>
      <c r="C252" s="40" t="s">
        <v>1515</v>
      </c>
      <c r="D252" s="193">
        <v>75</v>
      </c>
      <c r="F252" s="262">
        <f t="shared" si="70"/>
        <v>28.237500000000001</v>
      </c>
      <c r="G252" s="262">
        <f t="shared" si="71"/>
        <v>28.237500000000001</v>
      </c>
      <c r="H252" s="47">
        <f t="shared" si="72"/>
        <v>33.9</v>
      </c>
      <c r="I252" s="47">
        <f t="shared" si="73"/>
        <v>28.425000000000001</v>
      </c>
      <c r="J252" s="47">
        <f t="shared" si="74"/>
        <v>37.424999999999997</v>
      </c>
      <c r="K252" s="47">
        <f t="shared" si="75"/>
        <v>32.25</v>
      </c>
      <c r="L252" s="47">
        <f t="shared" si="76"/>
        <v>36.225000000000001</v>
      </c>
      <c r="M252" s="163"/>
      <c r="N252" s="163"/>
      <c r="O252" s="163"/>
      <c r="P252" s="163"/>
      <c r="Q252" s="163"/>
      <c r="R252" s="163"/>
      <c r="S252" s="163"/>
      <c r="T252" s="163"/>
      <c r="U252" s="163"/>
      <c r="V252" s="163"/>
      <c r="W252" s="163"/>
    </row>
    <row r="253" spans="1:23">
      <c r="A253" s="69" t="s">
        <v>1516</v>
      </c>
      <c r="B253" s="48" t="s">
        <v>1391</v>
      </c>
      <c r="C253" s="40" t="s">
        <v>1517</v>
      </c>
      <c r="D253" s="193">
        <v>36</v>
      </c>
      <c r="F253" s="262">
        <f t="shared" si="70"/>
        <v>13.554</v>
      </c>
      <c r="G253" s="262">
        <f t="shared" si="71"/>
        <v>13.554</v>
      </c>
      <c r="H253" s="47">
        <f t="shared" si="72"/>
        <v>16.272000000000002</v>
      </c>
      <c r="I253" s="47">
        <f t="shared" si="73"/>
        <v>13.644</v>
      </c>
      <c r="J253" s="47">
        <f t="shared" si="74"/>
        <v>17.963999999999999</v>
      </c>
      <c r="K253" s="47">
        <f t="shared" si="75"/>
        <v>15.48</v>
      </c>
      <c r="L253" s="47">
        <f t="shared" si="76"/>
        <v>17.387999999999998</v>
      </c>
      <c r="M253" s="163"/>
      <c r="N253" s="163"/>
      <c r="O253" s="163"/>
      <c r="P253" s="163"/>
      <c r="Q253" s="163"/>
      <c r="R253" s="163"/>
      <c r="S253" s="163"/>
      <c r="T253" s="163"/>
      <c r="U253" s="163"/>
      <c r="V253" s="163"/>
      <c r="W253" s="163"/>
    </row>
    <row r="254" spans="1:23">
      <c r="A254" s="69" t="s">
        <v>1518</v>
      </c>
      <c r="B254" s="48" t="s">
        <v>1394</v>
      </c>
      <c r="C254" s="40" t="s">
        <v>1519</v>
      </c>
      <c r="D254" s="193">
        <v>75</v>
      </c>
      <c r="F254" s="262">
        <f t="shared" si="70"/>
        <v>28.237500000000001</v>
      </c>
      <c r="G254" s="262">
        <f t="shared" si="71"/>
        <v>28.237500000000001</v>
      </c>
      <c r="H254" s="47">
        <f t="shared" si="72"/>
        <v>33.9</v>
      </c>
      <c r="I254" s="47">
        <f t="shared" si="73"/>
        <v>28.425000000000001</v>
      </c>
      <c r="J254" s="47">
        <f t="shared" si="74"/>
        <v>37.424999999999997</v>
      </c>
      <c r="K254" s="47">
        <f t="shared" si="75"/>
        <v>32.25</v>
      </c>
      <c r="L254" s="47">
        <f t="shared" si="76"/>
        <v>36.225000000000001</v>
      </c>
      <c r="M254" s="163"/>
      <c r="N254" s="163"/>
      <c r="O254" s="163"/>
      <c r="P254" s="163"/>
      <c r="Q254" s="163"/>
      <c r="R254" s="163"/>
      <c r="S254" s="163"/>
      <c r="T254" s="163"/>
      <c r="U254" s="163"/>
      <c r="V254" s="163"/>
      <c r="W254" s="163"/>
    </row>
    <row r="255" spans="1:23">
      <c r="A255" s="69" t="s">
        <v>1520</v>
      </c>
      <c r="B255" s="48" t="s">
        <v>1397</v>
      </c>
      <c r="C255" s="40" t="s">
        <v>1521</v>
      </c>
      <c r="D255" s="193">
        <v>36</v>
      </c>
      <c r="F255" s="262">
        <f t="shared" si="70"/>
        <v>13.554</v>
      </c>
      <c r="G255" s="262">
        <f t="shared" si="71"/>
        <v>13.554</v>
      </c>
      <c r="H255" s="47">
        <f t="shared" si="72"/>
        <v>16.272000000000002</v>
      </c>
      <c r="I255" s="47">
        <f t="shared" si="73"/>
        <v>13.644</v>
      </c>
      <c r="J255" s="47">
        <f t="shared" si="74"/>
        <v>17.963999999999999</v>
      </c>
      <c r="K255" s="47">
        <f t="shared" si="75"/>
        <v>15.48</v>
      </c>
      <c r="L255" s="47">
        <f t="shared" si="76"/>
        <v>17.387999999999998</v>
      </c>
      <c r="M255" s="163"/>
      <c r="N255" s="163"/>
      <c r="O255" s="163"/>
      <c r="P255" s="163"/>
      <c r="Q255" s="163"/>
      <c r="R255" s="163"/>
      <c r="S255" s="163"/>
      <c r="T255" s="163"/>
      <c r="U255" s="163"/>
      <c r="V255" s="163"/>
      <c r="W255" s="163"/>
    </row>
    <row r="256" spans="1:23">
      <c r="A256" s="69" t="s">
        <v>1522</v>
      </c>
      <c r="B256" s="48" t="s">
        <v>1523</v>
      </c>
      <c r="C256" s="40" t="s">
        <v>1524</v>
      </c>
      <c r="D256" s="193">
        <v>25</v>
      </c>
      <c r="F256" s="262">
        <f t="shared" si="70"/>
        <v>9.4124999999999996</v>
      </c>
      <c r="G256" s="262">
        <f t="shared" si="71"/>
        <v>9.4124999999999996</v>
      </c>
      <c r="H256" s="47">
        <f t="shared" si="72"/>
        <v>11.3</v>
      </c>
      <c r="I256" s="47">
        <f t="shared" si="73"/>
        <v>9.4749999999999996</v>
      </c>
      <c r="J256" s="47">
        <f t="shared" si="74"/>
        <v>12.475</v>
      </c>
      <c r="K256" s="47">
        <f t="shared" si="75"/>
        <v>10.75</v>
      </c>
      <c r="L256" s="47">
        <f t="shared" si="76"/>
        <v>12.074999999999999</v>
      </c>
      <c r="M256" s="163"/>
      <c r="N256" s="163"/>
      <c r="O256" s="163"/>
      <c r="P256" s="163"/>
      <c r="Q256" s="163"/>
      <c r="R256" s="163"/>
      <c r="S256" s="163"/>
      <c r="T256" s="163"/>
      <c r="U256" s="163"/>
      <c r="V256" s="163"/>
      <c r="W256" s="163"/>
    </row>
    <row r="257" spans="1:23">
      <c r="A257" s="69" t="s">
        <v>1525</v>
      </c>
      <c r="B257" s="48" t="s">
        <v>1525</v>
      </c>
      <c r="C257" s="40" t="s">
        <v>1526</v>
      </c>
      <c r="D257" s="193">
        <v>3</v>
      </c>
      <c r="F257" s="262">
        <f t="shared" si="70"/>
        <v>1.1294999999999999</v>
      </c>
      <c r="G257" s="262">
        <f t="shared" si="71"/>
        <v>1.1294999999999999</v>
      </c>
      <c r="H257" s="47">
        <f t="shared" si="72"/>
        <v>1.3560000000000001</v>
      </c>
      <c r="I257" s="47">
        <f t="shared" si="73"/>
        <v>1.137</v>
      </c>
      <c r="J257" s="47">
        <f t="shared" si="74"/>
        <v>1.4969999999999999</v>
      </c>
      <c r="K257" s="47">
        <f t="shared" si="75"/>
        <v>1.29</v>
      </c>
      <c r="L257" s="47">
        <f t="shared" si="76"/>
        <v>1.4489999999999998</v>
      </c>
      <c r="M257" s="163"/>
      <c r="N257" s="163"/>
      <c r="O257" s="163"/>
      <c r="P257" s="163"/>
      <c r="Q257" s="163"/>
      <c r="R257" s="163"/>
      <c r="S257" s="163"/>
      <c r="T257" s="163"/>
      <c r="U257" s="163"/>
      <c r="V257" s="163"/>
      <c r="W257" s="163"/>
    </row>
    <row r="258" spans="1:23">
      <c r="A258" s="69" t="s">
        <v>1527</v>
      </c>
      <c r="B258" s="48" t="s">
        <v>1527</v>
      </c>
      <c r="C258" s="88" t="s">
        <v>1528</v>
      </c>
      <c r="D258" s="193">
        <v>2</v>
      </c>
      <c r="E258" s="163"/>
      <c r="F258" s="262">
        <f t="shared" si="70"/>
        <v>0.753</v>
      </c>
      <c r="G258" s="262">
        <f t="shared" si="71"/>
        <v>0.753</v>
      </c>
      <c r="H258" s="47">
        <f t="shared" si="72"/>
        <v>0.90400000000000003</v>
      </c>
      <c r="I258" s="47">
        <f t="shared" si="73"/>
        <v>0.75800000000000001</v>
      </c>
      <c r="J258" s="47">
        <f t="shared" si="74"/>
        <v>0.998</v>
      </c>
      <c r="K258" s="47">
        <f t="shared" si="75"/>
        <v>0.86</v>
      </c>
      <c r="L258" s="47">
        <f t="shared" si="76"/>
        <v>0.96599999999999997</v>
      </c>
      <c r="M258" s="163"/>
      <c r="N258" s="163"/>
      <c r="O258" s="163"/>
      <c r="P258" s="163"/>
      <c r="Q258" s="163"/>
      <c r="R258" s="163"/>
      <c r="S258" s="163"/>
      <c r="T258" s="163"/>
      <c r="U258" s="163"/>
      <c r="V258" s="163"/>
      <c r="W258" s="163"/>
    </row>
    <row r="259" spans="1:23">
      <c r="A259" s="69" t="s">
        <v>1529</v>
      </c>
      <c r="B259" s="48" t="s">
        <v>1529</v>
      </c>
      <c r="C259" s="88" t="s">
        <v>1530</v>
      </c>
      <c r="D259" s="193">
        <v>4</v>
      </c>
      <c r="F259" s="262">
        <f t="shared" si="70"/>
        <v>1.506</v>
      </c>
      <c r="G259" s="262">
        <f t="shared" si="71"/>
        <v>1.506</v>
      </c>
      <c r="H259" s="193">
        <f t="shared" si="72"/>
        <v>1.8080000000000001</v>
      </c>
      <c r="I259" s="193">
        <f t="shared" si="73"/>
        <v>1.516</v>
      </c>
      <c r="J259" s="193">
        <f t="shared" si="74"/>
        <v>1.996</v>
      </c>
      <c r="K259" s="193">
        <f t="shared" si="75"/>
        <v>1.72</v>
      </c>
      <c r="L259" s="193">
        <f t="shared" si="76"/>
        <v>1.9319999999999999</v>
      </c>
      <c r="M259" s="163"/>
      <c r="N259" s="163"/>
    </row>
    <row r="260" spans="1:23">
      <c r="A260" s="69" t="s">
        <v>1531</v>
      </c>
      <c r="B260" s="48" t="s">
        <v>1531</v>
      </c>
      <c r="C260" s="88" t="s">
        <v>1532</v>
      </c>
      <c r="D260" s="193">
        <v>4</v>
      </c>
      <c r="F260" s="262">
        <f t="shared" si="70"/>
        <v>1.506</v>
      </c>
      <c r="G260" s="262">
        <f t="shared" si="71"/>
        <v>1.506</v>
      </c>
      <c r="H260" s="193">
        <f t="shared" si="72"/>
        <v>1.8080000000000001</v>
      </c>
      <c r="I260" s="193">
        <f t="shared" si="73"/>
        <v>1.516</v>
      </c>
      <c r="J260" s="193">
        <f t="shared" si="74"/>
        <v>1.996</v>
      </c>
      <c r="K260" s="193">
        <f t="shared" si="75"/>
        <v>1.72</v>
      </c>
      <c r="L260" s="193">
        <f t="shared" si="76"/>
        <v>1.9319999999999999</v>
      </c>
    </row>
    <row r="261" spans="1:23">
      <c r="A261" s="69" t="s">
        <v>1533</v>
      </c>
      <c r="B261" s="48" t="s">
        <v>1533</v>
      </c>
      <c r="C261" s="88" t="s">
        <v>1534</v>
      </c>
      <c r="D261" s="193">
        <v>4</v>
      </c>
      <c r="F261" s="262">
        <f t="shared" ref="F261:F262" si="84">D261*$F$9</f>
        <v>1.506</v>
      </c>
      <c r="G261" s="262">
        <f t="shared" ref="G261:G262" si="85">D261*$G$9</f>
        <v>1.506</v>
      </c>
      <c r="H261" s="193">
        <f t="shared" ref="H261:H262" si="86">D261*$H$9</f>
        <v>1.8080000000000001</v>
      </c>
      <c r="I261" s="193">
        <f t="shared" ref="I261:I262" si="87">D261*$I$9</f>
        <v>1.516</v>
      </c>
      <c r="J261" s="193">
        <f t="shared" ref="J261:J262" si="88">D261*$J$9</f>
        <v>1.996</v>
      </c>
      <c r="K261" s="193">
        <f t="shared" ref="K261:K262" si="89">D261*$K$9</f>
        <v>1.72</v>
      </c>
      <c r="L261" s="193">
        <f t="shared" ref="L261:L262" si="90">D261*$L$9</f>
        <v>1.9319999999999999</v>
      </c>
    </row>
    <row r="262" spans="1:23">
      <c r="A262" s="69" t="s">
        <v>1535</v>
      </c>
      <c r="B262" s="48" t="s">
        <v>1535</v>
      </c>
      <c r="C262" s="88" t="s">
        <v>1536</v>
      </c>
      <c r="D262" s="193">
        <v>3</v>
      </c>
      <c r="F262" s="262">
        <f t="shared" si="84"/>
        <v>1.1294999999999999</v>
      </c>
      <c r="G262" s="262">
        <f t="shared" si="85"/>
        <v>1.1294999999999999</v>
      </c>
      <c r="H262" s="193">
        <f t="shared" si="86"/>
        <v>1.3560000000000001</v>
      </c>
      <c r="I262" s="193">
        <f t="shared" si="87"/>
        <v>1.137</v>
      </c>
      <c r="J262" s="193">
        <f t="shared" si="88"/>
        <v>1.4969999999999999</v>
      </c>
      <c r="K262" s="193">
        <f t="shared" si="89"/>
        <v>1.29</v>
      </c>
      <c r="L262" s="193">
        <f t="shared" si="90"/>
        <v>1.4489999999999998</v>
      </c>
    </row>
    <row r="263" spans="1:23">
      <c r="A263" s="163"/>
      <c r="B263" s="163"/>
      <c r="C263" s="44"/>
    </row>
    <row r="264" spans="1:23">
      <c r="A264" s="163"/>
      <c r="B264" s="163"/>
      <c r="C264" s="44"/>
      <c r="F264" s="267" t="s">
        <v>1567</v>
      </c>
      <c r="G264" s="267" t="s">
        <v>1568</v>
      </c>
      <c r="H264" s="267" t="s">
        <v>1569</v>
      </c>
      <c r="I264" s="267" t="s">
        <v>1570</v>
      </c>
      <c r="J264" s="267" t="s">
        <v>1571</v>
      </c>
      <c r="K264" s="267" t="s">
        <v>1572</v>
      </c>
      <c r="L264" s="267" t="s">
        <v>1579</v>
      </c>
    </row>
    <row r="265" spans="1:23">
      <c r="A265" s="163"/>
      <c r="B265" s="163"/>
      <c r="C265" s="44"/>
      <c r="F265" s="268"/>
      <c r="G265" s="268"/>
      <c r="H265" s="268"/>
      <c r="I265" s="268"/>
      <c r="J265" s="268"/>
      <c r="K265" s="268"/>
      <c r="L265" s="268" t="s">
        <v>1580</v>
      </c>
    </row>
    <row r="266" spans="1:23">
      <c r="F266" s="255">
        <v>0.3765</v>
      </c>
      <c r="G266" s="255">
        <v>0.3765</v>
      </c>
      <c r="H266" s="255">
        <v>0.45200000000000001</v>
      </c>
      <c r="I266" s="255">
        <v>0.379</v>
      </c>
      <c r="J266" s="255">
        <v>0.499</v>
      </c>
      <c r="K266" s="255">
        <v>0.43</v>
      </c>
      <c r="L266" s="255">
        <v>0.48299999999999998</v>
      </c>
    </row>
    <row r="267" spans="1:23">
      <c r="F267" s="293" t="s">
        <v>1574</v>
      </c>
      <c r="G267" s="287"/>
      <c r="H267" s="287"/>
      <c r="I267" s="287"/>
      <c r="J267" s="287"/>
      <c r="K267" s="287"/>
      <c r="L267" s="288"/>
    </row>
    <row r="268" spans="1:23">
      <c r="F268" s="289"/>
      <c r="G268" s="290"/>
      <c r="H268" s="290"/>
      <c r="I268" s="290"/>
      <c r="J268" s="290"/>
      <c r="K268" s="290"/>
      <c r="L268" s="291"/>
    </row>
    <row r="269" spans="1:23">
      <c r="F269" s="289"/>
      <c r="G269" s="290"/>
      <c r="H269" s="290"/>
      <c r="I269" s="290"/>
      <c r="J269" s="290"/>
      <c r="K269" s="290"/>
      <c r="L269" s="291"/>
    </row>
    <row r="270" spans="1:23">
      <c r="A270" s="79" t="s">
        <v>931</v>
      </c>
      <c r="B270" s="75" t="s">
        <v>142</v>
      </c>
      <c r="C270" s="75"/>
      <c r="D270" s="221" t="s">
        <v>935</v>
      </c>
      <c r="F270" s="256" t="s">
        <v>1581</v>
      </c>
      <c r="G270" s="256" t="s">
        <v>1581</v>
      </c>
      <c r="H270" s="256" t="s">
        <v>1581</v>
      </c>
      <c r="I270" s="256" t="s">
        <v>1581</v>
      </c>
      <c r="J270" s="256" t="s">
        <v>1581</v>
      </c>
      <c r="K270" s="256" t="s">
        <v>1581</v>
      </c>
      <c r="L270" s="256" t="s">
        <v>1581</v>
      </c>
    </row>
    <row r="271" spans="1:23">
      <c r="A271" s="15" t="s">
        <v>1537</v>
      </c>
      <c r="B271" s="41"/>
      <c r="C271" s="41"/>
      <c r="D271" s="136"/>
      <c r="F271" s="269" t="s">
        <v>1582</v>
      </c>
      <c r="G271" s="269" t="s">
        <v>1582</v>
      </c>
      <c r="H271" s="269" t="s">
        <v>1582</v>
      </c>
      <c r="I271" s="269" t="s">
        <v>1582</v>
      </c>
      <c r="J271" s="269" t="s">
        <v>1582</v>
      </c>
      <c r="K271" s="269" t="s">
        <v>1582</v>
      </c>
      <c r="L271" s="269" t="s">
        <v>1582</v>
      </c>
    </row>
    <row r="272" spans="1:23" ht="409.6">
      <c r="A272" s="69" t="s">
        <v>1538</v>
      </c>
      <c r="B272" s="48" t="s">
        <v>1539</v>
      </c>
      <c r="C272" s="361" t="s">
        <v>1899</v>
      </c>
      <c r="D272" s="283">
        <v>110</v>
      </c>
      <c r="F272" s="292">
        <f>D272*$F$266</f>
        <v>41.414999999999999</v>
      </c>
      <c r="G272" s="292">
        <f>D272*$G$266</f>
        <v>41.414999999999999</v>
      </c>
      <c r="H272" s="292">
        <f>D272*$H$266</f>
        <v>49.72</v>
      </c>
      <c r="I272" s="292">
        <f>D272*$I$266</f>
        <v>41.69</v>
      </c>
      <c r="J272" s="292">
        <f>D272*$J$266</f>
        <v>54.89</v>
      </c>
      <c r="K272" s="292">
        <f>D272*$K$266</f>
        <v>47.3</v>
      </c>
      <c r="L272" s="292">
        <f>D272*$L$266</f>
        <v>53.129999999999995</v>
      </c>
    </row>
  </sheetData>
  <mergeCells count="2">
    <mergeCell ref="F7:L7"/>
    <mergeCell ref="F10:L10"/>
  </mergeCell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tabColor rgb="FFFFC000"/>
  </sheetPr>
  <dimension ref="A1:J16"/>
  <sheetViews>
    <sheetView showGridLines="0" zoomScale="80" zoomScaleNormal="80" workbookViewId="0">
      <selection sqref="A1:J1"/>
    </sheetView>
  </sheetViews>
  <sheetFormatPr baseColWidth="10" defaultColWidth="10.5546875" defaultRowHeight="14.4"/>
  <cols>
    <col min="1" max="1" width="25.5546875" customWidth="1"/>
    <col min="2" max="2" width="29.44140625" bestFit="1" customWidth="1"/>
    <col min="3" max="3" width="11" bestFit="1" customWidth="1"/>
    <col min="4" max="10" width="15" customWidth="1"/>
  </cols>
  <sheetData>
    <row r="1" spans="1:10" ht="36.6">
      <c r="A1" s="403" t="s">
        <v>1583</v>
      </c>
      <c r="B1" s="403"/>
      <c r="C1" s="403"/>
      <c r="D1" s="403"/>
      <c r="E1" s="403"/>
      <c r="F1" s="403"/>
      <c r="G1" s="403"/>
      <c r="H1" s="403"/>
      <c r="I1" s="403"/>
      <c r="J1" s="403"/>
    </row>
    <row r="2" spans="1:10">
      <c r="A2" s="2"/>
      <c r="B2" s="2"/>
      <c r="C2" s="2"/>
    </row>
    <row r="3" spans="1:10" ht="47.25" customHeight="1">
      <c r="A3" s="3" t="s">
        <v>1584</v>
      </c>
      <c r="B3" s="3" t="s">
        <v>1585</v>
      </c>
      <c r="C3" s="3" t="s">
        <v>1586</v>
      </c>
      <c r="D3" s="1" t="s">
        <v>1567</v>
      </c>
      <c r="E3" s="1" t="s">
        <v>1568</v>
      </c>
      <c r="F3" s="1" t="s">
        <v>1569</v>
      </c>
      <c r="G3" s="1" t="s">
        <v>1570</v>
      </c>
      <c r="H3" s="1" t="s">
        <v>1571</v>
      </c>
      <c r="I3" s="1" t="s">
        <v>1572</v>
      </c>
      <c r="J3" s="1" t="s">
        <v>1573</v>
      </c>
    </row>
    <row r="4" spans="1:10">
      <c r="A4" s="404" t="s">
        <v>1587</v>
      </c>
      <c r="B4" s="3" t="s">
        <v>1588</v>
      </c>
      <c r="C4" s="3" t="s">
        <v>1589</v>
      </c>
      <c r="D4" s="4">
        <v>3</v>
      </c>
      <c r="E4" s="4">
        <v>3</v>
      </c>
      <c r="F4" s="4">
        <v>3</v>
      </c>
      <c r="G4" s="4">
        <v>3</v>
      </c>
      <c r="H4" s="4">
        <v>4</v>
      </c>
      <c r="I4" s="4">
        <v>4</v>
      </c>
      <c r="J4" s="4">
        <v>4</v>
      </c>
    </row>
    <row r="5" spans="1:10">
      <c r="A5" s="404"/>
      <c r="B5" s="3" t="s">
        <v>1590</v>
      </c>
      <c r="C5" s="3" t="s">
        <v>1591</v>
      </c>
      <c r="D5" s="4">
        <v>50</v>
      </c>
      <c r="E5" s="4">
        <v>50</v>
      </c>
      <c r="F5" s="4">
        <v>50</v>
      </c>
      <c r="G5" s="4">
        <v>50</v>
      </c>
      <c r="H5" s="4">
        <v>70</v>
      </c>
      <c r="I5" s="4">
        <v>70</v>
      </c>
      <c r="J5" s="4">
        <v>70</v>
      </c>
    </row>
    <row r="6" spans="1:10">
      <c r="A6" s="3" t="s">
        <v>1592</v>
      </c>
      <c r="B6" s="3" t="s">
        <v>1593</v>
      </c>
      <c r="C6" s="3" t="s">
        <v>1594</v>
      </c>
      <c r="D6" s="4">
        <v>4</v>
      </c>
      <c r="E6" s="4">
        <v>4</v>
      </c>
      <c r="F6" s="4">
        <v>4</v>
      </c>
      <c r="G6" s="4">
        <v>4</v>
      </c>
      <c r="H6" s="4">
        <v>5</v>
      </c>
      <c r="I6" s="4">
        <v>5</v>
      </c>
      <c r="J6" s="4">
        <v>5</v>
      </c>
    </row>
    <row r="7" spans="1:10">
      <c r="A7" s="404" t="s">
        <v>1595</v>
      </c>
      <c r="B7" s="3" t="s">
        <v>1596</v>
      </c>
      <c r="C7" s="3" t="s">
        <v>1597</v>
      </c>
      <c r="D7" s="4">
        <v>380</v>
      </c>
      <c r="E7" s="4">
        <v>380</v>
      </c>
      <c r="F7" s="4">
        <v>380</v>
      </c>
      <c r="G7" s="4">
        <v>380</v>
      </c>
      <c r="H7" s="4">
        <v>420</v>
      </c>
      <c r="I7" s="4">
        <v>420</v>
      </c>
      <c r="J7" s="4">
        <v>420</v>
      </c>
    </row>
    <row r="8" spans="1:10">
      <c r="A8" s="404"/>
      <c r="B8" s="3" t="s">
        <v>1598</v>
      </c>
      <c r="C8" s="3" t="s">
        <v>1599</v>
      </c>
      <c r="D8" s="4">
        <v>430</v>
      </c>
      <c r="E8" s="4">
        <v>430</v>
      </c>
      <c r="F8" s="4">
        <v>430</v>
      </c>
      <c r="G8" s="4">
        <v>430</v>
      </c>
      <c r="H8" s="4">
        <v>490</v>
      </c>
      <c r="I8" s="4">
        <v>490</v>
      </c>
      <c r="J8" s="4">
        <v>490</v>
      </c>
    </row>
    <row r="9" spans="1:10">
      <c r="A9" s="404" t="s">
        <v>1600</v>
      </c>
      <c r="B9" s="3" t="s">
        <v>1601</v>
      </c>
      <c r="C9" s="3" t="s">
        <v>1602</v>
      </c>
      <c r="D9" s="5">
        <v>0.12</v>
      </c>
      <c r="E9" s="5">
        <v>0.12</v>
      </c>
      <c r="F9" s="5">
        <v>0.12</v>
      </c>
      <c r="G9" s="5">
        <v>0.12</v>
      </c>
      <c r="H9" s="5">
        <v>0.15</v>
      </c>
      <c r="I9" s="5">
        <v>0.15</v>
      </c>
      <c r="J9" s="5">
        <v>0.15</v>
      </c>
    </row>
    <row r="10" spans="1:10">
      <c r="A10" s="404"/>
      <c r="B10" s="3" t="s">
        <v>1603</v>
      </c>
      <c r="C10" s="3" t="s">
        <v>1604</v>
      </c>
      <c r="D10" s="5">
        <v>0.09</v>
      </c>
      <c r="E10" s="5">
        <v>0.09</v>
      </c>
      <c r="F10" s="5">
        <v>0.09</v>
      </c>
      <c r="G10" s="5">
        <v>0.09</v>
      </c>
      <c r="H10" s="5">
        <v>0.12</v>
      </c>
      <c r="I10" s="5">
        <v>0.12</v>
      </c>
      <c r="J10" s="5">
        <v>0.12</v>
      </c>
    </row>
    <row r="11" spans="1:10">
      <c r="A11" s="404"/>
      <c r="B11" s="3" t="s">
        <v>1605</v>
      </c>
      <c r="C11" s="3" t="s">
        <v>1606</v>
      </c>
      <c r="D11" s="5">
        <v>0.09</v>
      </c>
      <c r="E11" s="5">
        <v>0.09</v>
      </c>
      <c r="F11" s="5">
        <v>0.09</v>
      </c>
      <c r="G11" s="5">
        <v>0.09</v>
      </c>
      <c r="H11" s="5">
        <v>0.12</v>
      </c>
      <c r="I11" s="5">
        <v>0.12</v>
      </c>
      <c r="J11" s="5">
        <v>0.12</v>
      </c>
    </row>
    <row r="12" spans="1:10">
      <c r="A12" s="404" t="s">
        <v>1607</v>
      </c>
      <c r="B12" s="3" t="s">
        <v>1601</v>
      </c>
      <c r="C12" s="3" t="s">
        <v>1608</v>
      </c>
      <c r="D12" s="5">
        <v>0.2</v>
      </c>
      <c r="E12" s="5">
        <v>0.2</v>
      </c>
      <c r="F12" s="5">
        <v>0.2</v>
      </c>
      <c r="G12" s="5">
        <v>0.2</v>
      </c>
      <c r="H12" s="5">
        <v>0.25</v>
      </c>
      <c r="I12" s="5">
        <v>0.25</v>
      </c>
      <c r="J12" s="5">
        <v>0.25</v>
      </c>
    </row>
    <row r="13" spans="1:10">
      <c r="A13" s="404"/>
      <c r="B13" s="3" t="s">
        <v>1603</v>
      </c>
      <c r="C13" s="3" t="s">
        <v>1609</v>
      </c>
      <c r="D13" s="5">
        <v>0.15</v>
      </c>
      <c r="E13" s="5">
        <v>0.15</v>
      </c>
      <c r="F13" s="5">
        <v>0.15</v>
      </c>
      <c r="G13" s="5">
        <v>0.15</v>
      </c>
      <c r="H13" s="5">
        <v>0.2</v>
      </c>
      <c r="I13" s="5">
        <v>0.2</v>
      </c>
      <c r="J13" s="5">
        <v>0.2</v>
      </c>
    </row>
    <row r="14" spans="1:10">
      <c r="A14" s="404"/>
      <c r="B14" s="3" t="s">
        <v>1605</v>
      </c>
      <c r="C14" s="3" t="s">
        <v>1610</v>
      </c>
      <c r="D14" s="5">
        <v>0.15</v>
      </c>
      <c r="E14" s="5">
        <v>0.15</v>
      </c>
      <c r="F14" s="5">
        <v>0.15</v>
      </c>
      <c r="G14" s="5">
        <v>0.15</v>
      </c>
      <c r="H14" s="5">
        <v>0.2</v>
      </c>
      <c r="I14" s="5">
        <v>0.2</v>
      </c>
      <c r="J14" s="5">
        <v>0.2</v>
      </c>
    </row>
    <row r="16" spans="1:10">
      <c r="A16" t="s">
        <v>1611</v>
      </c>
    </row>
  </sheetData>
  <mergeCells count="5">
    <mergeCell ref="A1:J1"/>
    <mergeCell ref="A4:A5"/>
    <mergeCell ref="A7:A8"/>
    <mergeCell ref="A9:A11"/>
    <mergeCell ref="A12:A14"/>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40E574666B6CD40B3D8965A58485F6F" ma:contentTypeVersion="3" ma:contentTypeDescription="Crée un document." ma:contentTypeScope="" ma:versionID="17647bf84dd0bcc39d2154ad05a24b4b">
  <xsd:schema xmlns:xsd="http://www.w3.org/2001/XMLSchema" xmlns:xs="http://www.w3.org/2001/XMLSchema" xmlns:p="http://schemas.microsoft.com/office/2006/metadata/properties" xmlns:ns1="http://schemas.microsoft.com/sharepoint/v3" xmlns:ns2="4d369990-77fd-4f09-ba55-cef832fbaa3a" targetNamespace="http://schemas.microsoft.com/office/2006/metadata/properties" ma:root="true" ma:fieldsID="578b9704a3e2b204b9b333a5d73f8c0c" ns1:_="" ns2:_="">
    <xsd:import namespace="http://schemas.microsoft.com/sharepoint/v3"/>
    <xsd:import namespace="4d369990-77fd-4f09-ba55-cef832fbaa3a"/>
    <xsd:element name="properties">
      <xsd:complexType>
        <xsd:sequence>
          <xsd:element name="documentManagement">
            <xsd:complexType>
              <xsd:all>
                <xsd:element ref="ns1:PublishingStartDate" minOccurs="0"/>
                <xsd:element ref="ns1:PublishingExpirationDate" minOccurs="0"/>
                <xsd:element ref="ns2: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Date de début de planification" ma:description="La colonne de site Date de début de planification est créée par la fonctionnalité de publication. Elle permet de spécifier les date et heure auxquelles cette page apparaîtra la première fois aux visiteurs du site." ma:internalName="PublishingStartDate">
      <xsd:simpleType>
        <xsd:restriction base="dms:Unknown"/>
      </xsd:simpleType>
    </xsd:element>
    <xsd:element name="PublishingExpirationDate" ma:index="9" nillable="true" ma:displayName="Date de fin de planification" ma:description="La colonne de site Date de fin de planification est créée par la fonctionnalité de publication. Elle permet de spécifier les date et heure auxquelles cette page n'apparaîtra plus aux visiteurs du sit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4d369990-77fd-4f09-ba55-cef832fbaa3a" elementFormDefault="qualified">
    <xsd:import namespace="http://schemas.microsoft.com/office/2006/documentManagement/types"/>
    <xsd:import namespace="http://schemas.microsoft.com/office/infopath/2007/PartnerControls"/>
    <xsd:element name="SharedWithUsers" ma:index="10"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PublishingStartDate xmlns="http://schemas.microsoft.com/sharepoint/v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2494B69-8C39-4C98-ABA2-DADA528676C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d369990-77fd-4f09-ba55-cef832fbaa3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0E8C133-FBFD-4A08-8969-B172F9F80FA4}">
  <ds:schemaRefs>
    <ds:schemaRef ds:uri="http://purl.org/dc/dcmitype/"/>
    <ds:schemaRef ds:uri="http://purl.org/dc/elements/1.1/"/>
    <ds:schemaRef ds:uri="http://schemas.microsoft.com/office/2006/metadata/properties"/>
    <ds:schemaRef ds:uri="http://schemas.microsoft.com/office/infopath/2007/PartnerControls"/>
    <ds:schemaRef ds:uri="http://schemas.openxmlformats.org/package/2006/metadata/core-properties"/>
    <ds:schemaRef ds:uri="998a3a80-ab39-4905-b96f-d633e6269bc9"/>
    <ds:schemaRef ds:uri="64fe8c59-3550-437a-9cc1-69277fe2ea73"/>
    <ds:schemaRef ds:uri="http://schemas.microsoft.com/office/2006/documentManagement/types"/>
    <ds:schemaRef ds:uri="c526f6ae-98d2-4465-96f7-d6548217b1cd"/>
    <ds:schemaRef ds:uri="http://www.w3.org/XML/1998/namespace"/>
    <ds:schemaRef ds:uri="http://purl.org/dc/terms/"/>
    <ds:schemaRef ds:uri="1abe4189-4093-4b3d-8fca-4535632ae90a"/>
    <ds:schemaRef ds:uri="http://schemas.microsoft.com/sharepoint/v3"/>
  </ds:schemaRefs>
</ds:datastoreItem>
</file>

<file path=customXml/itemProps3.xml><?xml version="1.0" encoding="utf-8"?>
<ds:datastoreItem xmlns:ds="http://schemas.openxmlformats.org/officeDocument/2006/customXml" ds:itemID="{FC5849C6-FCFB-4E2A-97C4-F1DC79F6DB3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9</vt:i4>
      </vt:variant>
    </vt:vector>
  </HeadingPairs>
  <TitlesOfParts>
    <vt:vector size="9" baseType="lpstr">
      <vt:lpstr>Résumé</vt:lpstr>
      <vt:lpstr>Récapitulatif</vt:lpstr>
      <vt:lpstr>LOT 2</vt:lpstr>
      <vt:lpstr>Extensions Communes</vt:lpstr>
      <vt:lpstr>LOT 2 LOCATION</vt:lpstr>
      <vt:lpstr>Extensions Communes LOCATION</vt:lpstr>
      <vt:lpstr>LOT 2 DROM COM</vt:lpstr>
      <vt:lpstr>Extensions Communes DROM COM</vt:lpstr>
      <vt:lpstr>Prestations Services DROM COM</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Charles Moreau</dc:creator>
  <cp:keywords/>
  <dc:description/>
  <cp:lastModifiedBy>Laëtitia Goënse</cp:lastModifiedBy>
  <cp:revision/>
  <dcterms:created xsi:type="dcterms:W3CDTF">2021-12-28T21:33:45Z</dcterms:created>
  <dcterms:modified xsi:type="dcterms:W3CDTF">2025-09-01T08:06:22Z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0x010100E40E574666B6CD40B3D8965A58485F6F</vt:lpwstr>
  </property>
  <property fmtid="{D5CDD505-2E9C-101B-9397-08002B2CF9AE}" pid="3" name="MediaServiceImageTags">
    <vt:lpwstr/>
  </property>
  <property fmtid="{D5CDD505-2E9C-101B-9397-08002B2CF9AE}" pid="4" name="MSIP_Label_d5c20be7-c3a5-46e3-9158-fa8a02ce2395_Enabled">
    <vt:lpwstr>true</vt:lpwstr>
  </property>
  <property fmtid="{D5CDD505-2E9C-101B-9397-08002B2CF9AE}" pid="5" name="MSIP_Label_d5c20be7-c3a5-46e3-9158-fa8a02ce2395_SetDate">
    <vt:lpwstr>2023-04-12T14:18:10Z</vt:lpwstr>
  </property>
  <property fmtid="{D5CDD505-2E9C-101B-9397-08002B2CF9AE}" pid="6" name="MSIP_Label_d5c20be7-c3a5-46e3-9158-fa8a02ce2395_Method">
    <vt:lpwstr>Standard</vt:lpwstr>
  </property>
  <property fmtid="{D5CDD505-2E9C-101B-9397-08002B2CF9AE}" pid="7" name="MSIP_Label_d5c20be7-c3a5-46e3-9158-fa8a02ce2395_Name">
    <vt:lpwstr>defa4170-0d19-0005-0004-bc88714345d2</vt:lpwstr>
  </property>
  <property fmtid="{D5CDD505-2E9C-101B-9397-08002B2CF9AE}" pid="8" name="MSIP_Label_d5c20be7-c3a5-46e3-9158-fa8a02ce2395_SiteId">
    <vt:lpwstr>8c6f9078-037e-4261-a583-52a944e55f7f</vt:lpwstr>
  </property>
  <property fmtid="{D5CDD505-2E9C-101B-9397-08002B2CF9AE}" pid="9" name="MSIP_Label_d5c20be7-c3a5-46e3-9158-fa8a02ce2395_ActionId">
    <vt:lpwstr>b553a881-3fe5-44f9-aeb1-bee6ce41eec8</vt:lpwstr>
  </property>
  <property fmtid="{D5CDD505-2E9C-101B-9397-08002B2CF9AE}" pid="10" name="MSIP_Label_d5c20be7-c3a5-46e3-9158-fa8a02ce2395_ContentBits">
    <vt:lpwstr>0</vt:lpwstr>
  </property>
</Properties>
</file>